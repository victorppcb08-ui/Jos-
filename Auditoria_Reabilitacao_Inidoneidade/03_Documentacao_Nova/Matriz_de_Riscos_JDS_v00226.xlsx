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icto\Desktop\CGU - CGAI\01_Trabalho_Reabilitação\Reabilitação_JDS\Nova documentalção_AGO_2026\"/>
    </mc:Choice>
  </mc:AlternateContent>
  <xr:revisionPtr revIDLastSave="0" documentId="8_{E95965E8-CC94-4EBB-9758-99BE76B5CF8B}" xr6:coauthVersionLast="47" xr6:coauthVersionMax="47" xr10:uidLastSave="{00000000-0000-0000-0000-000000000000}"/>
  <bookViews>
    <workbookView xWindow="28680" yWindow="-120" windowWidth="29040" windowHeight="15720" tabRatio="500" activeTab="1" xr2:uid="{00000000-000D-0000-FFFF-FFFF00000000}"/>
  </bookViews>
  <sheets>
    <sheet name="Aprovação" sheetId="1" r:id="rId1"/>
    <sheet name="Matriz de Risco" sheetId="2" r:id="rId2"/>
    <sheet name="Parâmetr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8" i="2" l="1"/>
  <c r="O38" i="2"/>
  <c r="P37" i="2"/>
  <c r="O37" i="2"/>
  <c r="P36" i="2"/>
  <c r="O36" i="2"/>
  <c r="P35" i="2"/>
  <c r="O35" i="2"/>
  <c r="P34" i="2"/>
  <c r="O34" i="2"/>
  <c r="P33" i="2"/>
  <c r="O33" i="2"/>
  <c r="P32" i="2"/>
  <c r="O32" i="2"/>
  <c r="P31" i="2"/>
  <c r="O31" i="2"/>
  <c r="P30" i="2"/>
  <c r="O30" i="2"/>
  <c r="P29" i="2"/>
  <c r="O29" i="2"/>
  <c r="P28" i="2"/>
  <c r="O28" i="2"/>
  <c r="P27" i="2"/>
  <c r="O27" i="2"/>
  <c r="P26" i="2"/>
  <c r="O26" i="2"/>
  <c r="P25" i="2"/>
  <c r="O25" i="2"/>
  <c r="P24" i="2"/>
  <c r="O24" i="2"/>
  <c r="P23" i="2"/>
  <c r="O23" i="2"/>
  <c r="P22" i="2"/>
  <c r="O22" i="2"/>
  <c r="P21" i="2"/>
  <c r="O21" i="2"/>
  <c r="P20" i="2"/>
  <c r="O20" i="2"/>
  <c r="P19" i="2"/>
  <c r="O19" i="2"/>
  <c r="P18" i="2"/>
  <c r="O18" i="2"/>
  <c r="P17" i="2"/>
  <c r="O17" i="2"/>
  <c r="P16" i="2"/>
  <c r="O16" i="2"/>
  <c r="P15" i="2"/>
  <c r="O15" i="2"/>
  <c r="P14" i="2"/>
  <c r="O14" i="2"/>
  <c r="P13" i="2"/>
  <c r="O13" i="2"/>
  <c r="P12" i="2"/>
  <c r="O12" i="2"/>
  <c r="P11" i="2"/>
  <c r="O11" i="2"/>
  <c r="P10" i="2"/>
  <c r="O10" i="2"/>
  <c r="P9" i="2"/>
  <c r="O9" i="2"/>
  <c r="P8" i="2"/>
  <c r="O8" i="2"/>
  <c r="P7" i="2"/>
  <c r="O7" i="2"/>
  <c r="P6" i="2"/>
  <c r="O6" i="2"/>
  <c r="P5" i="2"/>
  <c r="O5" i="2"/>
  <c r="P4" i="2"/>
  <c r="O4" i="2"/>
  <c r="P3" i="2"/>
  <c r="O3" i="2"/>
  <c r="P2" i="2"/>
  <c r="O2" i="2"/>
</calcChain>
</file>

<file path=xl/sharedStrings.xml><?xml version="1.0" encoding="utf-8"?>
<sst xmlns="http://schemas.openxmlformats.org/spreadsheetml/2006/main" count="606" uniqueCount="460">
  <si>
    <t>JDS ENGENHARIA E CONSULTORIA LTDA.   |   PROGRAMA DE INTEGRIDADE</t>
  </si>
  <si>
    <t>APROVAÇÃO DE MATRIZ DE RISCOS DE INTEGRIDADE</t>
  </si>
  <si>
    <t>Documento:</t>
  </si>
  <si>
    <t>Planilha de Análise de Riscos - JDS Engenharia e Consultoria Ltda.</t>
  </si>
  <si>
    <t>Versão:</t>
  </si>
  <si>
    <t>V. 02.2026</t>
  </si>
  <si>
    <t>Elaborado por:</t>
  </si>
  <si>
    <t>Oficial de Compliance - JDS Engenharia e Consultoria Ltda.</t>
  </si>
  <si>
    <t>DELIBERAÇÃO DA ALTA DIREÇÃO</t>
  </si>
  <si>
    <t>Nós, membros da Diretoria Executiva da JDS Engenharia e Consultoria Ltda., após análise do conteúdo da presente Planilha de Análise de Riscos de Integridade, deliberamos pela sua APROVAÇÃO FORMAL como instrumento estruturante do Programa de Integridade da empresa, reconhecendo que o documento: (i) contempla expressamente riscos relacionados à integridade, corrupção e fraude; (ii) cobre as principais áreas de atuação da empresa: TI, Financeiro, Projetos, Operações e Licitações; (iii) define medidas mitigadoras com responsáveis e prazos; e (iv) integra o arcabouço de prevenção de atos lesivos à Administração Pública previsto na Lei nº 12.846/2013, no Decreto nº 11.129/2022 e na Portaria CGU nº 226/2025.                    A Diretoria determina que a presente Matriz de Riscos de Integridade permaneça sujeita a monitoramento contínuo e revisão periódica, refletindo a realidade operacional da empresa e servindo como instrumento orientador da implementação e do aprimoramento contínuo do Programa de Integridade.</t>
  </si>
  <si>
    <t>APROVAÇÃO E ASSINATURAS</t>
  </si>
  <si>
    <t>João Darous - Diretor
JDS Engenharia e Consultoria Ltda.
CNPJ nº 40.376.139/0001-59</t>
  </si>
  <si>
    <t>Yuri Renan Procopio dos Santos Pinto Zolet - Oficial de Compliance
JDS Engenharia e Consultoria Ltda.</t>
  </si>
  <si>
    <t>REVISÃO PERIÓDICA</t>
  </si>
  <si>
    <t>CRITÉRIOS DE REVISÃO</t>
  </si>
  <si>
    <t>A revisão da Matriz de Riscos poderá resultar na inclusão, alteração ou exclusão de riscos, desde que tais modificações decorram de mudanças efetivas nas atividades desenvolvidas pela empresa, na implementação de novos controles internos, na descontinuidade de processos, na alteração do ambiente regulatório ou em outros fatores que modifiquem a exposição da JDS a riscos de integridade.
Toda alteração deverá ser devidamente justificada e aprovada pela Alta Direção, permanecendo registrada no histórico de versões da presente Matriz.</t>
  </si>
  <si>
    <t>HISTÓRICO DE VERSÕES</t>
  </si>
  <si>
    <t>Versão</t>
  </si>
  <si>
    <t>Alterações</t>
  </si>
  <si>
    <t>V.01.2026</t>
  </si>
  <si>
    <t>Primeira versão da Matriz de Riscos de Integridade, elaborada a partir do diagnóstico realizado junto às áreas da empresa e aprovada pela Diretoria Executiva em 24/03/2026.</t>
  </si>
  <si>
    <t>V.02.2026</t>
  </si>
  <si>
    <t>CÓDIGO</t>
  </si>
  <si>
    <t>ÁREA</t>
  </si>
  <si>
    <t>RESPONSÁVEL PELO RISCO</t>
  </si>
  <si>
    <t>IDENTIFICAÇÃO RISCO/ÁREA</t>
  </si>
  <si>
    <t>SUBPROCESSO</t>
  </si>
  <si>
    <t>RISCO (EVENTO)</t>
  </si>
  <si>
    <t>CAUSA</t>
  </si>
  <si>
    <t>CONSEQUÊNCIA</t>
  </si>
  <si>
    <t>CONTROLES ATUAIS</t>
  </si>
  <si>
    <t>MEDIDAS MITIGADORAS DE CURTO PRAZO</t>
  </si>
  <si>
    <t>MEDIDAS MITIGADORAS DE MÉDIO PRAZO</t>
  </si>
  <si>
    <t>MEDIDAS MITIGADORAS DE  LONGO PRAZO</t>
  </si>
  <si>
    <t>PROBABILIDADE (1-5)</t>
  </si>
  <si>
    <t>IMPACTO (1-4)</t>
  </si>
  <si>
    <t>SCORE (PxI)</t>
  </si>
  <si>
    <t>RISCO (NÍVEL)</t>
  </si>
  <si>
    <t>TIPO DE EVIDÊNCIA</t>
  </si>
  <si>
    <t>PRIORIDADE</t>
  </si>
  <si>
    <t>PROVIDÊNCIA</t>
  </si>
  <si>
    <t>TI-001</t>
  </si>
  <si>
    <t>TI</t>
  </si>
  <si>
    <t xml:space="preserve">Setor de TI </t>
  </si>
  <si>
    <t>Navegação irrestrita à internet</t>
  </si>
  <si>
    <t>Segurança de rede / Internet</t>
  </si>
  <si>
    <t>Acesso irrestrito a sites pode causar danos aos sistemas.</t>
  </si>
  <si>
    <t>Sem filtro de navegação, sem política de uso aceitável, sem monitoramento de tráfego/alertas.</t>
  </si>
  <si>
    <t>Paralisação operacional; vazamento de dados (projetos/contratos/financeiro); responsabilização (LGPD/contratos); perda de evidências.</t>
  </si>
  <si>
    <t>Inexistente</t>
  </si>
  <si>
    <t>1) Aprovar e comunicar polícia de uso aceitável; 2) Bloquear instalação de extensões e navegadores não aprovados.</t>
  </si>
  <si>
    <t>1) Autenticação Multifator (MFA) para contas corporativas.</t>
  </si>
  <si>
    <t>N/A</t>
  </si>
  <si>
    <t>Política aprovada.</t>
  </si>
  <si>
    <t>Alta</t>
  </si>
  <si>
    <t>TI-002</t>
  </si>
  <si>
    <t xml:space="preserve">Backup mensal em HD </t>
  </si>
  <si>
    <t>Backup</t>
  </si>
  <si>
    <t>Perda de dados relevante entre backups + exclusão acidental.</t>
  </si>
  <si>
    <t>Backup mensal, mídia local (HD), sem testes de restauração.</t>
  </si>
  <si>
    <t>Perda de documentos de obra, medições, propostas; retrabalho; descumprimento contratual.</t>
  </si>
  <si>
    <t>Backup diário automatizado (recuperação da versão do dia anterior) e rotina de backup mensal.</t>
  </si>
  <si>
    <t>1) Formalizar e padronizar a execução dos backups mensais, com cronograma e responsáveis definidos.</t>
  </si>
  <si>
    <t>1) Manter cópia offline periódica (armazenamento com proteção contra alteração).</t>
  </si>
  <si>
    <t>Backup em HD externo + cópia offiline.</t>
  </si>
  <si>
    <t>TI-003</t>
  </si>
  <si>
    <t>Setor de TI + "Donos" do processo</t>
  </si>
  <si>
    <t>Exclusão de pasta</t>
  </si>
  <si>
    <t>Gestão de arquivos</t>
  </si>
  <si>
    <t>Exclusão de arquivos causa perda definitiva do trabalho do dia.</t>
  </si>
  <si>
    <t>Recuperação pelo backup do dia anterior - se existente.</t>
  </si>
  <si>
    <t>Retrabalho; perdas em medições/propostas; risco jurídico por ausência de documentação.</t>
  </si>
  <si>
    <t>Política de controle de acesso às pastas da rede corporativa.</t>
  </si>
  <si>
    <t>1) Restringir a exclusão de arquivos a perfis específicos; 2) Revisar e aprimorar os critérios de concessão, alteração e revogação de permissões.</t>
  </si>
  <si>
    <t>1) Revisão periódica de permissões e eventos de exclusão.</t>
  </si>
  <si>
    <t>Backup em HD externo.</t>
  </si>
  <si>
    <t>Média</t>
  </si>
  <si>
    <t>TI-004</t>
  </si>
  <si>
    <t>Setor de Ti + Setor de Projetos</t>
  </si>
  <si>
    <t>Acesso geral aos projetos</t>
  </si>
  <si>
    <t>Gestão de acessos / Governança de dados</t>
  </si>
  <si>
    <t>Acesso amplo aos documentos permite visualização e manipulação indevida, na ausência de segregação por equipe.</t>
  </si>
  <si>
    <t>Pasta “Projetos” aberta para todos; ausência de segregação por equipe.</t>
  </si>
  <si>
    <t>Vantagem indevida; vazamento para concorrência; erros de versão; perda de integridade.</t>
  </si>
  <si>
    <t>Acesso à pasta "Projetos" restrito aos usuários internos da sede; acesso remoto excepcional apenas por equipamento autorizado e autenticado (AnyDesk).</t>
  </si>
  <si>
    <t>1) Formalizar como política interna o procedimento de acesso e de acesso remoto excepcional; 2) Definir "dono do dado" por projeto (quem autoriza acessos).</t>
  </si>
  <si>
    <t>1) Implementar controles automáticos para evitar acesso indevido à pasta “Projetos”, incluindo: (i) proibir compartilhamento por link aberto; (ii) exigir que todo compartilhamento por link tenha prazo de expiração; (iii) configurar alertas automáticos para TI/Projetos quando houver compartilhamento externo, concessão de permissão de edição ou inclusão de usuários fora dos grupos autorizados; e (iv) executar recertificação trimestral de acessos (lista de quem acessa cada pasta, para confirmação/remoção), com registro.</t>
  </si>
  <si>
    <t>Matriz de acessos; ata de revisão de acesso.</t>
  </si>
  <si>
    <t>TI-005</t>
  </si>
  <si>
    <t>Setor de TI + Setor Financeiro (Compras)</t>
  </si>
  <si>
    <t>Gestão de licenças de software</t>
  </si>
  <si>
    <t>Gestão de licenças</t>
  </si>
  <si>
    <t>Risco de utilização de software sem comprovação de licenciamento adequado, ante a ausência de inventário centralizado de licenças.</t>
  </si>
  <si>
    <t>Ausência de inventário centralizado de licenças e de canal único de aquisição, com aquisições anteriores sem comprovação do tipo de licença.</t>
  </si>
  <si>
    <t>Exposição financeira e reputacional; risco em contratos que exigem conformidade.</t>
  </si>
  <si>
    <t>Office licenciado por assinatura anual; demais licenças em processo de inventário e consolidação documental.</t>
  </si>
  <si>
    <t>1) Inventário de ativos e licenças;
2) Só comprar via canal aprovado + guardar NF/termos.</t>
  </si>
  <si>
    <t>1) Rotina de licenças semestral; 2) Auditoria anual por obra/unidade.</t>
  </si>
  <si>
    <t>Padronizar licenciamento corporativo.</t>
  </si>
  <si>
    <t>Auditoria anual.</t>
  </si>
  <si>
    <t>TI-006</t>
  </si>
  <si>
    <t>Setor de TI + Setor de Projetos + Setor Financeiro</t>
  </si>
  <si>
    <t>Licenças perpétuas antigas não reativam após troca de máquina</t>
  </si>
  <si>
    <t>licenças de softwares técnicos</t>
  </si>
  <si>
    <t>Troca/reforma de máquinas impede uso do software, consequentemente, equipe recorre a cópias irregulares.</t>
  </si>
  <si>
    <t>Licença atrelada a máquina; modelo atual do fornecedor por assinatura; ausência de plano de migração.</t>
  </si>
  <si>
    <t>Risco de pirataria.</t>
  </si>
  <si>
    <t>Licenças existentes (perpétuas) válidas, mas limitadas.</t>
  </si>
  <si>
    <t>1) Definir “estações críticas” que não serão trocadas até migração.</t>
  </si>
  <si>
    <t>Estratégia de migração (assinatura, licença por usuário).</t>
  </si>
  <si>
    <t>Gestão de ciclo de vida (troca de hardware + licenças planejadas).</t>
  </si>
  <si>
    <t>Inventário por software; plano de migração.</t>
  </si>
  <si>
    <t>Baixa</t>
  </si>
  <si>
    <t>TI-009</t>
  </si>
  <si>
    <t>Setor de TI</t>
  </si>
  <si>
    <t>Segurança de rede (roteador com credenciais padrão)</t>
  </si>
  <si>
    <t>Segurança de rede (roteadores / Wi-Fi)</t>
  </si>
  <si>
    <t>Invasão de rede via credenciais/admin padrão.</t>
  </si>
  <si>
    <t>Senhas fracas/padrão; administração remota habilitada; ausência de segmentação.</t>
  </si>
  <si>
    <t>Vazamento, indisponibilidade, fraude.</t>
  </si>
  <si>
    <t>Equipamentos de rede com senhas robustas (letras, números e caractere especial); não são utilizadas senhas padrão de fábrica.</t>
  </si>
  <si>
    <t>1) Segregar a infraestrutura de rede, com criação de rede corporativa exclusiva e rede separada para visitantes.</t>
  </si>
  <si>
    <t>Monitoramento recorrente.</t>
  </si>
  <si>
    <t>TI-010</t>
  </si>
  <si>
    <t>Instalação de programas restrita ao setor de TI</t>
  </si>
  <si>
    <t>Gestão de mudanças / Software</t>
  </si>
  <si>
    <t>Tentativa de burlar o controle instalando software não autorizado, diante de demora no atendimento.</t>
  </si>
  <si>
    <t>1) Definir senha para aprovar instalação de programas (só TI tem acesso)</t>
  </si>
  <si>
    <t>FIN-001</t>
  </si>
  <si>
    <t>Financeiro</t>
  </si>
  <si>
    <t>Setor Financeiro + Setor de Operações</t>
  </si>
  <si>
    <t>Prestação de contas ineficiente em obras remotas</t>
  </si>
  <si>
    <t>Fluxo de pagamento / Prestação de contas / Caixa de obra</t>
  </si>
  <si>
    <t>Pagamentos e adiantamentos em obras remotas sem comprovação completa geram desvio, fraude, gasto indevido, pagamento duplicado ou ausência de lastro.</t>
  </si>
  <si>
    <t>Dificuldade logística, baixa fiscalização, ausência de rotina de conferência, inexistência de controles “mínimos” padronizados por obra.</t>
  </si>
  <si>
    <t>Prejuízo financeiro; risco contratual; risco de responsabilização (inclusive integridade) por pagamentos sem lastro.</t>
  </si>
  <si>
    <t>Reembolso “ok”, porém nem todas as obras conseguem prestar contas.</t>
  </si>
  <si>
    <t>1) Definir controle mínimo obrigatório para obra remota (checklist + evidências aceitas); 2) Condicionar novo adiantamento a prestação parcial (regra “sem prestação, sem novo”); 3) Padronizar comprovantes (NF/recibo, identificação do fornecedor, data, serviço, centro de custo, aprovação do responsável da obra); 4) “Plano B” para locais remotos: envio por WhatsApp/scan com regra de prazo e validação posterior (documentado).</t>
  </si>
  <si>
    <t>1) Implementar ferramenta simples de controle como app/planilha controlada por obra; 2) Auditoria  mensal das obras remotas.</t>
  </si>
  <si>
    <t>1) Centralizar pagamentos críticos (reduzir dinheiro/adiantamento) e migrar para meios rastreáveis.</t>
  </si>
  <si>
    <t>Procedimento + checklist + amostras de prestações; relatório de pendências por obra.</t>
  </si>
  <si>
    <t>Formulário de prestação de contas enviado pelo engenheiro responsável pela obra.</t>
  </si>
  <si>
    <t>FIN-002</t>
  </si>
  <si>
    <t xml:space="preserve">Setor Financeiro + Coordenador de Operações </t>
  </si>
  <si>
    <t>Reembolsos excepcionais sem critério formal</t>
  </si>
  <si>
    <t>Reembolso de despesas / Exceções e aprovações</t>
  </si>
  <si>
    <t>Reembolsos excepcionais sem critério formal geram tratamento desigual e fragilidade de controle.</t>
  </si>
  <si>
    <t>Processo depende de pessoa sem critérios objetivos de excepcionalidade, sem registro padrão de justificativa e documentação mínima.</t>
  </si>
  <si>
    <t>Fraude; questionamentos internos; risco trabalhista (natureza salarial por habitualidade em certos casos); fragilidade probatória.</t>
  </si>
  <si>
    <t>1) Criar formulário padrão de exceção: por que é exceção, teto, centro de custo, evidência mínima, assinatura eletrônica; 2) Definir teto e tipos de despesas aceitas por exceção.</t>
  </si>
  <si>
    <t>1) Dupla aprovação para exceções acima de valor a ser determinado pelo setor Financeiro + Diretoria + Compliance); 2) Relatório mensal de exceções (quantidade, valor, motivo).</t>
  </si>
  <si>
    <t>Política/procedimento de exceções; relatórios mensais; amostras aprovadas com justificativa.</t>
  </si>
  <si>
    <t>FIN-003</t>
  </si>
  <si>
    <t xml:space="preserve">Setor Financeiro + RH/Jurídico + Operações/Projetos </t>
  </si>
  <si>
    <t>Contratação de profissionais na modalidade PJ/MEI</t>
  </si>
  <si>
    <t>Contratação de PJ / Classificação fiscal e trabalhista</t>
  </si>
  <si>
    <t>Risco de contratação de profissionais via MEI ou PJ em condições que possam caracterizar vínculo empregatício, com passivo trabalhista e tributário (inclusive quanto a limites do MEI).</t>
  </si>
  <si>
    <t>Ausência de critérios formais de elegibilidade para contratação na modalidade PJ e de verificação prévia dos elementos caracterizadores de vínculo (subordinação, pessoalidade, habitualidade, onerosidade).</t>
  </si>
  <si>
    <t>Ação trabalhista com condenação (salários/encargos/multas); autuações; repercussão reputacional; impacto em contratos e auditorias.</t>
  </si>
  <si>
    <t>Novos contratos celebrados a partir da aprovação da Matriz de Riscos observam o teste de elegibilidade e os modelos contratuais padronizados; contratos anteriores em revisão.</t>
  </si>
  <si>
    <t>1) Manter cadastro dos contratos PJ/MEI com informações de função, duração e forma de execução; 2) Aplicar teste de elegibilidade PJ (checklist trabalhista) na contratação e renovação, vedando a modalidade quando incompatível com a atividade/risco; 3) Adequar as contratações que não atendam aos critérios (migração para CLT ou ajuste contratual, conforme avaliação jurídica).</t>
  </si>
  <si>
    <t>1) Treinar gestores (Operações/Projetos) para não gerarem subordinação/jornada típica.</t>
  </si>
  <si>
    <t>1) Auditoria periódica de terceiros de mão de obra; 2) Padronizar modelos contratuais.</t>
  </si>
  <si>
    <t>Inventário de PJs; checklist de elegibilidade; parecer jurídico; contratos revisados; migrações concluídas.</t>
  </si>
  <si>
    <t>FIN-004</t>
  </si>
  <si>
    <t>Setor Financeiro + RH + Jurídico</t>
  </si>
  <si>
    <t>Caracterização salarial de verbas de natureza indenizatória (ajuda de custo)</t>
  </si>
  <si>
    <t>Folha / Benefícios / Reembolsos x remuneração</t>
  </si>
  <si>
    <t>Risco de pagamentos a título de ajuda de custo serem reconhecidos como verba de natureza salarial, com reflexos em férias, 13º salário e FGTS.</t>
  </si>
  <si>
    <t>Ausência de política de despesas e benefícios que discipline a comprovação da natureza indenizatória dos pagamentos (ex.: locação de veículo).</t>
  </si>
  <si>
    <t>Passivo trabalhista (reflexos em férias, 13º, FGTS etc.); autuações; aumento de custo permanente.</t>
  </si>
  <si>
    <t>Novos contratos e concessões observam a segregação entre reembolso mediante comprovante e benefício fixo; casos anteriores em revisão.</t>
  </si>
  <si>
    <t>1) Separar o que é reembolso/indenização (com comprovante) do que é benefício fixo; 2) Para casos como “aluguel de veículo”: preferir contrato direto da empresa (locadora) ou reembolso com documento.</t>
  </si>
  <si>
    <t>1) Política de despesas e benefícios.</t>
  </si>
  <si>
    <t>1) Monitoramento contínuo (alerta para habitualidade e valores fora do padrão); 2) Auditoria anual trabalhista focada em remuneração variável/ajudas.</t>
  </si>
  <si>
    <t>Política aprovada; contratos com fornecedores (locação); amostras de reembolsos com comprovantes.</t>
  </si>
  <si>
    <t>PROJ-001</t>
  </si>
  <si>
    <t>Projetos</t>
  </si>
  <si>
    <t>Equipe de Projetos</t>
  </si>
  <si>
    <t>Atraso na entrega de projeto (multas/processo administrativo/qualidade)</t>
  </si>
  <si>
    <t>Planejamento e gestão de cronograma / Gestão de entregas</t>
  </si>
  <si>
    <t>Atraso de entregas gera multas, processos administrativos, custos, retrabalho e entrega sem revisão.</t>
  </si>
  <si>
    <t>Equipe insuficiente, cadeia de dependências, inércia do cliente, pressão por prazo, falhas de campo.</t>
  </si>
  <si>
    <t>Penalidades; perda de margem; reputação; aumento de risco técnico.</t>
  </si>
  <si>
    <t>1) Criar linha de base (cronograma + divisão de tarefas); 2) “Gate” obrigatório: revisão técnica + checklist normativo antes de enviar ao cliente.</t>
  </si>
  <si>
    <t>1) Dimensionamento mínimo por tipo de projeto (básico x executivo); 2) Rotina semanal: controle de avanço no desenvolvimento do projeto.</t>
  </si>
  <si>
    <t>Biblioteca de padrões (templates/checklists).</t>
  </si>
  <si>
    <t>cronogramas aprovados; checklists assinados; e-mails/atas com cliente.</t>
  </si>
  <si>
    <t>PROJ-002</t>
  </si>
  <si>
    <t>Indisponibilidade de equipe após ordem de serviço</t>
  </si>
  <si>
    <t>Mobilização / Gestão de capacidade</t>
  </si>
  <si>
    <t>A ordem de serviço inicia o prazo e a empresa não consegue mobilizar equipe a tempo, gerando atraso.</t>
  </si>
  <si>
    <t>Aviso em cima da hora; ausência de “reserva de capacidade”; falta de plano de contingência.</t>
  </si>
  <si>
    <t>Atrasos; custos; desgaste contratual.</t>
  </si>
  <si>
    <t>Criar procedimento de mobilização + “prontidão mínima” (lista de pessoas/terceiros por disciplina).</t>
  </si>
  <si>
    <t>Modelo de capacidade + contratos guarda-chuva com terceiros.</t>
  </si>
  <si>
    <t>Planejamento integrado (Licitações + Projetos + Operações) com portfólio.</t>
  </si>
  <si>
    <t>plano de mobilização; escalas; contratos de terceiros.</t>
  </si>
  <si>
    <t>PROJ-003</t>
  </si>
  <si>
    <t>Atraso de campo por fatores externos ou dados de terceiros</t>
  </si>
  <si>
    <t>Coleta de campo / Gestão de terceiros técnicos</t>
  </si>
  <si>
    <t>Dados de campo incompletos ou incorretos atrasam o estudo e o projeto ou geram retrabalho.</t>
  </si>
  <si>
    <t>Terceiros sem qualificação; ausência de critérios de aceitação; clima; planejamento ruim.</t>
  </si>
  <si>
    <t>Retrabalho; atraso; erro técnico; custo adicional.</t>
  </si>
  <si>
    <t>1) Definir critérios de aceitação de dados (checklist + padrões mínimos); 2) Aprovar previamente plano de campo (escopo, metodologia, entregáveis, prazos, contingência climática).</t>
  </si>
  <si>
    <t>Qualificação/homologação de prestadores.</t>
  </si>
  <si>
    <t>Padronização de métodos + base histórica (clima/zonas críticas) para planejar melhor.</t>
  </si>
  <si>
    <t>checklists de aceitação; relatórios de campo; homologação de terceiros.</t>
  </si>
  <si>
    <t>PROJ-004</t>
  </si>
  <si>
    <t>Abandono de serviço pelo prestador (terceiro)</t>
  </si>
  <si>
    <t>Gestão contratual de terceiros / Pagamento por marcos</t>
  </si>
  <si>
    <t>Prestador abandona por demora do cliente ou desinteresse, gerando descontinuidade.</t>
  </si>
  <si>
    <t>Contrato sem marcos claros; pagamento desalinhado; prazos dependentes de retorno do cliente.</t>
  </si>
  <si>
    <t>Atraso; necessidade de substituir fornecedor; custo.</t>
  </si>
  <si>
    <t>Contratos com marcos, critérios de aceite, cláusula de substituição e retenção mínima.</t>
  </si>
  <si>
    <t>Avaliação de desempenho.</t>
  </si>
  <si>
    <t>contratos com marcos; registros de performance.</t>
  </si>
  <si>
    <t>PROJ-005</t>
  </si>
  <si>
    <t>Interação com clientes públicos e privados</t>
  </si>
  <si>
    <t>Relacionamento com cliente / Integridade</t>
  </si>
  <si>
    <t>Risco de pagamento ou benefício indevido, facilitação, oferta de presente ou hospitalidade, ou intermediação irregular, em interações com clientes, com exposição anticorrupção.</t>
  </si>
  <si>
    <t>Pressão por OS, medições, aprovações, alterações; falta de registro de interações.</t>
  </si>
  <si>
    <t>Sanções, perda de idoneidade, rescisões, dano reputacional.</t>
  </si>
  <si>
    <t>1) Treinamento “interação com cliente público”; 2) Registro de reuniões em atas.</t>
  </si>
  <si>
    <t>1) Due diligence de intermediários/consultores.</t>
  </si>
  <si>
    <t>1) Monitoramento contínuo e testes de efetividade; 2) Treinamentos anuais sobre o Código de Ética e as diretrizes da empresa.</t>
  </si>
  <si>
    <t>treinamentos; registros.</t>
  </si>
  <si>
    <t>Já foi realizado trainamento no período de 1 ano. Renovação em setembro de 2026 ou realização em novas equipes de obra.</t>
  </si>
  <si>
    <t>PROJ-006</t>
  </si>
  <si>
    <t>Conflito de interesses por vínculo pessoal</t>
  </si>
  <si>
    <t>Contratação de terceiros / Governança ética</t>
  </si>
  <si>
    <t>Favorecimento em contratação ou decisões técnicas por vínculo pessoal.</t>
  </si>
  <si>
    <t>Ausência de declaração formal; baixa fiscalização; cultura de “indicação”.</t>
  </si>
  <si>
    <t>Prejuízo financeiro; questionamentos; sanções contratuais; reputação.</t>
  </si>
  <si>
    <t>Declaração de conflito e regra de impedimento.</t>
  </si>
  <si>
    <t>Due diligence e controles em compras/contratação técnica.</t>
  </si>
  <si>
    <t>1) Cadastro com declaração; 2) Aplicação de sanções disciplinares consistentes.</t>
  </si>
  <si>
    <t>formulários; registros disciplinares (quando houver).</t>
  </si>
  <si>
    <t>PROJ-007</t>
  </si>
  <si>
    <t>Manipulação de orçamento em favor de fornecedor</t>
  </si>
  <si>
    <t>Orçamentação / Estimativas / Interface com compras</t>
  </si>
  <si>
    <t>Risco de alteração de premissas ou cotações para beneficiar determinado fornecedor.</t>
  </si>
  <si>
    <t>Falta de rastreabilidade de premissas; ausência de dupla revisão; conflito de interesse.</t>
  </si>
  <si>
    <t>Fraude; prejuízo; risco de integridade.</t>
  </si>
  <si>
    <t>1) Trilha de premissas (fonte de cotação, data, 3 cotações/justificativa) + dupla revisão.</t>
  </si>
  <si>
    <t>Segregação (quem orça ≠ quem contrata).</t>
  </si>
  <si>
    <t>planilha com fontes.</t>
  </si>
  <si>
    <t>PROJ-008</t>
  </si>
  <si>
    <t>Alteração de projeto sem formalização</t>
  </si>
  <si>
    <t xml:space="preserve">Gestão de mudanças </t>
  </si>
  <si>
    <t>Mudanças sem registro geram responsabilidade indevida, retrabalho não pago e risco técnico.</t>
  </si>
  <si>
    <t>Cliente (especialmente ente público) evita formalização; reuniões frequentes sem ata.</t>
  </si>
  <si>
    <t>Prejuízo financeiro; risco jurídico; não conformidade; disputa contratual.</t>
  </si>
  <si>
    <t>1) Procedimento que condiciona qualquer alteração a ordem formal ou, no mínimo, confirmação por e-mail após a reunião; 2) Ata de reunião padrão.</t>
  </si>
  <si>
    <t>cláusula contratual de change order + matriz de aprovação (quem aprova mudança).</t>
  </si>
  <si>
    <t>atas/e-mails de confirmação; registros contratuais.</t>
  </si>
  <si>
    <t>PROJ-010</t>
  </si>
  <si>
    <t>Equipe de Projetos e Equipe de Licitações</t>
  </si>
  <si>
    <t>Inexequibilidade por preço ou prazo inadequados</t>
  </si>
  <si>
    <t>Precificação vs capacidade</t>
  </si>
  <si>
    <t>Preço baixo ou prazo curto inviabilizam a execução técnica, gerando atrasos e não conformidades.</t>
  </si>
  <si>
    <t>Premissas inadequadas; ausência de validação técnica/capacidade antes de fechar proposta.</t>
  </si>
  <si>
    <t>Prejuízo; atraso; entregas sem revisão; retrabalho; penalidades.</t>
  </si>
  <si>
    <t>1) Análise obrigatória de validação técnica e de capacidade antes do envio/assinatura da proposta; 2) Análise de Valor de Mercado dos Serviços Terceirizados: todos os serviços terceirizados previstos deverão ser submetidos previamente à análise, para assegurar a exequibilidade financeira da proposta, a compatibilidade dos preços e a vantajosidade da futura contratação, contemplando, no mínimo: (a) pesquisa de mercado com, no mínimo, três cotações válidas junto a fornecedores qualificados; (b) documentação da intenção de contratação do fornecedor selecionado, condicionada ao êxito na licitação, preservando valores, escopo e condições negociadas.</t>
  </si>
  <si>
    <t>Checklist de premissas + banco histórico de produtividade por tipo de projeto; lições aprendidas.</t>
  </si>
  <si>
    <t>checklists; atas do comitê; histórico de premissas.</t>
  </si>
  <si>
    <t>PROJ-011</t>
  </si>
  <si>
    <t>Direcionamento de certame e acesso indevido a orçamento</t>
  </si>
  <si>
    <t>Integridade em projetos / Interface com mercado e execução</t>
  </si>
  <si>
    <t>Risco de pressão para ajustar solução ou escopo em favor de licitante pré-definido, de acesso indevido ao orçamento e de custeio de despesas por futura executora.</t>
  </si>
  <si>
    <t>Ausência de barreiras de acesso à informação orçamentária, de registro de contatos e de canal de reporte.</t>
  </si>
  <si>
    <t>Corrupção; sanções; perda de idoneidade; anulação de certame; danos reputacionais.</t>
  </si>
  <si>
    <t>Proibir “acesso a orçamento” por terceiros não autorizados + registro de contatos + canal de denúncia e orientação.</t>
  </si>
  <si>
    <t>Cláusulas e NDAs robustos; due diligence de parceiros; segregação de equipes/informações.</t>
  </si>
  <si>
    <t>Monitoramento e auditorias.</t>
  </si>
  <si>
    <t>registros de interação; NDAs; comunicações internas.</t>
  </si>
  <si>
    <t>PROJ-013</t>
  </si>
  <si>
    <t>Aditivos decorrentes de alteração pelo cliente</t>
  </si>
  <si>
    <t>Gestão contratual de terceiros / Mudança de escopo</t>
  </si>
  <si>
    <t>Alteração pelo cliente gera custo adicional do terceiro que a JDS absorve, por falta de cláusula de reequilíbrio.</t>
  </si>
  <si>
    <t>Contratos sem cláusula de change order e sem marcos; escopo aberto; falta de registro de mudanças.</t>
  </si>
  <si>
    <t>Dano financeiro; disputa; atraso.</t>
  </si>
  <si>
    <t>Contratos com marcos, critérios de aceite e cláusula de reajuste por mudança.</t>
  </si>
  <si>
    <t>matriz de mudanças integrada (cliente-JDS-terceiro) e aprovação prévia.</t>
  </si>
  <si>
    <t>contratos revisados; aditivos formalizados.</t>
  </si>
  <si>
    <t>OP-001</t>
  </si>
  <si>
    <t>Operação</t>
  </si>
  <si>
    <t>Equipe de Operações</t>
  </si>
  <si>
    <t>Contratos de baixa margem (custo e retorno reduzidos)</t>
  </si>
  <si>
    <t>Execução / Gestão econômico-financeira da obra</t>
  </si>
  <si>
    <t>Margens muito reduzidas geram pressão por economias na execução (mão de obra, materiais, qualidade).</t>
  </si>
  <si>
    <t>Subprecificação e ausência de análise de viabilidade econômica da proposta.</t>
  </si>
  <si>
    <t>Retrabalho, atraso, penalidades, qualidade baixa, passivo contratual e reputacional.</t>
  </si>
  <si>
    <t>Análise de viabilidade (Projetos/Operações/Financeiro) antes de mobilizar; plano mínimo de qualidade e segurança por obra.</t>
  </si>
  <si>
    <t>Orçamento realista por obra + controle de custos e produtividade; critérios mínimos de qualificação por função crítica.</t>
  </si>
  <si>
    <t>ata da análise de viabilidade; plano de obra; relatório de produtividade/custos.</t>
  </si>
  <si>
    <t>OP-002</t>
  </si>
  <si>
    <t>Mão de obra desqualificada (qualidade/segurança/erro técnico)</t>
  </si>
  <si>
    <t>Gestão de pessoas na obra / Qualidade</t>
  </si>
  <si>
    <t>Emprego de equipe sem qualificação mínima gera erro técnico, acidentes e não conformidade.</t>
  </si>
  <si>
    <t>Pressa na mobilização, custo baixo, falta de critério de competência.</t>
  </si>
  <si>
    <t>Acidente, retrabalho, responsabilidade civil/contratual.</t>
  </si>
  <si>
    <t>Matriz mínima de competências por função + check documental (NRs, certificações, experiência).</t>
  </si>
  <si>
    <t>Treinamento e reciclagem; lista de profissionais aprovados/backup.</t>
  </si>
  <si>
    <t>matriz de competência; lista de presença.</t>
  </si>
  <si>
    <t>OP-003</t>
  </si>
  <si>
    <t>Prestação de serviços à empresa executora da obra</t>
  </si>
  <si>
    <t>Interface com executora / Independência técnica / Integridade</t>
  </si>
  <si>
    <t>Risco de comprometimento da independência da supervisão em razão de relação de prestação de serviços com a executora, com conflito de interesses.</t>
  </si>
  <si>
    <t>Arranjos comerciais mal definidos; ausência de cláusulas de independência; relações pessoais.</t>
  </si>
  <si>
    <t>Rescisão, sanções, dano reputacional e risco de integridade.</t>
  </si>
  <si>
    <t>Formalizar escopo/limites de atuação; proibir compartilhamento de orçamento/pareceres sensíveis.</t>
  </si>
  <si>
    <t>1) Inclusão de cláusulas anticorrupção nos contratos; 2) Segregação de equipe/informação.</t>
  </si>
  <si>
    <t>Due diligence da executora/terceiros.</t>
  </si>
  <si>
    <t>contrato; registro de reuniões.</t>
  </si>
  <si>
    <t>OP-004</t>
  </si>
  <si>
    <t>Uso indevido do nome da empresa para obtenção de benefícios</t>
  </si>
  <si>
    <t>Conduta / Representação / Fraudes</t>
  </si>
  <si>
    <t>Risco de uso do nome ou das credenciais da empresa por colaborador ou terceiro para obtenção de vantagem indevida.</t>
  </si>
  <si>
    <t>Falta de controle de credenciais, ausência de regra e punição clara.</t>
  </si>
  <si>
    <t>Fraude, responsabilização reputacional, litígio, sanções contratuais.</t>
  </si>
  <si>
    <t>1) Política de uso do nome e da marca da empresa, com vedação de uso para vantagem pessoal; 2) Controle de credenciais e autorizações; 3) Previsão de medida disciplinar.</t>
  </si>
  <si>
    <t>1) Validação de representantes autorizados; comunicação a fornecedores/cliente sobre canais oficiais da empresa.</t>
  </si>
  <si>
    <t>Treinamento anual sobre diretrizes do código de ética.</t>
  </si>
  <si>
    <t>código de ética; comunicados; registros de apuração.</t>
  </si>
  <si>
    <t>OP-005</t>
  </si>
  <si>
    <t>Equipe de Operações e RH</t>
  </si>
  <si>
    <t>Assédio sexual</t>
  </si>
  <si>
    <t>RH/conduta / Ambiente de trabalho na obra</t>
  </si>
  <si>
    <t>Ocorrência de assédio sexual por superior, pares, cliente ou executora.</t>
  </si>
  <si>
    <t>Cultura permissiva, ausência de treinamento, falta de canal seguro, impunidade.</t>
  </si>
  <si>
    <t>Passivo trabalhista/cível, dano reputacional, afastamentos, crise.</t>
  </si>
  <si>
    <t>1) Sinalização a respeito de existência canal de denúncia com proteção ao denunciante; 2) instauração de procedimento de apuração e medidas imediatas (afastamento preventivo quando cabível).</t>
  </si>
  <si>
    <t>1) Realização de campanhas periódicas de conscientização; 2) Inclusão de cláusulas em contratos com terceiros (executora) exigindo cooperação em apuração.</t>
  </si>
  <si>
    <t>treinamentos periódicos; registros de apuração (com sigilo).</t>
  </si>
  <si>
    <t>OP-006</t>
  </si>
  <si>
    <t>Equipe de Operações e RH/Compliance</t>
  </si>
  <si>
    <t>Assédio moral e abuso de autoridade</t>
  </si>
  <si>
    <t>Liderança em campo / RH</t>
  </si>
  <si>
    <t>Risco de assédio moral (cobrança abusiva, humilhação, retaliação), inclusive sob pressão de fiscal ou executora.</t>
  </si>
  <si>
    <t>Gestão por medo, falta de treinamento de liderança, pressão por prazo.</t>
  </si>
  <si>
    <t>ações trabalhistas, turnover, queda de produtividade e risco de retaliação contra denúncias.</t>
  </si>
  <si>
    <t>Treinamento de líderes; canal com anti-retaliação; regra de escalonamento (RH/Compliance).</t>
  </si>
  <si>
    <t>Avaliação de liderança + plano de melhoria.</t>
  </si>
  <si>
    <t>Cultura de segurança psicológica; monitoramento por indicadores.</t>
  </si>
  <si>
    <t>treinamentos; medidas disciplinares; pesquisas internas.</t>
  </si>
  <si>
    <t>OP-007</t>
  </si>
  <si>
    <t>Corrupção em obra (interação indevida entre fiscal e equipe técnica)</t>
  </si>
  <si>
    <t>Integridade / Interação com agente público / Fiscalização</t>
  </si>
  <si>
    <t>Risco de pagamento ou benefício indevido, facilitação ou fraude documental ou de medição em obra, em interações entre fiscalização e equipe técnica.</t>
  </si>
  <si>
    <t>Pressão por prazo, baixa orientação, falta de registro de interações, terceiros intermediando.</t>
  </si>
  <si>
    <t>sanções severas, rescisões, perda de idoneidade, responsabilização civil/penal.</t>
  </si>
  <si>
    <t>1) Regra clara: zero facilitação; 2) Registro obrigatório de interações com fiscal/órgão; 3) Treinamento “situações de pressão” + canal de reporte imediato de problemas.</t>
  </si>
  <si>
    <t>1) Due diligence de terceiros/intermediários; 2)  auditoria periódica de medições.</t>
  </si>
  <si>
    <t>registros/atas; relatórios de auditoria; treinamentos.</t>
  </si>
  <si>
    <t>OP-008</t>
  </si>
  <si>
    <t>Descontinuidade de obra por incidente de colaborador</t>
  </si>
  <si>
    <t>Gestão de crise / Continuidade operacional</t>
  </si>
  <si>
    <t>Risco de perda de contrato ou de continuidade em razão de incidente causado por colaborador (erro grave, conduta inadequada ou acidente), com pressão do cliente ou executora pela retirada da equipe.</t>
  </si>
  <si>
    <t>Falha de supervisão, falta de padrão mínimo, ausência de plano de resposta a incidentes.</t>
  </si>
  <si>
    <t>rescisão, multas, reputação, custo de remobilização.</t>
  </si>
  <si>
    <t>1)Plano de resposta a incidentes (quem aciona, como registra, como corrige); 2) Comunicação formal com cliente; 3) Adoção de medidas corretivas imediatas.</t>
  </si>
  <si>
    <t xml:space="preserve">1) Treinamento períodico sempre que existir troca de equipe. </t>
  </si>
  <si>
    <t>plano; registros de incidentes; atas com cliente.</t>
  </si>
  <si>
    <t>OP-009</t>
  </si>
  <si>
    <t>Contratação de pessoas ligadas ao órgão contratante</t>
  </si>
  <si>
    <t>Terceiros / Contratação pós-contrato / Integridade</t>
  </si>
  <si>
    <t>Risco de contratação de consultor vinculado ao órgão após adjudicação, gerando aparência ou risco de influência indevida.</t>
  </si>
  <si>
    <t>Busca de facilitação técnica ou de relacionamento; ausência de regra de impedimento.</t>
  </si>
  <si>
    <t>sanções, investigação, nulidade, dano reputacional.</t>
  </si>
  <si>
    <t>1) Proibir contratações sensíveis sem aprovação Compliance/Jurídico.</t>
  </si>
  <si>
    <t>monitoramento contínuo de terceiros críticos.</t>
  </si>
  <si>
    <t>aprovações; contrato com cláusulas; registro de prestação.</t>
  </si>
  <si>
    <t>OP-010</t>
  </si>
  <si>
    <t>Apoio técnico a terceiros em licitações</t>
  </si>
  <si>
    <t>Parcerias e consórcios / Integridade / Concorrência</t>
  </si>
  <si>
    <t>Risco de utilização da capacidade técnica, de atestados ou de conhecimento da empresa em favor de terceiros em licitações, sem transparência e sem contrato, com potencial de irregularidade concorrencial.</t>
  </si>
  <si>
    <t>Ausência de política para parcerias e de exigência de contrato formal; pressão comercial.</t>
  </si>
  <si>
    <t>nulidade, sanções administrativas, dano reputacional, risco anticorrupção.</t>
  </si>
  <si>
    <t>1) Vedação do uso do nome ou de atestados sem contrato formal e aprovação da Diretoria e do Compliance; 2) Política de parcerias.</t>
  </si>
  <si>
    <t>1) Implementação de política de parcerias/consórcios.</t>
  </si>
  <si>
    <t>contratos; aprovações; política.</t>
  </si>
  <si>
    <t>OP-011</t>
  </si>
  <si>
    <t>Sinistro com carro de locadora</t>
  </si>
  <si>
    <t>Frota/locação / Segurança / Custos</t>
  </si>
  <si>
    <t>Colisão ou avaria em veículo locado gera custos, franquias e disputas.</t>
  </si>
  <si>
    <t>Falta de política de uso, falta de checklist de entrega/devolução, condutor sem treinamento.</t>
  </si>
  <si>
    <t>custo financeiro; paralisação; litígio com locadora; reputação.</t>
  </si>
  <si>
    <t>Termo de responsabilidade assinado pelo condutor</t>
  </si>
  <si>
    <t>1) Checklist de inspeção (fotos) na retirada/devolução; 2) Reporte imediato de sinistro.</t>
  </si>
  <si>
    <t>1) Controle de multas e condutores, com desconto do valor do sinistro da remuneração final do condutor.</t>
  </si>
  <si>
    <t>1) Monitoramento e revisão de contratos com locadora (coberturas/franquias).</t>
  </si>
  <si>
    <t>termo de responsabilidade; relatórios de sinistro; lista de condutores.</t>
  </si>
  <si>
    <t>LIC-001</t>
  </si>
  <si>
    <t>Licitação</t>
  </si>
  <si>
    <t>Equipe de Licitações</t>
  </si>
  <si>
    <t>Interação com agentes públicos fora dos canais oficiais</t>
  </si>
  <si>
    <t>Interação com órgão/cliente público</t>
  </si>
  <si>
    <t>Risco de que interações com agentes públicos ocorram fora dos canais oficiais e sem registro formal, o que poderia comprometer a rastreabilidade e ser interpretado como tentativa de influência indevida.</t>
  </si>
  <si>
    <t>Eventual indisponibilidade ou lentidão dos canais oficiais durante o certame e ausência de rotina padronizada de registro das comunicações.</t>
  </si>
  <si>
    <t>Questionamentos, auditorias, investigações, reputação e risco de sanções.</t>
  </si>
  <si>
    <t>Uso prioritário dos canais oficiais do sistema de licitações; orientação para que interações por outros meios ocorram apenas em caráter excepcional, a partir de contatos institucionais disponibilizados pelo próprio órgão, com registro.</t>
  </si>
  <si>
    <t>1) Procedimento de registro mínimo (data, assunto, participantes, canal) + regra de “confirmação por e-mail” quando houver decisão/encaminhamento.</t>
  </si>
  <si>
    <t>1) Treinamento de equipe (o que pode/não pode).</t>
  </si>
  <si>
    <t>1) Centralização do contato em canais oficiais; 2) Auditoria por contrato/órgão.</t>
  </si>
  <si>
    <t>planilha de contatos; e-mails de confirmação; treinamento.</t>
  </si>
  <si>
    <t>LIC-003</t>
  </si>
  <si>
    <t>Remuneração do serviço de assessoria em licitação</t>
  </si>
  <si>
    <t>Precificação e faturamento / Modelo de contratação</t>
  </si>
  <si>
    <t>Risco de que a remuneração de serviços de assessoria em licitação seja recebida de forma inadequada (sem contrato formal ou sem nota fiscal correspondente), com exposição fiscal e de integridade.</t>
  </si>
  <si>
    <t>Ausência de modelo padronizado de remuneração; pagamentos informais; falta de documentação.</t>
  </si>
  <si>
    <t>Autuações; disputa comercial; risco reputacional e compliance; fragilidade probatória.</t>
  </si>
  <si>
    <t>1) Definir imediatamente modelo padrão (ex.: consultoria técnica/administrativa com preço fixo ou por hora, com escopo e entregáveis); 2) Proibir remuneração que dependa de “decisão de agente público” ou que pareça comissão por vitória sem transparência.</t>
  </si>
  <si>
    <t>1) Criar templates: contrato + proposta comercial aceite; 2) Fluxo de aprovação Financeiro/Compliance para qualquer assessoria de licitação.</t>
  </si>
  <si>
    <t>1) Catálogo de serviços e precificação; 2) Auditoria de contratos e recebíveis ligados a licitação/parcerias.</t>
  </si>
  <si>
    <t>contrato padrão; NFs; registros de aceite/entregáveis; aprovação interna.</t>
  </si>
  <si>
    <t>LIC-004</t>
  </si>
  <si>
    <t>Uso do acervo técnico de profissionais em licitações</t>
  </si>
  <si>
    <t>Gestão de dados / RH</t>
  </si>
  <si>
    <t>Risco de utilização de dados pessoais e do acervo técnico de profissionais em processos licitatórios sem base formal (autorização documentada, finalidade e prazo definidos), com exposição a responsabilização sob a LGPD.</t>
  </si>
  <si>
    <t>Ausência de instrumento padronizado de autorização e de controle de finalidade e de destinatários no uso do acervo técnico dos profissionais.</t>
  </si>
  <si>
    <t>Exposição LGPD; questionamentos internos; dano reputacional.</t>
  </si>
  <si>
    <t>Autorização de uso do acervo técnico mediante formulário próprio, com solicitação prévia e registro por e-mail institucional.</t>
  </si>
  <si>
    <t>1) Formulário padrão de autorização de uso do acervo técnico do profissional para fins de licitação, com finalidade, prazo, destinatários e possibilidade de revogação; 2) Solicitação prévia e registro obrigatório por e-mail institucional a cada utilização; 3) Arquivamento das autorizações pelo Oficial de Compliance.</t>
  </si>
  <si>
    <t>Formulários de autorização assinados; e-mails de solicitação e concessão.</t>
  </si>
  <si>
    <t>LIC-006</t>
  </si>
  <si>
    <t>Compartilhamento de documentos por canais não seguros</t>
  </si>
  <si>
    <t>Segurança da informação / Gestão documental de propostas</t>
  </si>
  <si>
    <t>Risco de vazamento de propostas, documentos sensíveis e credenciais, e de perda de trilha e versionamento, pelo uso de canais abertos de transferência de arquivos.</t>
  </si>
  <si>
    <t>Ausência de repositório corporativo com controle de acesso, logs e expiração.</t>
  </si>
  <si>
    <t>Perda competitiva; questionamentos; LGPD; risco de integridade.</t>
  </si>
  <si>
    <t>1) Proibir WeTransfer/link aberto para licitações; 2) Usar repositório corporativo com controle de acesso, expiração e MFA.</t>
  </si>
  <si>
    <t>1) Estrutura de pastas por licitação e revisão de acessos e versionamento.</t>
  </si>
  <si>
    <t>1) Alertas de compartilhamento e governança automatizada (expiração de links + auditoria).</t>
  </si>
  <si>
    <t>Alto</t>
  </si>
  <si>
    <t>política; matriz de acesso; alertas.</t>
  </si>
  <si>
    <t>LIC-007</t>
  </si>
  <si>
    <t>Controles em processo licitatório eletrônico</t>
  </si>
  <si>
    <t>Controles do processo licitatório</t>
  </si>
  <si>
    <t>Risco de relaxamento de controles em certames eletrônicos (conferência documental, prazos, requisitos), pela percepção de baixo risco e ausência de revisão por pares.</t>
  </si>
  <si>
    <t>Percepção de baixo risco; ausência de revisão por pares.</t>
  </si>
  <si>
    <t>Perda de oportunidade; atrasos; desgaste comercial.</t>
  </si>
  <si>
    <t>1) Checklist de habilitação e proposta + dupla revisão (4 olhos) antes do envio.</t>
  </si>
  <si>
    <t>1) Biblioteca de documentos padrão e controle de versões.</t>
  </si>
  <si>
    <t>1) Métricas de “causa de inabilitação” e melhoria contínua.</t>
  </si>
  <si>
    <t>checklists assinados; lições aprendidas.</t>
  </si>
  <si>
    <t>Escala de Probabilidade (P) – 1 a 5</t>
  </si>
  <si>
    <t>1 - Rara -&gt; Frequência esperada ≤ 1 vez em 5 anos (ou ≤ 5% ao ano)
Pode ocorrer, mas não há histórico e exigiria combinação incomum de fatores.</t>
  </si>
  <si>
    <t>2 - Improvável -&gt; Frequência esperada 1 vez em 2 a 5 anos (5–20% ao ano)
Pode ocorrer, mas pouco provável nas condições atuais; há controles razoáveis.</t>
  </si>
  <si>
    <t>3 - Possível -&gt; Frequência esperada 1 vez por ano (20–50% ao ano)
Pode ocorrer em condições normais; há lacunas ou dependência de comportamento humano.</t>
  </si>
  <si>
    <t>4 - Provável -&gt; Frequência esperada 2 a 6 vezes por ano (50–80% ao ano)
Tende a ocorrer; controles fracos / inexistentes ou exposição alta.</t>
  </si>
  <si>
    <t>5 - Quase certa -&gt; Frequência esperada mensal / semanal (&gt;80% ao ano)
Já ocorre ou é esperado que ocorra várias vezes sem intervenção imediata.</t>
  </si>
  <si>
    <t>Impacto (I) – 1 a 4</t>
  </si>
  <si>
    <t>1. Baixo: impacto operacional pequeno, sem repercussão externa, custo baixo.</t>
  </si>
  <si>
    <t>2. Moderado: atraso/custo relevante, exige retrabalho e gestão, repercussão interna.</t>
  </si>
  <si>
    <t>3. Alto: paralisa parte da operação, possível impacto contratual/penalidades, risco reputacional.</t>
  </si>
  <si>
    <t>4. Crítico: paralisação significativa, risco regulatório/contratual grave, perda de dados sensíveis, repercussão externa importante.</t>
  </si>
  <si>
    <t>Rio de Janeiro, 30 de julho de 2026.</t>
  </si>
  <si>
    <t>Histórico de versões: V. 01.2026, aprovada pela Diretoria Executiva em 24/03/2026. V. 02.2026: (i) excluídos os riscos LIC-002 e LIC-005 em razão da descontinuação da atividade, deixando de existir a exposição que os originava; (ii) revisão de redação dos demais riscos e atualização do status dos controles. Aprovada pela Diretoria Executiva em 30/07/2026.</t>
  </si>
  <si>
    <t>Revisão da Matriz de Riscos de Integridade, com atualização das descrições dos riscos, revisão das medidas mitigadoras, reavaliação dos controles implementados e exclusão dos riscos que deixaram de representar a realidade operacional da empresa em razão da revisão de processos internos e da descontinuidade de determinadas atividades. Aprovada pela Diretoria Executiva em 30/07/2026.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</si>
</sst>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charset val="1"/>
    </font>
    <font>
      <b/>
      <sz val="13"/>
      <color rgb="FFF5A800"/>
      <name val="Arial"/>
      <charset val="1"/>
    </font>
    <font>
      <b/>
      <sz val="12"/>
      <color rgb="FF2C2C2C"/>
      <name val="Arial"/>
      <charset val="1"/>
    </font>
    <font>
      <b/>
      <sz val="10"/>
      <color rgb="FF2C2C2C"/>
      <name val="Arial"/>
      <charset val="1"/>
    </font>
    <font>
      <sz val="10"/>
      <color rgb="FF2C2C2C"/>
      <name val="Arial"/>
      <charset val="1"/>
    </font>
    <font>
      <b/>
      <sz val="11"/>
      <color rgb="FFFFFFFF"/>
      <name val="Arial"/>
      <charset val="1"/>
    </font>
    <font>
      <i/>
      <sz val="10"/>
      <color rgb="FF2C2C2C"/>
      <name val="Arial"/>
      <charset val="1"/>
    </font>
    <font>
      <sz val="9"/>
      <color rgb="FF666666"/>
      <name val="Arial"/>
      <charset val="1"/>
    </font>
    <font>
      <sz val="11"/>
      <color theme="1"/>
      <name val="Aptos"/>
      <family val="2"/>
      <charset val="1"/>
    </font>
    <font>
      <b/>
      <sz val="11"/>
      <name val="Aptos"/>
      <family val="2"/>
      <charset val="1"/>
    </font>
    <font>
      <b/>
      <sz val="11"/>
      <color theme="1"/>
      <name val="Aptos"/>
      <family val="2"/>
      <charset val="1"/>
    </font>
    <font>
      <sz val="11"/>
      <color theme="1"/>
      <name val="Aptos"/>
      <family val="2"/>
    </font>
    <font>
      <b/>
      <sz val="10"/>
      <color theme="1"/>
      <name val="Arial"/>
      <family val="2"/>
    </font>
    <font>
      <sz val="10"/>
      <color theme="1"/>
      <name val="Arial"/>
      <family val="2"/>
    </font>
  </fonts>
  <fills count="10">
    <fill>
      <patternFill patternType="none"/>
    </fill>
    <fill>
      <patternFill patternType="gray125"/>
    </fill>
    <fill>
      <patternFill patternType="solid">
        <fgColor rgb="FFF5A800"/>
        <bgColor rgb="FFFFC000"/>
      </patternFill>
    </fill>
    <fill>
      <patternFill patternType="solid">
        <fgColor rgb="FF1A1A2E"/>
        <bgColor rgb="FF2C2C2C"/>
      </patternFill>
    </fill>
    <fill>
      <patternFill patternType="solid">
        <fgColor rgb="FFF2F2F2"/>
        <bgColor rgb="FFFAFAFA"/>
      </patternFill>
    </fill>
    <fill>
      <patternFill patternType="solid">
        <fgColor rgb="FFFAFAFA"/>
        <bgColor rgb="FFFFFFFF"/>
      </patternFill>
    </fill>
    <fill>
      <patternFill patternType="solid">
        <fgColor rgb="FFFFF8E1"/>
        <bgColor rgb="FFFAFAFA"/>
      </patternFill>
    </fill>
    <fill>
      <patternFill patternType="solid">
        <fgColor rgb="FFF08010"/>
        <bgColor rgb="FFF5A800"/>
      </patternFill>
    </fill>
    <fill>
      <patternFill patternType="solid">
        <fgColor rgb="FFF6C422"/>
        <bgColor rgb="FFFFC000"/>
      </patternFill>
    </fill>
    <fill>
      <patternFill patternType="solid">
        <fgColor theme="2"/>
        <bgColor rgb="FFF2F2F2"/>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F5A800"/>
      </left>
      <right style="medium">
        <color rgb="FFF5A800"/>
      </right>
      <top style="medium">
        <color rgb="FFF5A800"/>
      </top>
      <bottom style="thin">
        <color rgb="FFCCCCCC"/>
      </bottom>
      <diagonal/>
    </border>
    <border>
      <left/>
      <right/>
      <top/>
      <bottom style="medium">
        <color rgb="FF2C2C2C"/>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CCCCCC"/>
      </top>
      <bottom style="thin">
        <color rgb="FFCCCCCC"/>
      </bottom>
      <diagonal/>
    </border>
    <border>
      <left/>
      <right/>
      <top style="medium">
        <color rgb="FFF5A800"/>
      </top>
      <bottom style="thin">
        <color rgb="FFCCCCCC"/>
      </bottom>
      <diagonal/>
    </border>
    <border>
      <left/>
      <right style="medium">
        <color rgb="FFF5A800"/>
      </right>
      <top style="medium">
        <color rgb="FFF5A800"/>
      </top>
      <bottom style="thin">
        <color rgb="FFCCCCCC"/>
      </bottom>
      <diagonal/>
    </border>
  </borders>
  <cellStyleXfs count="1">
    <xf numFmtId="0" fontId="0" fillId="0" borderId="0"/>
  </cellStyleXfs>
  <cellXfs count="41">
    <xf numFmtId="0" fontId="0" fillId="0" borderId="0" xfId="0"/>
    <xf numFmtId="0" fontId="0" fillId="2" borderId="0" xfId="0" applyFill="1"/>
    <xf numFmtId="0" fontId="0" fillId="5" borderId="0" xfId="0" applyFill="1"/>
    <xf numFmtId="0" fontId="3" fillId="4" borderId="1" xfId="0" applyFont="1" applyFill="1" applyBorder="1" applyAlignment="1">
      <alignment horizontal="left" vertical="center" indent="1"/>
    </xf>
    <xf numFmtId="0" fontId="0" fillId="6" borderId="0" xfId="0" applyFill="1"/>
    <xf numFmtId="0" fontId="8" fillId="0" borderId="0" xfId="0" applyFont="1" applyAlignment="1">
      <alignment horizontal="center" vertical="center" wrapText="1"/>
    </xf>
    <xf numFmtId="0" fontId="9" fillId="4"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9" fillId="7" borderId="5"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xf>
    <xf numFmtId="0" fontId="8" fillId="0" borderId="5" xfId="0" applyFont="1" applyBorder="1" applyAlignment="1">
      <alignment horizontal="center" vertical="center"/>
    </xf>
    <xf numFmtId="0" fontId="10" fillId="8" borderId="6"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8" fillId="0" borderId="0" xfId="0" applyFont="1"/>
    <xf numFmtId="0" fontId="0" fillId="0" borderId="0" xfId="0" applyAlignment="1">
      <alignment horizontal="center" vertical="center" wrapText="1"/>
    </xf>
    <xf numFmtId="0" fontId="10" fillId="9" borderId="5" xfId="0" applyFont="1" applyFill="1" applyBorder="1" applyAlignment="1">
      <alignment horizontal="center" vertical="center"/>
    </xf>
    <xf numFmtId="0" fontId="8" fillId="0" borderId="7" xfId="0" applyFont="1" applyBorder="1" applyAlignment="1">
      <alignment horizontal="center" vertical="center"/>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8" fillId="0" borderId="6" xfId="0" applyFont="1" applyBorder="1" applyAlignment="1">
      <alignment horizontal="center" vertical="center"/>
    </xf>
    <xf numFmtId="0" fontId="5" fillId="3" borderId="0" xfId="0" applyFont="1" applyFill="1" applyAlignment="1">
      <alignment horizontal="left" vertical="center" indent="1"/>
    </xf>
    <xf numFmtId="0" fontId="0" fillId="0" borderId="0" xfId="0"/>
    <xf numFmtId="0" fontId="3" fillId="0" borderId="0" xfId="0" applyFont="1" applyAlignment="1">
      <alignment horizontal="center" vertical="center"/>
    </xf>
    <xf numFmtId="0" fontId="4" fillId="6" borderId="3" xfId="0" applyFont="1" applyFill="1" applyBorder="1" applyAlignment="1">
      <alignment horizontal="left" vertical="center" wrapText="1" indent="1"/>
    </xf>
    <xf numFmtId="0" fontId="0" fillId="0" borderId="9" xfId="0" applyBorder="1"/>
    <xf numFmtId="0" fontId="0" fillId="0" borderId="10" xfId="0" applyBorder="1"/>
    <xf numFmtId="0" fontId="1" fillId="3" borderId="0" xfId="0" applyFont="1" applyFill="1" applyAlignment="1">
      <alignment horizontal="left" vertical="center"/>
    </xf>
    <xf numFmtId="0" fontId="6" fillId="0" borderId="0" xfId="0" applyFont="1" applyAlignment="1">
      <alignment horizontal="center" vertical="center"/>
    </xf>
    <xf numFmtId="0" fontId="4" fillId="5" borderId="2" xfId="0" applyFont="1" applyFill="1" applyBorder="1" applyAlignment="1">
      <alignment horizontal="left" vertical="center" indent="1"/>
    </xf>
    <xf numFmtId="0" fontId="0" fillId="0" borderId="8" xfId="0" applyBorder="1"/>
    <xf numFmtId="0" fontId="0" fillId="0" borderId="2" xfId="0" applyBorder="1"/>
    <xf numFmtId="0" fontId="2" fillId="4" borderId="0" xfId="0" applyFont="1" applyFill="1" applyAlignment="1">
      <alignment horizontal="center" vertical="center"/>
    </xf>
    <xf numFmtId="0" fontId="0" fillId="0" borderId="4" xfId="0" applyBorder="1"/>
    <xf numFmtId="0" fontId="4" fillId="5" borderId="1" xfId="0" applyFont="1" applyFill="1" applyBorder="1" applyAlignment="1">
      <alignment horizontal="left" vertical="top" wrapText="1" indent="1"/>
    </xf>
    <xf numFmtId="0" fontId="7" fillId="0" borderId="0" xfId="0" applyFont="1" applyAlignment="1">
      <alignment horizontal="center" vertical="top" wrapText="1"/>
    </xf>
  </cellXfs>
  <cellStyles count="1">
    <cellStyle name="Normal" xfId="0" builtinId="0"/>
  </cellStyles>
  <dxfs count="7">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5D4037"/>
      <rgbColor rgb="FFFFF8E1"/>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FAFAFA"/>
      <rgbColor rgb="FFFFFF99"/>
      <rgbColor rgb="FF99CCFF"/>
      <rgbColor rgb="FFFF99CC"/>
      <rgbColor rgb="FFCC99FF"/>
      <rgbColor rgb="FFF6C422"/>
      <rgbColor rgb="FF3366FF"/>
      <rgbColor rgb="FF33CCCC"/>
      <rgbColor rgb="FF99CC00"/>
      <rgbColor rgb="FFFFC000"/>
      <rgbColor rgb="FFF5A800"/>
      <rgbColor rgb="FFF08010"/>
      <rgbColor rgb="FF666666"/>
      <rgbColor rgb="FF969696"/>
      <rgbColor rgb="FF003366"/>
      <rgbColor rgb="FF00B050"/>
      <rgbColor rgb="FF003300"/>
      <rgbColor rgb="FF1A1A2E"/>
      <rgbColor rgb="FF993300"/>
      <rgbColor rgb="FF993366"/>
      <rgbColor rgb="FF333399"/>
      <rgbColor rgb="FF2C2C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2598554</xdr:colOff>
      <xdr:row>14</xdr:row>
      <xdr:rowOff>28574</xdr:rowOff>
    </xdr:from>
    <xdr:to>
      <xdr:col>5</xdr:col>
      <xdr:colOff>523875</xdr:colOff>
      <xdr:row>17</xdr:row>
      <xdr:rowOff>318134</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98829" y="4019549"/>
          <a:ext cx="3059296" cy="1727835"/>
        </a:xfrm>
        <a:prstGeom prst="rect">
          <a:avLst/>
        </a:prstGeom>
        <a:ln>
          <a:prstDash val="solid"/>
        </a:ln>
      </xdr:spPr>
    </xdr:pic>
    <xdr:clientData/>
  </xdr:twoCellAnchor>
  <xdr:twoCellAnchor editAs="oneCell">
    <xdr:from>
      <xdr:col>1</xdr:col>
      <xdr:colOff>1600200</xdr:colOff>
      <xdr:row>15</xdr:row>
      <xdr:rowOff>419100</xdr:rowOff>
    </xdr:from>
    <xdr:to>
      <xdr:col>2</xdr:col>
      <xdr:colOff>1514475</xdr:colOff>
      <xdr:row>17</xdr:row>
      <xdr:rowOff>56010</xdr:rowOff>
    </xdr:to>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1800225" y="4581525"/>
          <a:ext cx="1914525" cy="903734"/>
        </a:xfrm>
        <a:prstGeom prst="rect">
          <a:avLst/>
        </a:prstGeom>
        <a:ln>
          <a:prstDash val="solid"/>
        </a:ln>
      </xdr:spPr>
    </xdr:pic>
    <xdr:clientData/>
  </xdr:twoCellAnchor>
</xdr:wsDr>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0"/>
  <sheetViews>
    <sheetView showGridLines="0" zoomScale="85" zoomScaleNormal="85" workbookViewId="0">
      <selection activeCell="C30" sqref="C30"/>
    </sheetView>
  </sheetViews>
  <sheetFormatPr defaultColWidth="8.5703125" defaultRowHeight="15" x14ac:dyDescent="0.25"/>
  <cols>
    <col min="1" max="1" width="3" customWidth="1"/>
    <col min="2" max="2" width="30" customWidth="1"/>
    <col min="3" max="3" width="46" customWidth="1"/>
    <col min="4" max="4" width="28" customWidth="1"/>
    <col min="5" max="5" width="3" customWidth="1"/>
  </cols>
  <sheetData>
    <row r="1" spans="1:5" ht="6" customHeight="1" x14ac:dyDescent="0.25"/>
    <row r="2" spans="1:5" ht="48" customHeight="1" x14ac:dyDescent="0.25">
      <c r="A2" s="1"/>
      <c r="B2" s="32" t="s">
        <v>0</v>
      </c>
      <c r="C2" s="27"/>
      <c r="D2" s="27"/>
      <c r="E2" s="27"/>
    </row>
    <row r="3" spans="1:5" ht="3.75" customHeight="1" x14ac:dyDescent="0.25">
      <c r="A3" s="1"/>
      <c r="B3" s="1"/>
      <c r="C3" s="1"/>
      <c r="D3" s="1"/>
      <c r="E3" s="1"/>
    </row>
    <row r="4" spans="1:5" ht="21.75" customHeight="1" x14ac:dyDescent="0.25">
      <c r="A4" s="37" t="s">
        <v>1</v>
      </c>
      <c r="B4" s="27"/>
      <c r="C4" s="27"/>
      <c r="D4" s="27"/>
      <c r="E4" s="27"/>
    </row>
    <row r="5" spans="1:5" ht="18" customHeight="1" x14ac:dyDescent="0.25">
      <c r="A5" s="2"/>
      <c r="B5" s="3" t="s">
        <v>2</v>
      </c>
      <c r="C5" s="34" t="s">
        <v>3</v>
      </c>
      <c r="D5" s="35"/>
      <c r="E5" s="36"/>
    </row>
    <row r="6" spans="1:5" ht="18" customHeight="1" x14ac:dyDescent="0.25">
      <c r="A6" s="2"/>
      <c r="B6" s="3" t="s">
        <v>4</v>
      </c>
      <c r="C6" s="34" t="s">
        <v>5</v>
      </c>
      <c r="D6" s="35"/>
      <c r="E6" s="36"/>
    </row>
    <row r="7" spans="1:5" ht="18" customHeight="1" x14ac:dyDescent="0.25">
      <c r="A7" s="2"/>
      <c r="B7" s="3" t="s">
        <v>6</v>
      </c>
      <c r="C7" s="34" t="s">
        <v>7</v>
      </c>
      <c r="D7" s="35"/>
      <c r="E7" s="36"/>
    </row>
    <row r="8" spans="1:5" ht="6" customHeight="1" x14ac:dyDescent="0.25"/>
    <row r="9" spans="1:5" ht="21.75" customHeight="1" x14ac:dyDescent="0.25">
      <c r="A9" s="26" t="s">
        <v>8</v>
      </c>
      <c r="B9" s="27"/>
      <c r="C9" s="27"/>
      <c r="D9" s="27"/>
      <c r="E9" s="27"/>
    </row>
    <row r="10" spans="1:5" ht="9.75" customHeight="1" thickBot="1" x14ac:dyDescent="0.3"/>
    <row r="11" spans="1:5" ht="127.9" customHeight="1" x14ac:dyDescent="0.25">
      <c r="A11" s="4"/>
      <c r="B11" s="29" t="s">
        <v>9</v>
      </c>
      <c r="C11" s="30"/>
      <c r="D11" s="30"/>
      <c r="E11" s="31"/>
    </row>
    <row r="12" spans="1:5" ht="9.75" customHeight="1" x14ac:dyDescent="0.25"/>
    <row r="13" spans="1:5" ht="21.75" customHeight="1" x14ac:dyDescent="0.25">
      <c r="A13" s="26" t="s">
        <v>10</v>
      </c>
      <c r="B13" s="27"/>
      <c r="C13" s="27"/>
      <c r="D13" s="27"/>
      <c r="E13" s="27"/>
    </row>
    <row r="14" spans="1:5" ht="21.75" customHeight="1" x14ac:dyDescent="0.25">
      <c r="B14" s="33" t="s">
        <v>457</v>
      </c>
      <c r="C14" s="27"/>
      <c r="D14" s="27"/>
      <c r="E14" s="27"/>
    </row>
    <row r="15" spans="1:5" ht="13.5" customHeight="1" thickBot="1" x14ac:dyDescent="0.3">
      <c r="B15" s="38"/>
      <c r="C15" s="38"/>
      <c r="D15" s="38"/>
      <c r="E15" s="38"/>
    </row>
    <row r="16" spans="1:5" ht="60" customHeight="1" x14ac:dyDescent="0.25">
      <c r="B16" s="28"/>
      <c r="C16" s="27"/>
      <c r="D16" s="28"/>
      <c r="E16" s="27"/>
    </row>
    <row r="17" spans="1:5" ht="39.75" customHeight="1" x14ac:dyDescent="0.25">
      <c r="B17" s="40" t="s">
        <v>11</v>
      </c>
      <c r="C17" s="27"/>
      <c r="D17" s="40" t="s">
        <v>12</v>
      </c>
      <c r="E17" s="27"/>
    </row>
    <row r="18" spans="1:5" ht="60" customHeight="1" x14ac:dyDescent="0.25"/>
    <row r="19" spans="1:5" ht="21.75" customHeight="1" x14ac:dyDescent="0.25">
      <c r="A19" s="26" t="s">
        <v>13</v>
      </c>
      <c r="B19" s="27"/>
      <c r="C19" s="27"/>
      <c r="D19" s="27"/>
      <c r="E19" s="27"/>
    </row>
    <row r="20" spans="1:5" ht="67.150000000000006" customHeight="1" x14ac:dyDescent="0.25">
      <c r="A20" s="2"/>
      <c r="B20" s="39" t="s">
        <v>458</v>
      </c>
      <c r="C20" s="35"/>
      <c r="D20" s="35"/>
      <c r="E20" s="36"/>
    </row>
    <row r="21" spans="1:5" ht="7.5" customHeight="1" x14ac:dyDescent="0.25"/>
    <row r="22" spans="1:5" ht="7.5" customHeight="1" x14ac:dyDescent="0.25"/>
    <row r="23" spans="1:5" ht="18" customHeight="1" x14ac:dyDescent="0.25">
      <c r="A23" s="26" t="s">
        <v>14</v>
      </c>
      <c r="B23" s="27"/>
      <c r="C23" s="27"/>
      <c r="D23" s="27"/>
      <c r="E23" s="27"/>
    </row>
    <row r="24" spans="1:5" ht="84" customHeight="1" x14ac:dyDescent="0.25">
      <c r="B24" s="39" t="s">
        <v>15</v>
      </c>
      <c r="C24" s="35"/>
      <c r="D24" s="35"/>
      <c r="E24" s="36"/>
    </row>
    <row r="26" spans="1:5" ht="6" customHeight="1" x14ac:dyDescent="0.25"/>
    <row r="27" spans="1:5" x14ac:dyDescent="0.25">
      <c r="A27" s="26" t="s">
        <v>16</v>
      </c>
      <c r="B27" s="27"/>
      <c r="C27" s="27"/>
      <c r="D27" s="27"/>
      <c r="E27" s="27"/>
    </row>
    <row r="28" spans="1:5" x14ac:dyDescent="0.25">
      <c r="B28" s="19" t="s">
        <v>17</v>
      </c>
      <c r="C28" s="19" t="s">
        <v>18</v>
      </c>
    </row>
    <row r="29" spans="1:5" ht="64.150000000000006" customHeight="1" x14ac:dyDescent="0.25">
      <c r="B29" s="20" t="s">
        <v>19</v>
      </c>
      <c r="C29" s="21" t="s">
        <v>20</v>
      </c>
    </row>
    <row r="30" spans="1:5" ht="114.6" customHeight="1" x14ac:dyDescent="0.25">
      <c r="B30" s="20" t="s">
        <v>21</v>
      </c>
      <c r="C30" s="21" t="s">
        <v>459</v>
      </c>
    </row>
  </sheetData>
  <mergeCells count="20">
    <mergeCell ref="B20:E20"/>
    <mergeCell ref="B17:C17"/>
    <mergeCell ref="C7:E7"/>
    <mergeCell ref="D17:E17"/>
    <mergeCell ref="A27:E27"/>
    <mergeCell ref="D16:E16"/>
    <mergeCell ref="B11:E11"/>
    <mergeCell ref="A23:E23"/>
    <mergeCell ref="B2:E2"/>
    <mergeCell ref="B14:E14"/>
    <mergeCell ref="C6:E6"/>
    <mergeCell ref="A4:E4"/>
    <mergeCell ref="B15:C15"/>
    <mergeCell ref="C5:E5"/>
    <mergeCell ref="D15:E15"/>
    <mergeCell ref="A19:E19"/>
    <mergeCell ref="A13:E13"/>
    <mergeCell ref="A9:E9"/>
    <mergeCell ref="B16:C16"/>
    <mergeCell ref="B24:E24"/>
  </mergeCells>
  <pageMargins left="0.5" right="0.5" top="0.5" bottom="0.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6"/>
  <sheetViews>
    <sheetView showGridLines="0" tabSelected="1" topLeftCell="A10" zoomScale="80" zoomScaleNormal="80" zoomScalePageLayoutView="50" workbookViewId="0">
      <selection activeCell="F39" sqref="F39"/>
    </sheetView>
  </sheetViews>
  <sheetFormatPr defaultColWidth="8.85546875" defaultRowHeight="15" x14ac:dyDescent="0.25"/>
  <cols>
    <col min="1" max="1" width="10.85546875" style="5" customWidth="1"/>
    <col min="2" max="2" width="11.42578125" style="5" customWidth="1"/>
    <col min="3" max="3" width="25.7109375" style="5" customWidth="1"/>
    <col min="4" max="4" width="46" style="5" customWidth="1"/>
    <col min="5" max="5" width="30" style="5" customWidth="1"/>
    <col min="6" max="6" width="100.85546875" style="5" customWidth="1"/>
    <col min="7" max="7" width="36" style="5" customWidth="1"/>
    <col min="8" max="8" width="35.7109375" style="5" customWidth="1"/>
    <col min="9" max="9" width="33.28515625" style="5" customWidth="1"/>
    <col min="10" max="11" width="31.28515625" style="5" customWidth="1"/>
    <col min="12" max="12" width="28.7109375" style="5" customWidth="1"/>
    <col min="13" max="13" width="23.28515625" style="5" customWidth="1"/>
    <col min="14" max="14" width="18.7109375" style="5" customWidth="1"/>
    <col min="15" max="15" width="16.5703125" style="5" customWidth="1"/>
    <col min="16" max="16" width="16.7109375" style="5" customWidth="1"/>
    <col min="17" max="17" width="49" style="5" customWidth="1"/>
    <col min="18" max="18" width="15.28515625" style="5" customWidth="1"/>
    <col min="19" max="19" width="38.28515625" style="5" customWidth="1"/>
    <col min="20" max="23" width="8.85546875" style="5" customWidth="1"/>
    <col min="24" max="16384" width="8.85546875" style="5"/>
  </cols>
  <sheetData>
    <row r="1" spans="1:19" ht="74.25" customHeight="1" x14ac:dyDescent="0.25">
      <c r="A1" s="6" t="s">
        <v>22</v>
      </c>
      <c r="B1" s="6" t="s">
        <v>23</v>
      </c>
      <c r="C1" s="6" t="s">
        <v>24</v>
      </c>
      <c r="D1" s="6" t="s">
        <v>25</v>
      </c>
      <c r="E1" s="6" t="s">
        <v>26</v>
      </c>
      <c r="F1" s="6" t="s">
        <v>27</v>
      </c>
      <c r="G1" s="6" t="s">
        <v>28</v>
      </c>
      <c r="H1" s="6" t="s">
        <v>29</v>
      </c>
      <c r="I1" s="6" t="s">
        <v>30</v>
      </c>
      <c r="J1" s="6" t="s">
        <v>31</v>
      </c>
      <c r="K1" s="6" t="s">
        <v>32</v>
      </c>
      <c r="L1" s="6" t="s">
        <v>33</v>
      </c>
      <c r="M1" s="6" t="s">
        <v>34</v>
      </c>
      <c r="N1" s="6" t="s">
        <v>35</v>
      </c>
      <c r="O1" s="6" t="s">
        <v>36</v>
      </c>
      <c r="P1" s="6" t="s">
        <v>37</v>
      </c>
      <c r="Q1" s="6" t="s">
        <v>38</v>
      </c>
      <c r="R1" s="6" t="s">
        <v>39</v>
      </c>
      <c r="S1" s="6" t="s">
        <v>40</v>
      </c>
    </row>
    <row r="2" spans="1:19" ht="116.25" customHeight="1" x14ac:dyDescent="0.25">
      <c r="A2" s="7" t="s">
        <v>41</v>
      </c>
      <c r="B2" s="7" t="s">
        <v>42</v>
      </c>
      <c r="C2" s="7" t="s">
        <v>43</v>
      </c>
      <c r="D2" s="7" t="s">
        <v>44</v>
      </c>
      <c r="E2" s="7" t="s">
        <v>45</v>
      </c>
      <c r="F2" s="7" t="s">
        <v>46</v>
      </c>
      <c r="G2" s="7" t="s">
        <v>47</v>
      </c>
      <c r="H2" s="7" t="s">
        <v>48</v>
      </c>
      <c r="I2" s="7" t="s">
        <v>49</v>
      </c>
      <c r="J2" s="7" t="s">
        <v>50</v>
      </c>
      <c r="K2" s="7" t="s">
        <v>51</v>
      </c>
      <c r="L2" s="7" t="s">
        <v>52</v>
      </c>
      <c r="M2" s="7">
        <v>3</v>
      </c>
      <c r="N2" s="7">
        <v>3</v>
      </c>
      <c r="O2" s="7">
        <f t="shared" ref="O2:O36" si="0">M2*N2</f>
        <v>9</v>
      </c>
      <c r="P2" s="22" t="str">
        <f t="shared" ref="P2:P36" si="1">IF($O2="","",IF($O2&lt;=5,"Baixo",IF($O2&lt;=10,"Médio",IF($O2&lt;=14,"Alto","Crítico"))))</f>
        <v>Médio</v>
      </c>
      <c r="Q2" s="5" t="s">
        <v>53</v>
      </c>
      <c r="R2" s="22" t="s">
        <v>54</v>
      </c>
      <c r="S2" s="7"/>
    </row>
    <row r="3" spans="1:19" ht="117" customHeight="1" x14ac:dyDescent="0.25">
      <c r="A3" s="7" t="s">
        <v>55</v>
      </c>
      <c r="B3" s="9" t="s">
        <v>42</v>
      </c>
      <c r="C3" s="9" t="s">
        <v>43</v>
      </c>
      <c r="D3" s="10" t="s">
        <v>56</v>
      </c>
      <c r="E3" s="25" t="s">
        <v>57</v>
      </c>
      <c r="F3" s="5" t="s">
        <v>58</v>
      </c>
      <c r="G3" s="9" t="s">
        <v>59</v>
      </c>
      <c r="H3" s="5" t="s">
        <v>60</v>
      </c>
      <c r="I3" s="25" t="s">
        <v>61</v>
      </c>
      <c r="J3" s="9" t="s">
        <v>62</v>
      </c>
      <c r="K3" s="9" t="s">
        <v>63</v>
      </c>
      <c r="L3" s="5" t="s">
        <v>52</v>
      </c>
      <c r="M3" s="7">
        <v>2</v>
      </c>
      <c r="N3" s="7">
        <v>4</v>
      </c>
      <c r="O3" s="7">
        <f t="shared" si="0"/>
        <v>8</v>
      </c>
      <c r="P3" s="22" t="str">
        <f t="shared" si="1"/>
        <v>Médio</v>
      </c>
      <c r="Q3" s="7" t="s">
        <v>64</v>
      </c>
      <c r="R3" s="22" t="s">
        <v>54</v>
      </c>
      <c r="S3" s="7"/>
    </row>
    <row r="4" spans="1:19" ht="99" customHeight="1" x14ac:dyDescent="0.25">
      <c r="A4" s="7" t="s">
        <v>65</v>
      </c>
      <c r="B4" s="7" t="s">
        <v>42</v>
      </c>
      <c r="C4" s="7" t="s">
        <v>66</v>
      </c>
      <c r="D4" s="11" t="s">
        <v>67</v>
      </c>
      <c r="E4" s="7" t="s">
        <v>68</v>
      </c>
      <c r="F4" s="7" t="s">
        <v>69</v>
      </c>
      <c r="G4" s="7" t="s">
        <v>70</v>
      </c>
      <c r="H4" s="7" t="s">
        <v>71</v>
      </c>
      <c r="I4" s="11" t="s">
        <v>72</v>
      </c>
      <c r="J4" s="7" t="s">
        <v>73</v>
      </c>
      <c r="K4" s="7" t="s">
        <v>52</v>
      </c>
      <c r="L4" s="7" t="s">
        <v>74</v>
      </c>
      <c r="M4" s="7">
        <v>2</v>
      </c>
      <c r="N4" s="7">
        <v>3</v>
      </c>
      <c r="O4" s="7">
        <f t="shared" si="0"/>
        <v>6</v>
      </c>
      <c r="P4" s="22" t="str">
        <f t="shared" si="1"/>
        <v>Médio</v>
      </c>
      <c r="Q4" s="7" t="s">
        <v>75</v>
      </c>
      <c r="R4" s="22" t="s">
        <v>76</v>
      </c>
      <c r="S4" s="7"/>
    </row>
    <row r="5" spans="1:19" ht="333.75" customHeight="1" x14ac:dyDescent="0.25">
      <c r="A5" s="7" t="s">
        <v>77</v>
      </c>
      <c r="B5" s="7" t="s">
        <v>42</v>
      </c>
      <c r="C5" s="18" t="s">
        <v>78</v>
      </c>
      <c r="D5" s="7" t="s">
        <v>79</v>
      </c>
      <c r="E5" s="7" t="s">
        <v>80</v>
      </c>
      <c r="F5" s="5" t="s">
        <v>81</v>
      </c>
      <c r="G5" s="7" t="s">
        <v>82</v>
      </c>
      <c r="H5" s="5" t="s">
        <v>83</v>
      </c>
      <c r="I5" s="7" t="s">
        <v>84</v>
      </c>
      <c r="J5" s="7" t="s">
        <v>85</v>
      </c>
      <c r="K5" s="7" t="s">
        <v>52</v>
      </c>
      <c r="L5" s="5" t="s">
        <v>86</v>
      </c>
      <c r="M5" s="7">
        <v>2</v>
      </c>
      <c r="N5" s="7">
        <v>3</v>
      </c>
      <c r="O5" s="7">
        <f t="shared" si="0"/>
        <v>6</v>
      </c>
      <c r="P5" s="22" t="str">
        <f t="shared" si="1"/>
        <v>Médio</v>
      </c>
      <c r="Q5" s="7" t="s">
        <v>87</v>
      </c>
      <c r="R5" s="22" t="s">
        <v>76</v>
      </c>
      <c r="S5" s="7"/>
    </row>
    <row r="6" spans="1:19" ht="42.75" customHeight="1" x14ac:dyDescent="0.25">
      <c r="A6" s="7" t="s">
        <v>88</v>
      </c>
      <c r="B6" s="7" t="s">
        <v>42</v>
      </c>
      <c r="C6" s="9" t="s">
        <v>89</v>
      </c>
      <c r="D6" s="9" t="s">
        <v>90</v>
      </c>
      <c r="E6" s="5" t="s">
        <v>91</v>
      </c>
      <c r="F6" s="9" t="s">
        <v>92</v>
      </c>
      <c r="G6" s="5" t="s">
        <v>93</v>
      </c>
      <c r="H6" s="9" t="s">
        <v>94</v>
      </c>
      <c r="I6" s="5" t="s">
        <v>95</v>
      </c>
      <c r="J6" s="9" t="s">
        <v>96</v>
      </c>
      <c r="K6" s="9" t="s">
        <v>97</v>
      </c>
      <c r="L6" s="9" t="s">
        <v>98</v>
      </c>
      <c r="M6" s="9">
        <v>3</v>
      </c>
      <c r="N6" s="9">
        <v>3</v>
      </c>
      <c r="O6" s="7">
        <f t="shared" si="0"/>
        <v>9</v>
      </c>
      <c r="P6" s="22" t="str">
        <f t="shared" si="1"/>
        <v>Médio</v>
      </c>
      <c r="Q6" s="5" t="s">
        <v>99</v>
      </c>
      <c r="R6" s="23" t="s">
        <v>76</v>
      </c>
      <c r="S6" s="9"/>
    </row>
    <row r="7" spans="1:19" ht="85.5" customHeight="1" x14ac:dyDescent="0.25">
      <c r="A7" s="7" t="s">
        <v>100</v>
      </c>
      <c r="B7" s="7" t="s">
        <v>42</v>
      </c>
      <c r="C7" s="18" t="s">
        <v>101</v>
      </c>
      <c r="D7" s="7" t="s">
        <v>102</v>
      </c>
      <c r="E7" s="7" t="s">
        <v>103</v>
      </c>
      <c r="F7" s="7" t="s">
        <v>104</v>
      </c>
      <c r="G7" s="7" t="s">
        <v>105</v>
      </c>
      <c r="H7" s="7" t="s">
        <v>106</v>
      </c>
      <c r="I7" s="7" t="s">
        <v>107</v>
      </c>
      <c r="J7" s="7" t="s">
        <v>108</v>
      </c>
      <c r="K7" s="7" t="s">
        <v>109</v>
      </c>
      <c r="L7" s="7" t="s">
        <v>110</v>
      </c>
      <c r="M7" s="7">
        <v>3</v>
      </c>
      <c r="N7" s="7">
        <v>2</v>
      </c>
      <c r="O7" s="7">
        <f t="shared" si="0"/>
        <v>6</v>
      </c>
      <c r="P7" s="22" t="str">
        <f t="shared" si="1"/>
        <v>Médio</v>
      </c>
      <c r="Q7" s="7" t="s">
        <v>111</v>
      </c>
      <c r="R7" s="24" t="s">
        <v>112</v>
      </c>
      <c r="S7" s="7"/>
    </row>
    <row r="8" spans="1:19" ht="57.6" customHeight="1" x14ac:dyDescent="0.25">
      <c r="A8" s="7" t="s">
        <v>113</v>
      </c>
      <c r="B8" s="7" t="s">
        <v>42</v>
      </c>
      <c r="C8" s="7" t="s">
        <v>114</v>
      </c>
      <c r="D8" s="7" t="s">
        <v>115</v>
      </c>
      <c r="E8" s="7" t="s">
        <v>116</v>
      </c>
      <c r="F8" s="7" t="s">
        <v>117</v>
      </c>
      <c r="G8" s="7" t="s">
        <v>118</v>
      </c>
      <c r="H8" s="7" t="s">
        <v>119</v>
      </c>
      <c r="I8" s="7" t="s">
        <v>120</v>
      </c>
      <c r="J8" s="7" t="s">
        <v>121</v>
      </c>
      <c r="K8" s="7" t="s">
        <v>52</v>
      </c>
      <c r="L8" s="7" t="s">
        <v>122</v>
      </c>
      <c r="M8" s="7">
        <v>2</v>
      </c>
      <c r="N8" s="7">
        <v>4</v>
      </c>
      <c r="O8" s="7">
        <f t="shared" si="0"/>
        <v>8</v>
      </c>
      <c r="P8" s="22" t="str">
        <f t="shared" si="1"/>
        <v>Médio</v>
      </c>
      <c r="Q8" s="7" t="s">
        <v>52</v>
      </c>
      <c r="R8" s="22" t="s">
        <v>54</v>
      </c>
      <c r="S8" s="7"/>
    </row>
    <row r="9" spans="1:19" ht="42.75" customHeight="1" x14ac:dyDescent="0.25">
      <c r="A9" s="7" t="s">
        <v>123</v>
      </c>
      <c r="B9" s="7" t="s">
        <v>42</v>
      </c>
      <c r="C9" s="7" t="s">
        <v>114</v>
      </c>
      <c r="D9" s="7" t="s">
        <v>124</v>
      </c>
      <c r="E9" s="7" t="s">
        <v>125</v>
      </c>
      <c r="F9" s="7" t="s">
        <v>126</v>
      </c>
      <c r="G9" s="7" t="s">
        <v>52</v>
      </c>
      <c r="H9" s="7" t="s">
        <v>52</v>
      </c>
      <c r="I9" s="7" t="s">
        <v>49</v>
      </c>
      <c r="J9" s="7" t="s">
        <v>127</v>
      </c>
      <c r="K9" s="7" t="s">
        <v>52</v>
      </c>
      <c r="L9" s="7" t="s">
        <v>52</v>
      </c>
      <c r="M9" s="7">
        <v>1</v>
      </c>
      <c r="N9" s="7">
        <v>3</v>
      </c>
      <c r="O9" s="7">
        <f t="shared" si="0"/>
        <v>3</v>
      </c>
      <c r="P9" s="22" t="str">
        <f t="shared" si="1"/>
        <v>Baixo</v>
      </c>
      <c r="Q9" s="7" t="s">
        <v>52</v>
      </c>
      <c r="R9" s="24" t="s">
        <v>112</v>
      </c>
      <c r="S9" s="7"/>
    </row>
    <row r="10" spans="1:19" ht="216" customHeight="1" x14ac:dyDescent="0.25">
      <c r="A10" s="7" t="s">
        <v>128</v>
      </c>
      <c r="B10" s="7" t="s">
        <v>129</v>
      </c>
      <c r="C10" s="7" t="s">
        <v>130</v>
      </c>
      <c r="D10" s="7" t="s">
        <v>131</v>
      </c>
      <c r="E10" s="7" t="s">
        <v>132</v>
      </c>
      <c r="F10" s="7" t="s">
        <v>133</v>
      </c>
      <c r="G10" s="7" t="s">
        <v>134</v>
      </c>
      <c r="H10" s="7" t="s">
        <v>135</v>
      </c>
      <c r="I10" s="7" t="s">
        <v>136</v>
      </c>
      <c r="J10" s="7" t="s">
        <v>137</v>
      </c>
      <c r="K10" s="7" t="s">
        <v>138</v>
      </c>
      <c r="L10" s="7" t="s">
        <v>139</v>
      </c>
      <c r="M10" s="7">
        <v>4</v>
      </c>
      <c r="N10" s="7">
        <v>3</v>
      </c>
      <c r="O10" s="7">
        <f t="shared" si="0"/>
        <v>12</v>
      </c>
      <c r="P10" s="8" t="str">
        <f t="shared" si="1"/>
        <v>Alto</v>
      </c>
      <c r="Q10" s="7" t="s">
        <v>140</v>
      </c>
      <c r="R10" s="8" t="s">
        <v>54</v>
      </c>
      <c r="S10" s="7" t="s">
        <v>141</v>
      </c>
    </row>
    <row r="11" spans="1:19" ht="86.25" customHeight="1" x14ac:dyDescent="0.25">
      <c r="A11" s="7" t="s">
        <v>142</v>
      </c>
      <c r="B11" s="7" t="s">
        <v>129</v>
      </c>
      <c r="C11" s="5" t="s">
        <v>143</v>
      </c>
      <c r="D11" s="7" t="s">
        <v>144</v>
      </c>
      <c r="E11" s="7" t="s">
        <v>145</v>
      </c>
      <c r="F11" s="7" t="s">
        <v>146</v>
      </c>
      <c r="G11" s="7" t="s">
        <v>147</v>
      </c>
      <c r="H11" s="7" t="s">
        <v>148</v>
      </c>
      <c r="I11" s="7" t="s">
        <v>49</v>
      </c>
      <c r="J11" s="7" t="s">
        <v>149</v>
      </c>
      <c r="K11" s="7" t="s">
        <v>150</v>
      </c>
      <c r="L11" s="7" t="s">
        <v>52</v>
      </c>
      <c r="M11" s="7">
        <v>3</v>
      </c>
      <c r="N11" s="7">
        <v>3</v>
      </c>
      <c r="O11" s="7">
        <f t="shared" si="0"/>
        <v>9</v>
      </c>
      <c r="P11" s="22" t="str">
        <f t="shared" si="1"/>
        <v>Médio</v>
      </c>
      <c r="Q11" s="7" t="s">
        <v>151</v>
      </c>
      <c r="R11" s="24" t="s">
        <v>112</v>
      </c>
      <c r="S11" s="7" t="s">
        <v>141</v>
      </c>
    </row>
    <row r="12" spans="1:19" ht="186.75" customHeight="1" x14ac:dyDescent="0.25">
      <c r="A12" s="9" t="s">
        <v>152</v>
      </c>
      <c r="B12" s="9" t="s">
        <v>129</v>
      </c>
      <c r="C12" s="9" t="s">
        <v>153</v>
      </c>
      <c r="D12" s="9" t="s">
        <v>154</v>
      </c>
      <c r="E12" s="9" t="s">
        <v>155</v>
      </c>
      <c r="F12" s="9" t="s">
        <v>156</v>
      </c>
      <c r="G12" s="9" t="s">
        <v>157</v>
      </c>
      <c r="H12" s="9" t="s">
        <v>158</v>
      </c>
      <c r="I12" s="7" t="s">
        <v>159</v>
      </c>
      <c r="J12" s="9" t="s">
        <v>160</v>
      </c>
      <c r="K12" s="9" t="s">
        <v>161</v>
      </c>
      <c r="L12" s="9" t="s">
        <v>162</v>
      </c>
      <c r="M12" s="9">
        <v>3</v>
      </c>
      <c r="N12" s="9">
        <v>4</v>
      </c>
      <c r="O12" s="7">
        <f t="shared" si="0"/>
        <v>12</v>
      </c>
      <c r="P12" s="8" t="str">
        <f t="shared" si="1"/>
        <v>Alto</v>
      </c>
      <c r="Q12" s="5" t="s">
        <v>163</v>
      </c>
      <c r="R12" s="22" t="s">
        <v>54</v>
      </c>
      <c r="S12" s="7"/>
    </row>
    <row r="13" spans="1:19" ht="100.5" customHeight="1" x14ac:dyDescent="0.25">
      <c r="A13" s="7" t="s">
        <v>164</v>
      </c>
      <c r="B13" s="7" t="s">
        <v>129</v>
      </c>
      <c r="C13" s="7" t="s">
        <v>165</v>
      </c>
      <c r="D13" s="7" t="s">
        <v>166</v>
      </c>
      <c r="E13" s="7" t="s">
        <v>167</v>
      </c>
      <c r="F13" s="7" t="s">
        <v>168</v>
      </c>
      <c r="G13" s="7" t="s">
        <v>169</v>
      </c>
      <c r="H13" s="7" t="s">
        <v>170</v>
      </c>
      <c r="I13" s="7" t="s">
        <v>171</v>
      </c>
      <c r="J13" s="7" t="s">
        <v>172</v>
      </c>
      <c r="K13" s="7" t="s">
        <v>173</v>
      </c>
      <c r="L13" s="7" t="s">
        <v>174</v>
      </c>
      <c r="M13" s="7">
        <v>2</v>
      </c>
      <c r="N13" s="7">
        <v>4</v>
      </c>
      <c r="O13" s="7">
        <f t="shared" si="0"/>
        <v>8</v>
      </c>
      <c r="P13" s="22" t="str">
        <f t="shared" si="1"/>
        <v>Médio</v>
      </c>
      <c r="Q13" s="7" t="s">
        <v>175</v>
      </c>
      <c r="R13" s="22" t="s">
        <v>54</v>
      </c>
      <c r="S13" s="7"/>
    </row>
    <row r="14" spans="1:19" ht="72" customHeight="1" x14ac:dyDescent="0.25">
      <c r="A14" s="7" t="s">
        <v>176</v>
      </c>
      <c r="B14" s="7" t="s">
        <v>177</v>
      </c>
      <c r="C14" s="7" t="s">
        <v>178</v>
      </c>
      <c r="D14" s="7" t="s">
        <v>179</v>
      </c>
      <c r="E14" s="7" t="s">
        <v>180</v>
      </c>
      <c r="F14" s="7" t="s">
        <v>181</v>
      </c>
      <c r="G14" s="7" t="s">
        <v>182</v>
      </c>
      <c r="H14" s="7" t="s">
        <v>183</v>
      </c>
      <c r="I14" s="7" t="s">
        <v>49</v>
      </c>
      <c r="J14" s="7" t="s">
        <v>184</v>
      </c>
      <c r="K14" s="7" t="s">
        <v>185</v>
      </c>
      <c r="L14" s="7" t="s">
        <v>186</v>
      </c>
      <c r="M14" s="7">
        <v>4</v>
      </c>
      <c r="N14" s="7">
        <v>4</v>
      </c>
      <c r="O14" s="7">
        <f t="shared" si="0"/>
        <v>16</v>
      </c>
      <c r="P14" s="22" t="str">
        <f t="shared" si="1"/>
        <v>Crítico</v>
      </c>
      <c r="Q14" s="7" t="s">
        <v>187</v>
      </c>
      <c r="R14" s="22" t="s">
        <v>54</v>
      </c>
      <c r="S14" s="7"/>
    </row>
    <row r="15" spans="1:19" ht="93" customHeight="1" x14ac:dyDescent="0.25">
      <c r="A15" s="7" t="s">
        <v>188</v>
      </c>
      <c r="B15" s="7" t="s">
        <v>177</v>
      </c>
      <c r="C15" s="7" t="s">
        <v>178</v>
      </c>
      <c r="D15" s="7" t="s">
        <v>189</v>
      </c>
      <c r="E15" s="7" t="s">
        <v>190</v>
      </c>
      <c r="F15" s="7" t="s">
        <v>191</v>
      </c>
      <c r="G15" s="7" t="s">
        <v>192</v>
      </c>
      <c r="H15" s="7" t="s">
        <v>193</v>
      </c>
      <c r="I15" s="7" t="s">
        <v>49</v>
      </c>
      <c r="J15" s="7" t="s">
        <v>194</v>
      </c>
      <c r="K15" s="7" t="s">
        <v>195</v>
      </c>
      <c r="L15" s="5" t="s">
        <v>196</v>
      </c>
      <c r="M15" s="7">
        <v>4</v>
      </c>
      <c r="N15" s="7">
        <v>4</v>
      </c>
      <c r="O15" s="7">
        <f t="shared" si="0"/>
        <v>16</v>
      </c>
      <c r="P15" s="22" t="str">
        <f t="shared" si="1"/>
        <v>Crítico</v>
      </c>
      <c r="Q15" s="7" t="s">
        <v>197</v>
      </c>
      <c r="R15" s="23" t="s">
        <v>76</v>
      </c>
      <c r="S15" s="7"/>
    </row>
    <row r="16" spans="1:19" ht="86.25" customHeight="1" x14ac:dyDescent="0.25">
      <c r="A16" s="7" t="s">
        <v>198</v>
      </c>
      <c r="B16" s="7" t="s">
        <v>177</v>
      </c>
      <c r="C16" s="7" t="s">
        <v>178</v>
      </c>
      <c r="D16" s="18" t="s">
        <v>199</v>
      </c>
      <c r="E16" s="7" t="s">
        <v>200</v>
      </c>
      <c r="F16" s="7" t="s">
        <v>201</v>
      </c>
      <c r="G16" s="7" t="s">
        <v>202</v>
      </c>
      <c r="H16" s="7" t="s">
        <v>203</v>
      </c>
      <c r="I16" s="7" t="s">
        <v>49</v>
      </c>
      <c r="J16" s="7" t="s">
        <v>204</v>
      </c>
      <c r="K16" s="7" t="s">
        <v>205</v>
      </c>
      <c r="L16" s="7" t="s">
        <v>206</v>
      </c>
      <c r="M16" s="7">
        <v>4</v>
      </c>
      <c r="N16" s="7">
        <v>4</v>
      </c>
      <c r="O16" s="7">
        <f t="shared" si="0"/>
        <v>16</v>
      </c>
      <c r="P16" s="22" t="str">
        <f t="shared" si="1"/>
        <v>Crítico</v>
      </c>
      <c r="Q16" s="7" t="s">
        <v>207</v>
      </c>
      <c r="R16" s="22" t="s">
        <v>54</v>
      </c>
      <c r="S16" s="7"/>
    </row>
    <row r="17" spans="1:19" ht="42.75" customHeight="1" x14ac:dyDescent="0.25">
      <c r="A17" s="7" t="s">
        <v>208</v>
      </c>
      <c r="B17" s="7" t="s">
        <v>177</v>
      </c>
      <c r="C17" s="7" t="s">
        <v>178</v>
      </c>
      <c r="D17" s="18" t="s">
        <v>209</v>
      </c>
      <c r="E17" s="7" t="s">
        <v>210</v>
      </c>
      <c r="F17" s="7" t="s">
        <v>211</v>
      </c>
      <c r="G17" s="7" t="s">
        <v>212</v>
      </c>
      <c r="H17" s="7" t="s">
        <v>213</v>
      </c>
      <c r="I17" s="7" t="s">
        <v>49</v>
      </c>
      <c r="J17" s="7" t="s">
        <v>214</v>
      </c>
      <c r="K17" s="7" t="s">
        <v>215</v>
      </c>
      <c r="L17" s="7" t="s">
        <v>52</v>
      </c>
      <c r="M17" s="7">
        <v>4</v>
      </c>
      <c r="N17" s="7">
        <v>3</v>
      </c>
      <c r="O17" s="7">
        <f t="shared" si="0"/>
        <v>12</v>
      </c>
      <c r="P17" s="8" t="str">
        <f t="shared" si="1"/>
        <v>Alto</v>
      </c>
      <c r="Q17" s="7" t="s">
        <v>216</v>
      </c>
      <c r="R17" s="12" t="s">
        <v>76</v>
      </c>
      <c r="S17" s="7"/>
    </row>
    <row r="18" spans="1:19" ht="72" customHeight="1" x14ac:dyDescent="0.25">
      <c r="A18" s="7" t="s">
        <v>217</v>
      </c>
      <c r="B18" s="7" t="s">
        <v>177</v>
      </c>
      <c r="C18" s="7" t="s">
        <v>178</v>
      </c>
      <c r="D18" s="7" t="s">
        <v>218</v>
      </c>
      <c r="E18" s="7" t="s">
        <v>219</v>
      </c>
      <c r="F18" s="5" t="s">
        <v>220</v>
      </c>
      <c r="G18" s="7" t="s">
        <v>221</v>
      </c>
      <c r="H18" s="7" t="s">
        <v>222</v>
      </c>
      <c r="I18" s="7" t="s">
        <v>49</v>
      </c>
      <c r="J18" s="7" t="s">
        <v>223</v>
      </c>
      <c r="K18" s="7" t="s">
        <v>224</v>
      </c>
      <c r="L18" s="7" t="s">
        <v>225</v>
      </c>
      <c r="M18" s="7">
        <v>5</v>
      </c>
      <c r="N18" s="7">
        <v>4</v>
      </c>
      <c r="O18" s="7">
        <f t="shared" si="0"/>
        <v>20</v>
      </c>
      <c r="P18" s="8" t="str">
        <f t="shared" si="1"/>
        <v>Crítico</v>
      </c>
      <c r="Q18" s="7" t="s">
        <v>226</v>
      </c>
      <c r="R18" s="8" t="s">
        <v>54</v>
      </c>
      <c r="S18" s="7" t="s">
        <v>227</v>
      </c>
    </row>
    <row r="19" spans="1:19" ht="42.75" customHeight="1" x14ac:dyDescent="0.25">
      <c r="A19" s="7" t="s">
        <v>228</v>
      </c>
      <c r="B19" s="7" t="s">
        <v>177</v>
      </c>
      <c r="C19" s="7" t="s">
        <v>178</v>
      </c>
      <c r="D19" s="7" t="s">
        <v>229</v>
      </c>
      <c r="E19" s="7" t="s">
        <v>230</v>
      </c>
      <c r="F19" s="7" t="s">
        <v>231</v>
      </c>
      <c r="G19" s="7" t="s">
        <v>232</v>
      </c>
      <c r="H19" s="7" t="s">
        <v>233</v>
      </c>
      <c r="I19" s="7" t="s">
        <v>49</v>
      </c>
      <c r="J19" s="7" t="s">
        <v>234</v>
      </c>
      <c r="K19" s="7" t="s">
        <v>235</v>
      </c>
      <c r="L19" s="7" t="s">
        <v>236</v>
      </c>
      <c r="M19" s="7">
        <v>3</v>
      </c>
      <c r="N19" s="7">
        <v>3</v>
      </c>
      <c r="O19" s="7">
        <f t="shared" si="0"/>
        <v>9</v>
      </c>
      <c r="P19" s="8" t="str">
        <f t="shared" si="1"/>
        <v>Médio</v>
      </c>
      <c r="Q19" s="7" t="s">
        <v>237</v>
      </c>
      <c r="R19" s="12" t="s">
        <v>76</v>
      </c>
      <c r="S19" s="7"/>
    </row>
    <row r="20" spans="1:19" ht="57" customHeight="1" x14ac:dyDescent="0.25">
      <c r="A20" s="7" t="s">
        <v>238</v>
      </c>
      <c r="B20" s="7" t="s">
        <v>177</v>
      </c>
      <c r="C20" s="7" t="s">
        <v>178</v>
      </c>
      <c r="D20" s="7" t="s">
        <v>239</v>
      </c>
      <c r="E20" s="7" t="s">
        <v>240</v>
      </c>
      <c r="F20" s="7" t="s">
        <v>241</v>
      </c>
      <c r="G20" s="7" t="s">
        <v>242</v>
      </c>
      <c r="H20" s="7" t="s">
        <v>243</v>
      </c>
      <c r="I20" s="7" t="s">
        <v>49</v>
      </c>
      <c r="J20" s="7" t="s">
        <v>244</v>
      </c>
      <c r="K20" s="7" t="s">
        <v>245</v>
      </c>
      <c r="L20" s="7" t="s">
        <v>52</v>
      </c>
      <c r="M20" s="7">
        <v>5</v>
      </c>
      <c r="N20" s="7">
        <v>4</v>
      </c>
      <c r="O20" s="7">
        <f t="shared" si="0"/>
        <v>20</v>
      </c>
      <c r="P20" s="8" t="str">
        <f t="shared" si="1"/>
        <v>Crítico</v>
      </c>
      <c r="Q20" s="7" t="s">
        <v>246</v>
      </c>
      <c r="R20" s="8" t="s">
        <v>54</v>
      </c>
      <c r="S20" s="7"/>
    </row>
    <row r="21" spans="1:19" ht="129" customHeight="1" x14ac:dyDescent="0.25">
      <c r="A21" s="7" t="s">
        <v>247</v>
      </c>
      <c r="B21" s="7" t="s">
        <v>177</v>
      </c>
      <c r="C21" s="7" t="s">
        <v>178</v>
      </c>
      <c r="D21" s="7" t="s">
        <v>248</v>
      </c>
      <c r="E21" s="7" t="s">
        <v>249</v>
      </c>
      <c r="F21" s="7" t="s">
        <v>250</v>
      </c>
      <c r="G21" s="7" t="s">
        <v>251</v>
      </c>
      <c r="H21" s="7" t="s">
        <v>252</v>
      </c>
      <c r="I21" s="7" t="s">
        <v>49</v>
      </c>
      <c r="J21" s="7" t="s">
        <v>253</v>
      </c>
      <c r="K21" s="7" t="s">
        <v>254</v>
      </c>
      <c r="L21" s="5" t="s">
        <v>52</v>
      </c>
      <c r="M21" s="7">
        <v>4</v>
      </c>
      <c r="N21" s="7">
        <v>4</v>
      </c>
      <c r="O21" s="7">
        <f t="shared" si="0"/>
        <v>16</v>
      </c>
      <c r="P21" s="8" t="str">
        <f t="shared" si="1"/>
        <v>Crítico</v>
      </c>
      <c r="Q21" s="7" t="s">
        <v>255</v>
      </c>
      <c r="R21" s="8" t="s">
        <v>54</v>
      </c>
      <c r="S21" s="7"/>
    </row>
    <row r="22" spans="1:19" ht="42.75" customHeight="1" x14ac:dyDescent="0.25">
      <c r="A22" s="7" t="s">
        <v>256</v>
      </c>
      <c r="B22" s="7" t="s">
        <v>177</v>
      </c>
      <c r="C22" s="7" t="s">
        <v>257</v>
      </c>
      <c r="D22" s="7" t="s">
        <v>258</v>
      </c>
      <c r="E22" s="7" t="s">
        <v>259</v>
      </c>
      <c r="F22" s="7" t="s">
        <v>260</v>
      </c>
      <c r="G22" s="7" t="s">
        <v>261</v>
      </c>
      <c r="H22" s="7" t="s">
        <v>262</v>
      </c>
      <c r="I22" s="7" t="s">
        <v>49</v>
      </c>
      <c r="J22" s="7" t="s">
        <v>263</v>
      </c>
      <c r="K22" s="7" t="s">
        <v>264</v>
      </c>
      <c r="L22" s="7" t="s">
        <v>52</v>
      </c>
      <c r="M22" s="7">
        <v>4</v>
      </c>
      <c r="N22" s="7">
        <v>3</v>
      </c>
      <c r="O22" s="7">
        <f t="shared" si="0"/>
        <v>12</v>
      </c>
      <c r="P22" s="8" t="str">
        <f t="shared" si="1"/>
        <v>Alto</v>
      </c>
      <c r="Q22" s="7" t="s">
        <v>265</v>
      </c>
      <c r="R22" s="22" t="s">
        <v>54</v>
      </c>
      <c r="S22" s="7"/>
    </row>
    <row r="23" spans="1:19" ht="57" customHeight="1" x14ac:dyDescent="0.25">
      <c r="A23" s="7" t="s">
        <v>266</v>
      </c>
      <c r="B23" s="7" t="s">
        <v>177</v>
      </c>
      <c r="C23" s="7" t="s">
        <v>178</v>
      </c>
      <c r="D23" s="7" t="s">
        <v>267</v>
      </c>
      <c r="E23" s="7" t="s">
        <v>268</v>
      </c>
      <c r="F23" s="7" t="s">
        <v>269</v>
      </c>
      <c r="G23" s="7" t="s">
        <v>270</v>
      </c>
      <c r="H23" s="7" t="s">
        <v>271</v>
      </c>
      <c r="I23" s="7" t="s">
        <v>49</v>
      </c>
      <c r="J23" s="7" t="s">
        <v>272</v>
      </c>
      <c r="K23" s="7" t="s">
        <v>273</v>
      </c>
      <c r="L23" s="7" t="s">
        <v>274</v>
      </c>
      <c r="M23" s="7">
        <v>5</v>
      </c>
      <c r="N23" s="7">
        <v>4</v>
      </c>
      <c r="O23" s="7">
        <f t="shared" si="0"/>
        <v>20</v>
      </c>
      <c r="P23" s="8" t="str">
        <f t="shared" si="1"/>
        <v>Crítico</v>
      </c>
      <c r="Q23" s="7" t="s">
        <v>275</v>
      </c>
      <c r="R23" s="8" t="s">
        <v>54</v>
      </c>
      <c r="S23" s="7"/>
    </row>
    <row r="24" spans="1:19" ht="42.75" customHeight="1" x14ac:dyDescent="0.25">
      <c r="A24" s="9" t="s">
        <v>276</v>
      </c>
      <c r="B24" s="9" t="s">
        <v>177</v>
      </c>
      <c r="C24" s="9" t="s">
        <v>178</v>
      </c>
      <c r="D24" s="9" t="s">
        <v>277</v>
      </c>
      <c r="E24" s="9" t="s">
        <v>278</v>
      </c>
      <c r="F24" s="10" t="s">
        <v>279</v>
      </c>
      <c r="G24" s="9" t="s">
        <v>280</v>
      </c>
      <c r="H24" s="10" t="s">
        <v>281</v>
      </c>
      <c r="I24" s="9" t="s">
        <v>49</v>
      </c>
      <c r="J24" s="9" t="s">
        <v>282</v>
      </c>
      <c r="K24" s="9" t="s">
        <v>283</v>
      </c>
      <c r="L24" s="7" t="s">
        <v>52</v>
      </c>
      <c r="M24" s="9">
        <v>3</v>
      </c>
      <c r="N24" s="9">
        <v>3</v>
      </c>
      <c r="O24" s="7">
        <f t="shared" si="0"/>
        <v>9</v>
      </c>
      <c r="P24" s="22" t="str">
        <f t="shared" si="1"/>
        <v>Médio</v>
      </c>
      <c r="Q24" s="9" t="s">
        <v>284</v>
      </c>
      <c r="R24" s="23" t="s">
        <v>76</v>
      </c>
      <c r="S24" s="7"/>
    </row>
    <row r="25" spans="1:19" ht="72" customHeight="1" x14ac:dyDescent="0.25">
      <c r="A25" s="7" t="s">
        <v>285</v>
      </c>
      <c r="B25" s="7" t="s">
        <v>286</v>
      </c>
      <c r="C25" s="7" t="s">
        <v>287</v>
      </c>
      <c r="D25" s="7" t="s">
        <v>288</v>
      </c>
      <c r="E25" s="7" t="s">
        <v>289</v>
      </c>
      <c r="F25" s="7" t="s">
        <v>290</v>
      </c>
      <c r="G25" s="7" t="s">
        <v>291</v>
      </c>
      <c r="H25" s="7" t="s">
        <v>292</v>
      </c>
      <c r="I25" s="7" t="s">
        <v>49</v>
      </c>
      <c r="J25" s="7" t="s">
        <v>293</v>
      </c>
      <c r="K25" s="7" t="s">
        <v>294</v>
      </c>
      <c r="L25" s="7" t="s">
        <v>52</v>
      </c>
      <c r="M25" s="7">
        <v>4</v>
      </c>
      <c r="N25" s="7">
        <v>3</v>
      </c>
      <c r="O25" s="7">
        <f t="shared" si="0"/>
        <v>12</v>
      </c>
      <c r="P25" s="8" t="str">
        <f t="shared" si="1"/>
        <v>Alto</v>
      </c>
      <c r="Q25" s="7" t="s">
        <v>295</v>
      </c>
      <c r="R25" s="24" t="s">
        <v>76</v>
      </c>
      <c r="S25" s="7"/>
    </row>
    <row r="26" spans="1:19" ht="42.75" customHeight="1" x14ac:dyDescent="0.25">
      <c r="A26" s="7" t="s">
        <v>296</v>
      </c>
      <c r="B26" s="7" t="s">
        <v>286</v>
      </c>
      <c r="C26" s="7" t="s">
        <v>287</v>
      </c>
      <c r="D26" s="7" t="s">
        <v>297</v>
      </c>
      <c r="E26" s="7" t="s">
        <v>298</v>
      </c>
      <c r="F26" s="7" t="s">
        <v>299</v>
      </c>
      <c r="G26" s="7" t="s">
        <v>300</v>
      </c>
      <c r="H26" s="7" t="s">
        <v>301</v>
      </c>
      <c r="I26" s="7" t="s">
        <v>49</v>
      </c>
      <c r="J26" s="7" t="s">
        <v>302</v>
      </c>
      <c r="K26" s="7" t="s">
        <v>303</v>
      </c>
      <c r="L26" s="7" t="s">
        <v>52</v>
      </c>
      <c r="M26" s="7">
        <v>4</v>
      </c>
      <c r="N26" s="7">
        <v>4</v>
      </c>
      <c r="O26" s="7">
        <f t="shared" si="0"/>
        <v>16</v>
      </c>
      <c r="P26" s="22" t="str">
        <f t="shared" si="1"/>
        <v>Crítico</v>
      </c>
      <c r="Q26" s="7" t="s">
        <v>304</v>
      </c>
      <c r="R26" s="22" t="s">
        <v>54</v>
      </c>
      <c r="S26" s="7"/>
    </row>
    <row r="27" spans="1:19" ht="57" customHeight="1" x14ac:dyDescent="0.25">
      <c r="A27" s="7" t="s">
        <v>305</v>
      </c>
      <c r="B27" s="7" t="s">
        <v>286</v>
      </c>
      <c r="C27" s="7" t="s">
        <v>287</v>
      </c>
      <c r="D27" s="7" t="s">
        <v>306</v>
      </c>
      <c r="E27" s="7" t="s">
        <v>307</v>
      </c>
      <c r="F27" s="7" t="s">
        <v>308</v>
      </c>
      <c r="G27" s="7" t="s">
        <v>309</v>
      </c>
      <c r="H27" s="7" t="s">
        <v>310</v>
      </c>
      <c r="I27" s="7" t="s">
        <v>49</v>
      </c>
      <c r="J27" s="7" t="s">
        <v>311</v>
      </c>
      <c r="K27" s="7" t="s">
        <v>312</v>
      </c>
      <c r="L27" s="7" t="s">
        <v>313</v>
      </c>
      <c r="M27" s="7">
        <v>3</v>
      </c>
      <c r="N27" s="7">
        <v>4</v>
      </c>
      <c r="O27" s="7">
        <f t="shared" si="0"/>
        <v>12</v>
      </c>
      <c r="P27" s="8" t="str">
        <f t="shared" si="1"/>
        <v>Alto</v>
      </c>
      <c r="Q27" s="7" t="s">
        <v>314</v>
      </c>
      <c r="R27" s="24" t="s">
        <v>76</v>
      </c>
      <c r="S27" s="7"/>
    </row>
    <row r="28" spans="1:19" ht="57" customHeight="1" x14ac:dyDescent="0.25">
      <c r="A28" s="7" t="s">
        <v>315</v>
      </c>
      <c r="B28" s="7" t="s">
        <v>286</v>
      </c>
      <c r="C28" s="7" t="s">
        <v>287</v>
      </c>
      <c r="D28" s="7" t="s">
        <v>316</v>
      </c>
      <c r="E28" s="7" t="s">
        <v>317</v>
      </c>
      <c r="F28" s="7" t="s">
        <v>318</v>
      </c>
      <c r="G28" s="7" t="s">
        <v>319</v>
      </c>
      <c r="H28" s="7" t="s">
        <v>320</v>
      </c>
      <c r="I28" s="7" t="s">
        <v>49</v>
      </c>
      <c r="J28" s="7" t="s">
        <v>321</v>
      </c>
      <c r="K28" s="7" t="s">
        <v>322</v>
      </c>
      <c r="L28" s="7" t="s">
        <v>323</v>
      </c>
      <c r="M28" s="7">
        <v>3</v>
      </c>
      <c r="N28" s="7">
        <v>3</v>
      </c>
      <c r="O28" s="7">
        <f t="shared" si="0"/>
        <v>9</v>
      </c>
      <c r="P28" s="22" t="str">
        <f t="shared" si="1"/>
        <v>Médio</v>
      </c>
      <c r="Q28" s="7" t="s">
        <v>324</v>
      </c>
      <c r="R28" s="24" t="s">
        <v>76</v>
      </c>
      <c r="S28" s="7"/>
    </row>
    <row r="29" spans="1:19" ht="100.5" customHeight="1" x14ac:dyDescent="0.25">
      <c r="A29" s="7" t="s">
        <v>325</v>
      </c>
      <c r="B29" s="7" t="s">
        <v>286</v>
      </c>
      <c r="C29" s="7" t="s">
        <v>326</v>
      </c>
      <c r="D29" s="7" t="s">
        <v>327</v>
      </c>
      <c r="E29" s="7" t="s">
        <v>328</v>
      </c>
      <c r="F29" s="7" t="s">
        <v>329</v>
      </c>
      <c r="G29" s="7" t="s">
        <v>330</v>
      </c>
      <c r="H29" s="7" t="s">
        <v>331</v>
      </c>
      <c r="I29" s="7" t="s">
        <v>49</v>
      </c>
      <c r="J29" s="7" t="s">
        <v>332</v>
      </c>
      <c r="K29" s="7" t="s">
        <v>333</v>
      </c>
      <c r="L29" s="7" t="s">
        <v>52</v>
      </c>
      <c r="M29" s="7">
        <v>3</v>
      </c>
      <c r="N29" s="7">
        <v>4</v>
      </c>
      <c r="O29" s="7">
        <f t="shared" si="0"/>
        <v>12</v>
      </c>
      <c r="P29" s="8" t="str">
        <f t="shared" si="1"/>
        <v>Alto</v>
      </c>
      <c r="Q29" s="7" t="s">
        <v>334</v>
      </c>
      <c r="R29" s="13" t="s">
        <v>76</v>
      </c>
      <c r="S29" s="7"/>
    </row>
    <row r="30" spans="1:19" ht="57" customHeight="1" x14ac:dyDescent="0.25">
      <c r="A30" s="7" t="s">
        <v>335</v>
      </c>
      <c r="B30" s="7" t="s">
        <v>286</v>
      </c>
      <c r="C30" s="7" t="s">
        <v>336</v>
      </c>
      <c r="D30" s="7" t="s">
        <v>337</v>
      </c>
      <c r="E30" s="7" t="s">
        <v>338</v>
      </c>
      <c r="F30" s="7" t="s">
        <v>339</v>
      </c>
      <c r="G30" s="7" t="s">
        <v>340</v>
      </c>
      <c r="H30" s="7" t="s">
        <v>341</v>
      </c>
      <c r="I30" s="7" t="s">
        <v>49</v>
      </c>
      <c r="J30" s="7" t="s">
        <v>342</v>
      </c>
      <c r="K30" s="7" t="s">
        <v>343</v>
      </c>
      <c r="L30" s="7" t="s">
        <v>344</v>
      </c>
      <c r="M30" s="7">
        <v>4</v>
      </c>
      <c r="N30" s="7">
        <v>3</v>
      </c>
      <c r="O30" s="7">
        <f t="shared" si="0"/>
        <v>12</v>
      </c>
      <c r="P30" s="8" t="str">
        <f t="shared" si="1"/>
        <v>Alto</v>
      </c>
      <c r="Q30" s="7" t="s">
        <v>345</v>
      </c>
      <c r="R30" s="13" t="s">
        <v>76</v>
      </c>
      <c r="S30" s="7"/>
    </row>
    <row r="31" spans="1:19" ht="72" customHeight="1" x14ac:dyDescent="0.25">
      <c r="A31" s="7" t="s">
        <v>346</v>
      </c>
      <c r="B31" s="7" t="s">
        <v>286</v>
      </c>
      <c r="C31" s="7" t="s">
        <v>287</v>
      </c>
      <c r="D31" s="7" t="s">
        <v>347</v>
      </c>
      <c r="E31" s="7" t="s">
        <v>348</v>
      </c>
      <c r="F31" s="7" t="s">
        <v>349</v>
      </c>
      <c r="G31" s="7" t="s">
        <v>350</v>
      </c>
      <c r="H31" s="7" t="s">
        <v>351</v>
      </c>
      <c r="I31" s="7" t="s">
        <v>49</v>
      </c>
      <c r="J31" s="7" t="s">
        <v>352</v>
      </c>
      <c r="K31" s="7" t="s">
        <v>353</v>
      </c>
      <c r="L31" s="7" t="s">
        <v>52</v>
      </c>
      <c r="M31" s="7">
        <v>4</v>
      </c>
      <c r="N31" s="7">
        <v>4</v>
      </c>
      <c r="O31" s="7">
        <f t="shared" si="0"/>
        <v>16</v>
      </c>
      <c r="P31" s="22" t="str">
        <f t="shared" si="1"/>
        <v>Crítico</v>
      </c>
      <c r="Q31" s="7" t="s">
        <v>354</v>
      </c>
      <c r="R31" s="22" t="s">
        <v>54</v>
      </c>
      <c r="S31" s="7"/>
    </row>
    <row r="32" spans="1:19" ht="72" customHeight="1" x14ac:dyDescent="0.25">
      <c r="A32" s="7" t="s">
        <v>355</v>
      </c>
      <c r="B32" s="7" t="s">
        <v>286</v>
      </c>
      <c r="C32" s="7" t="s">
        <v>287</v>
      </c>
      <c r="D32" s="7" t="s">
        <v>356</v>
      </c>
      <c r="E32" s="7" t="s">
        <v>357</v>
      </c>
      <c r="F32" s="7" t="s">
        <v>358</v>
      </c>
      <c r="G32" s="7" t="s">
        <v>359</v>
      </c>
      <c r="H32" s="7" t="s">
        <v>360</v>
      </c>
      <c r="I32" s="7" t="s">
        <v>49</v>
      </c>
      <c r="J32" s="7" t="s">
        <v>361</v>
      </c>
      <c r="K32" s="7" t="s">
        <v>362</v>
      </c>
      <c r="L32" s="7" t="s">
        <v>52</v>
      </c>
      <c r="M32" s="7">
        <v>3</v>
      </c>
      <c r="N32" s="7">
        <v>3</v>
      </c>
      <c r="O32" s="7">
        <f t="shared" si="0"/>
        <v>9</v>
      </c>
      <c r="P32" s="8" t="str">
        <f t="shared" si="1"/>
        <v>Médio</v>
      </c>
      <c r="Q32" s="7" t="s">
        <v>363</v>
      </c>
      <c r="R32" s="13" t="s">
        <v>76</v>
      </c>
      <c r="S32" s="7"/>
    </row>
    <row r="33" spans="1:19" ht="42.75" customHeight="1" x14ac:dyDescent="0.25">
      <c r="A33" s="7" t="s">
        <v>364</v>
      </c>
      <c r="B33" s="7" t="s">
        <v>286</v>
      </c>
      <c r="C33" s="7" t="s">
        <v>287</v>
      </c>
      <c r="D33" s="7" t="s">
        <v>365</v>
      </c>
      <c r="E33" s="7" t="s">
        <v>366</v>
      </c>
      <c r="F33" s="7" t="s">
        <v>367</v>
      </c>
      <c r="G33" s="7" t="s">
        <v>368</v>
      </c>
      <c r="H33" s="7" t="s">
        <v>369</v>
      </c>
      <c r="I33" s="7" t="s">
        <v>49</v>
      </c>
      <c r="J33" s="7" t="s">
        <v>370</v>
      </c>
      <c r="K33" s="7" t="s">
        <v>52</v>
      </c>
      <c r="L33" s="7" t="s">
        <v>371</v>
      </c>
      <c r="M33" s="7">
        <v>3</v>
      </c>
      <c r="N33" s="7">
        <v>4</v>
      </c>
      <c r="O33" s="7">
        <f t="shared" si="0"/>
        <v>12</v>
      </c>
      <c r="P33" s="8" t="str">
        <f t="shared" si="1"/>
        <v>Alto</v>
      </c>
      <c r="Q33" s="7" t="s">
        <v>372</v>
      </c>
      <c r="R33" s="13" t="s">
        <v>76</v>
      </c>
      <c r="S33" s="7"/>
    </row>
    <row r="34" spans="1:19" ht="42.75" customHeight="1" x14ac:dyDescent="0.25">
      <c r="A34" s="7" t="s">
        <v>373</v>
      </c>
      <c r="B34" s="7" t="s">
        <v>286</v>
      </c>
      <c r="C34" s="7" t="s">
        <v>287</v>
      </c>
      <c r="D34" s="7" t="s">
        <v>374</v>
      </c>
      <c r="E34" s="7" t="s">
        <v>375</v>
      </c>
      <c r="F34" s="7" t="s">
        <v>376</v>
      </c>
      <c r="G34" s="7" t="s">
        <v>377</v>
      </c>
      <c r="H34" s="7" t="s">
        <v>378</v>
      </c>
      <c r="I34" s="7" t="s">
        <v>49</v>
      </c>
      <c r="J34" s="7" t="s">
        <v>379</v>
      </c>
      <c r="K34" s="7" t="s">
        <v>380</v>
      </c>
      <c r="L34" s="7" t="s">
        <v>52</v>
      </c>
      <c r="M34" s="7">
        <v>3</v>
      </c>
      <c r="N34" s="7">
        <v>4</v>
      </c>
      <c r="O34" s="7">
        <f t="shared" si="0"/>
        <v>12</v>
      </c>
      <c r="P34" s="8" t="str">
        <f t="shared" si="1"/>
        <v>Alto</v>
      </c>
      <c r="Q34" s="7" t="s">
        <v>381</v>
      </c>
      <c r="R34" s="13" t="s">
        <v>76</v>
      </c>
      <c r="S34" s="7"/>
    </row>
    <row r="35" spans="1:19" ht="57" customHeight="1" x14ac:dyDescent="0.25">
      <c r="A35" s="7" t="s">
        <v>382</v>
      </c>
      <c r="B35" s="7" t="s">
        <v>286</v>
      </c>
      <c r="C35" s="7" t="s">
        <v>287</v>
      </c>
      <c r="D35" s="7" t="s">
        <v>383</v>
      </c>
      <c r="E35" s="7" t="s">
        <v>384</v>
      </c>
      <c r="F35" s="7" t="s">
        <v>385</v>
      </c>
      <c r="G35" s="7" t="s">
        <v>386</v>
      </c>
      <c r="H35" s="7" t="s">
        <v>387</v>
      </c>
      <c r="I35" s="7" t="s">
        <v>388</v>
      </c>
      <c r="J35" s="7" t="s">
        <v>389</v>
      </c>
      <c r="K35" s="7" t="s">
        <v>390</v>
      </c>
      <c r="L35" s="7" t="s">
        <v>391</v>
      </c>
      <c r="M35" s="7">
        <v>3</v>
      </c>
      <c r="N35" s="7">
        <v>2</v>
      </c>
      <c r="O35" s="7">
        <f t="shared" si="0"/>
        <v>6</v>
      </c>
      <c r="P35" s="22" t="str">
        <f t="shared" si="1"/>
        <v>Médio</v>
      </c>
      <c r="Q35" s="7" t="s">
        <v>392</v>
      </c>
      <c r="R35" s="24" t="s">
        <v>112</v>
      </c>
      <c r="S35" s="7"/>
    </row>
    <row r="36" spans="1:19" ht="100.9" customHeight="1" x14ac:dyDescent="0.25">
      <c r="A36" s="7" t="s">
        <v>393</v>
      </c>
      <c r="B36" s="7" t="s">
        <v>394</v>
      </c>
      <c r="C36" s="7" t="s">
        <v>395</v>
      </c>
      <c r="D36" s="7" t="s">
        <v>396</v>
      </c>
      <c r="E36" s="7" t="s">
        <v>397</v>
      </c>
      <c r="F36" s="7" t="s">
        <v>398</v>
      </c>
      <c r="G36" s="7" t="s">
        <v>399</v>
      </c>
      <c r="H36" s="7" t="s">
        <v>400</v>
      </c>
      <c r="I36" s="7" t="s">
        <v>401</v>
      </c>
      <c r="J36" s="7" t="s">
        <v>402</v>
      </c>
      <c r="K36" s="7" t="s">
        <v>403</v>
      </c>
      <c r="L36" s="7" t="s">
        <v>404</v>
      </c>
      <c r="M36" s="7">
        <v>2</v>
      </c>
      <c r="N36" s="7">
        <v>3</v>
      </c>
      <c r="O36" s="7">
        <f t="shared" si="0"/>
        <v>6</v>
      </c>
      <c r="P36" s="22" t="str">
        <f t="shared" si="1"/>
        <v>Médio</v>
      </c>
      <c r="Q36" s="7" t="s">
        <v>405</v>
      </c>
      <c r="R36" s="24" t="s">
        <v>76</v>
      </c>
      <c r="S36" s="7"/>
    </row>
    <row r="37" spans="1:19" ht="244.5" customHeight="1" x14ac:dyDescent="0.25">
      <c r="A37" s="7" t="s">
        <v>406</v>
      </c>
      <c r="B37" s="7" t="s">
        <v>394</v>
      </c>
      <c r="C37" s="7" t="s">
        <v>395</v>
      </c>
      <c r="D37" s="7" t="s">
        <v>407</v>
      </c>
      <c r="E37" s="7" t="s">
        <v>408</v>
      </c>
      <c r="F37" s="7" t="s">
        <v>409</v>
      </c>
      <c r="G37" s="7" t="s">
        <v>410</v>
      </c>
      <c r="H37" s="7" t="s">
        <v>411</v>
      </c>
      <c r="I37" s="7" t="s">
        <v>49</v>
      </c>
      <c r="J37" s="7" t="s">
        <v>412</v>
      </c>
      <c r="K37" s="7" t="s">
        <v>413</v>
      </c>
      <c r="L37" s="7" t="s">
        <v>414</v>
      </c>
      <c r="M37" s="7">
        <v>4</v>
      </c>
      <c r="N37" s="7">
        <v>3</v>
      </c>
      <c r="O37" s="7">
        <f>M38*N38</f>
        <v>9</v>
      </c>
      <c r="P37" s="8" t="str">
        <f>IF($O38="","",IF($O38&lt;=5,"Baixo",IF($O38&lt;=10,"Médio",IF($O38&lt;=14,"Alto","Crítico"))))</f>
        <v>Alto</v>
      </c>
      <c r="Q37" s="7" t="s">
        <v>415</v>
      </c>
      <c r="R37" s="24" t="s">
        <v>76</v>
      </c>
      <c r="S37" s="7"/>
    </row>
    <row r="38" spans="1:19" ht="129" customHeight="1" x14ac:dyDescent="0.25">
      <c r="A38" s="7" t="s">
        <v>416</v>
      </c>
      <c r="B38" s="7" t="s">
        <v>394</v>
      </c>
      <c r="C38" s="7" t="s">
        <v>395</v>
      </c>
      <c r="D38" s="7" t="s">
        <v>417</v>
      </c>
      <c r="E38" s="7" t="s">
        <v>418</v>
      </c>
      <c r="F38" s="7" t="s">
        <v>419</v>
      </c>
      <c r="G38" s="7" t="s">
        <v>420</v>
      </c>
      <c r="H38" s="7" t="s">
        <v>421</v>
      </c>
      <c r="I38" s="7" t="s">
        <v>422</v>
      </c>
      <c r="J38" s="7" t="s">
        <v>423</v>
      </c>
      <c r="K38" s="7" t="s">
        <v>52</v>
      </c>
      <c r="L38" s="7" t="s">
        <v>52</v>
      </c>
      <c r="M38" s="7">
        <v>3</v>
      </c>
      <c r="N38" s="7">
        <v>3</v>
      </c>
      <c r="O38" s="7">
        <f>M39*N39</f>
        <v>12</v>
      </c>
      <c r="P38" s="8" t="str">
        <f>IF($O39="","",IF($O39&lt;=5,"Baixo",IF($O39&lt;=10,"Médio",IF($O39&lt;=14,"Alto","Crítico"))))</f>
        <v>Alto</v>
      </c>
      <c r="Q38" s="7" t="s">
        <v>424</v>
      </c>
      <c r="R38" s="24" t="s">
        <v>76</v>
      </c>
      <c r="S38" s="7"/>
    </row>
    <row r="39" spans="1:19" ht="86.25" customHeight="1" x14ac:dyDescent="0.25">
      <c r="A39" s="7" t="s">
        <v>425</v>
      </c>
      <c r="B39" s="7" t="s">
        <v>394</v>
      </c>
      <c r="C39" s="7" t="s">
        <v>395</v>
      </c>
      <c r="D39" s="7" t="s">
        <v>426</v>
      </c>
      <c r="E39" s="7" t="s">
        <v>427</v>
      </c>
      <c r="F39" s="7" t="s">
        <v>428</v>
      </c>
      <c r="G39" s="7" t="s">
        <v>429</v>
      </c>
      <c r="H39" s="7" t="s">
        <v>430</v>
      </c>
      <c r="I39" s="7" t="s">
        <v>49</v>
      </c>
      <c r="J39" s="7" t="s">
        <v>431</v>
      </c>
      <c r="K39" s="7" t="s">
        <v>432</v>
      </c>
      <c r="L39" s="7" t="s">
        <v>433</v>
      </c>
      <c r="M39" s="7">
        <v>4</v>
      </c>
      <c r="N39" s="7">
        <v>3</v>
      </c>
      <c r="O39" s="7">
        <v>12</v>
      </c>
      <c r="P39" s="8" t="s">
        <v>434</v>
      </c>
      <c r="Q39" s="7" t="s">
        <v>435</v>
      </c>
      <c r="R39" s="13" t="s">
        <v>76</v>
      </c>
      <c r="S39" s="7"/>
    </row>
    <row r="40" spans="1:19" ht="57" customHeight="1" x14ac:dyDescent="0.25">
      <c r="A40" s="7" t="s">
        <v>436</v>
      </c>
      <c r="B40" s="7" t="s">
        <v>394</v>
      </c>
      <c r="C40" s="7" t="s">
        <v>395</v>
      </c>
      <c r="D40" s="7" t="s">
        <v>437</v>
      </c>
      <c r="E40" s="7" t="s">
        <v>438</v>
      </c>
      <c r="F40" s="7" t="s">
        <v>439</v>
      </c>
      <c r="G40" s="7" t="s">
        <v>440</v>
      </c>
      <c r="H40" s="7" t="s">
        <v>441</v>
      </c>
      <c r="I40" s="7" t="s">
        <v>49</v>
      </c>
      <c r="J40" s="7" t="s">
        <v>442</v>
      </c>
      <c r="K40" s="7" t="s">
        <v>443</v>
      </c>
      <c r="L40" s="7" t="s">
        <v>444</v>
      </c>
      <c r="M40" s="7">
        <v>2</v>
      </c>
      <c r="N40" s="7">
        <v>2</v>
      </c>
      <c r="O40" s="7">
        <v>4</v>
      </c>
      <c r="P40" s="8" t="s">
        <v>434</v>
      </c>
      <c r="Q40" s="7" t="s">
        <v>445</v>
      </c>
      <c r="R40" s="24" t="s">
        <v>112</v>
      </c>
      <c r="S40" s="7"/>
    </row>
    <row r="41" spans="1:19" ht="72" customHeight="1" x14ac:dyDescent="0.25"/>
    <row r="42" spans="1:19" ht="42.75" customHeight="1" x14ac:dyDescent="0.25"/>
    <row r="46" spans="1:19" x14ac:dyDescent="0.25">
      <c r="D46" s="14"/>
    </row>
  </sheetData>
  <conditionalFormatting sqref="P1:P1048576">
    <cfRule type="containsText" dxfId="6" priority="6" operator="containsText" text="Baixo">
      <formula>NOT(ISERROR(SEARCH("Baixo",P1)))</formula>
    </cfRule>
    <cfRule type="containsText" dxfId="5" priority="7" operator="containsText" text="Médio">
      <formula>NOT(ISERROR(SEARCH("Médio",P1)))</formula>
    </cfRule>
    <cfRule type="containsText" dxfId="4" priority="8" operator="containsText" text="Crítico">
      <formula>NOT(ISERROR(SEARCH("Crítico",P1)))</formula>
    </cfRule>
  </conditionalFormatting>
  <conditionalFormatting sqref="P18">
    <cfRule type="containsText" dxfId="3" priority="2" operator="containsText" text="Alto">
      <formula>NOT(ISERROR(SEARCH("Alto",P18)))</formula>
    </cfRule>
  </conditionalFormatting>
  <conditionalFormatting sqref="R1:R1048576">
    <cfRule type="containsText" dxfId="2" priority="3" operator="containsText" text="Baixa">
      <formula>NOT(ISERROR(SEARCH("Baixa",R1)))</formula>
    </cfRule>
    <cfRule type="containsText" dxfId="1" priority="4" operator="containsText" text="Média">
      <formula>NOT(ISERROR(SEARCH("Média",R1)))</formula>
    </cfRule>
    <cfRule type="containsText" dxfId="0" priority="5" operator="containsText" text="Alta">
      <formula>NOT(ISERROR(SEARCH("Alta",R1)))</formula>
    </cfRule>
  </conditionalFormatting>
  <pageMargins left="0.51180555555555596" right="0.51180555555555596"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showGridLines="0" zoomScale="85" zoomScaleNormal="85" workbookViewId="0">
      <selection activeCell="A21" sqref="A21"/>
    </sheetView>
  </sheetViews>
  <sheetFormatPr defaultColWidth="8.5703125" defaultRowHeight="15" x14ac:dyDescent="0.25"/>
  <cols>
    <col min="1" max="1" width="121.140625" customWidth="1"/>
    <col min="7" max="7" width="105.5703125" style="15" customWidth="1"/>
  </cols>
  <sheetData>
    <row r="1" spans="1:1" x14ac:dyDescent="0.25">
      <c r="A1" s="16" t="s">
        <v>446</v>
      </c>
    </row>
    <row r="2" spans="1:1" ht="28.5" customHeight="1" x14ac:dyDescent="0.25">
      <c r="A2" s="7" t="s">
        <v>447</v>
      </c>
    </row>
    <row r="3" spans="1:1" ht="28.5" customHeight="1" x14ac:dyDescent="0.25">
      <c r="A3" s="9" t="s">
        <v>448</v>
      </c>
    </row>
    <row r="4" spans="1:1" ht="28.5" customHeight="1" x14ac:dyDescent="0.25">
      <c r="A4" s="7" t="s">
        <v>449</v>
      </c>
    </row>
    <row r="5" spans="1:1" ht="28.5" customHeight="1" x14ac:dyDescent="0.25">
      <c r="A5" s="7" t="s">
        <v>450</v>
      </c>
    </row>
    <row r="6" spans="1:1" ht="28.5" customHeight="1" x14ac:dyDescent="0.25">
      <c r="A6" s="7" t="s">
        <v>451</v>
      </c>
    </row>
    <row r="7" spans="1:1" x14ac:dyDescent="0.25">
      <c r="A7" s="10"/>
    </row>
    <row r="8" spans="1:1" x14ac:dyDescent="0.25">
      <c r="A8" s="16" t="s">
        <v>452</v>
      </c>
    </row>
    <row r="9" spans="1:1" x14ac:dyDescent="0.25">
      <c r="A9" s="11" t="s">
        <v>453</v>
      </c>
    </row>
    <row r="10" spans="1:1" x14ac:dyDescent="0.25">
      <c r="A10" s="11" t="s">
        <v>454</v>
      </c>
    </row>
    <row r="11" spans="1:1" x14ac:dyDescent="0.25">
      <c r="A11" s="11" t="s">
        <v>455</v>
      </c>
    </row>
    <row r="12" spans="1:1" x14ac:dyDescent="0.25">
      <c r="A12" s="17" t="s">
        <v>456</v>
      </c>
    </row>
  </sheetData>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Aprovação</vt:lpstr>
      <vt:lpstr>Matriz de Risco</vt:lpstr>
      <vt:lpstr>Parâmetros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Mauad</dc:creator>
  <cp:lastModifiedBy>Jose Barreto</cp:lastModifiedBy>
  <cp:revision>0</cp:revision>
  <dcterms:created xsi:type="dcterms:W3CDTF">2026-01-26T16:44:28Z</dcterms:created>
  <dcterms:modified xsi:type="dcterms:W3CDTF">2026-08-05T16:08:48Z</dcterms:modified>
  <dc:language>en-US</dc:language>
</cp:coreProperties>
</file>