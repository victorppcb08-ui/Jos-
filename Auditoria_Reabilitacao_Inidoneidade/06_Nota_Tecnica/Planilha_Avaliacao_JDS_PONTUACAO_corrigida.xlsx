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65" firstSheet="1" activeTab="1" autoFilterDateGrouping="1"/>
  </bookViews>
  <sheets>
    <sheet xmlns:r="http://schemas.openxmlformats.org/officeDocument/2006/relationships" name="Formulário de Perfil" sheetId="1" state="visible" r:id="rId1"/>
    <sheet xmlns:r="http://schemas.openxmlformats.org/officeDocument/2006/relationships" name="Formulário de Conformidade" sheetId="2" state="visible" r:id="rId2"/>
    <sheet xmlns:r="http://schemas.openxmlformats.org/officeDocument/2006/relationships" name="Contadores" sheetId="3" state="hidden" r:id="rId3"/>
    <sheet xmlns:r="http://schemas.openxmlformats.org/officeDocument/2006/relationships" name="Resultado" sheetId="4" state="visible" r:id="rId4"/>
    <sheet xmlns:r="http://schemas.openxmlformats.org/officeDocument/2006/relationships" name="Planilha2" sheetId="5" state="hidden" r:id="rId5"/>
    <sheet xmlns:r="http://schemas.openxmlformats.org/officeDocument/2006/relationships" name="3  Validação da Tabela Pergunta" sheetId="6" state="hidden" r:id="rId6"/>
    <sheet xmlns:r="http://schemas.openxmlformats.org/officeDocument/2006/relationships" name="Checklist SAMPI" sheetId="7" state="hidden" r:id="rId7"/>
    <sheet xmlns:r="http://schemas.openxmlformats.org/officeDocument/2006/relationships" name="datablocosGV" sheetId="8" state="hidden" r:id="rId8"/>
    <sheet xmlns:r="http://schemas.openxmlformats.org/officeDocument/2006/relationships" name="Planilha1" sheetId="9" state="hidden" r:id="rId9"/>
    <sheet xmlns:r="http://schemas.openxmlformats.org/officeDocument/2006/relationships" name="dataareasgv" sheetId="10" state="hidden" r:id="rId10"/>
    <sheet xmlns:r="http://schemas.openxmlformats.org/officeDocument/2006/relationships" name="dataFPGV" sheetId="11" state="hidden" r:id="rId11"/>
  </sheets>
  <definedNames>
    <definedName name="SegmentaçãodeDados_Área">#N/A</definedName>
    <definedName name="SegmentaçãodeDados_Peso">#N/A</definedName>
    <definedName name="_ftn1" localSheetId="1">'Formulário de Conformidade'!#REF!</definedName>
    <definedName name="_ftnref1" localSheetId="1">'Formulário de Conformidade'!#REF!</definedName>
    <definedName name="_xlnm.Print_Area" localSheetId="1">'Formulário de Conformidade'!$B$1:$X$173</definedName>
    <definedName name="DadosExternos_1" localSheetId="5" hidden="1">'3  Validação da Tabela Pergunta'!$A$1:$N$119</definedName>
    <definedName name="_xlnm._FilterDatabase" localSheetId="6" hidden="1">'Checklist SAMPI'!$Y$1:$AB$119</definedName>
    <definedName name="DadosExternos_1" localSheetId="7" hidden="1">datablocosGV!$A$1:$G$24</definedName>
    <definedName name="DadosExternos_2" localSheetId="9" hidden="1">dataareasgv!$A$1:$F$12</definedName>
    <definedName name="DadosExternos_1" localSheetId="10" hidden="1">dataFPGV!$A$1:$H$43</definedName>
  </definedNames>
  <calcPr calcId="191028" fullCalcOnLoad="1"/>
</workbook>
</file>

<file path=xl/styles.xml><?xml version="1.0" encoding="utf-8"?>
<styleSheet xmlns="http://schemas.openxmlformats.org/spreadsheetml/2006/main">
  <numFmts count="2">
    <numFmt numFmtId="164" formatCode="0.000"/>
    <numFmt numFmtId="165" formatCode="_-* #,##0.00_-;\-* #,##0.00_-;_-* &quot;-&quot;??_-;_-@_-"/>
  </numFmts>
  <fonts count="42">
    <font>
      <name val="Aptos Narrow"/>
      <family val="2"/>
      <color theme="1"/>
      <sz val="11"/>
      <scheme val="minor"/>
    </font>
    <font>
      <name val="Aptos Narrow"/>
      <family val="2"/>
      <color theme="1"/>
      <sz val="11"/>
      <scheme val="minor"/>
    </font>
    <font>
      <name val="Calibri"/>
      <family val="2"/>
      <b val="1"/>
      <color rgb="FF000000"/>
      <sz val="10"/>
    </font>
    <font>
      <name val="Calibri"/>
      <family val="2"/>
      <color rgb="FF000000"/>
      <sz val="10"/>
    </font>
    <font>
      <name val="Calibri"/>
      <family val="2"/>
      <color theme="1"/>
      <sz val="10"/>
    </font>
    <font>
      <name val="Calibri"/>
      <family val="2"/>
      <b val="1"/>
      <color theme="0"/>
      <sz val="11"/>
    </font>
    <font>
      <name val="Aptos Narrow"/>
      <family val="2"/>
      <b val="1"/>
      <color theme="1"/>
      <sz val="16"/>
      <scheme val="minor"/>
    </font>
    <font>
      <name val="Calibri"/>
      <family val="2"/>
      <color theme="3"/>
      <sz val="10"/>
    </font>
    <font>
      <name val="Calibri"/>
      <family val="2"/>
      <b val="1"/>
      <color theme="0"/>
      <sz val="10"/>
    </font>
    <font>
      <name val="Calibri"/>
      <family val="2"/>
      <b val="1"/>
      <color theme="1"/>
      <sz val="18"/>
    </font>
    <font>
      <name val="Calibri"/>
      <family val="2"/>
      <sz val="10"/>
    </font>
    <font>
      <name val="Calibri"/>
      <family val="2"/>
      <b val="1"/>
      <color rgb="FF00B050"/>
      <sz val="10"/>
    </font>
    <font>
      <name val="Calibri"/>
      <family val="2"/>
      <b val="1"/>
      <color rgb="FF00B050"/>
      <sz val="8"/>
      <vertAlign val="superscript"/>
    </font>
    <font>
      <name val="Calibri"/>
      <family val="2"/>
      <color rgb="FF00B050"/>
      <sz val="10"/>
    </font>
    <font>
      <name val="Calibri"/>
      <family val="2"/>
      <sz val="8"/>
      <vertAlign val="superscript"/>
    </font>
    <font>
      <name val="Aptos Narrow"/>
      <family val="2"/>
      <color rgb="FFFF0000"/>
      <sz val="11"/>
      <scheme val="minor"/>
    </font>
    <font>
      <name val="Calibri"/>
      <family val="2"/>
      <b val="1"/>
      <color rgb="FF00B050"/>
      <sz val="10"/>
      <vertAlign val="superscript"/>
    </font>
    <font>
      <name val="Calibri"/>
      <family val="2"/>
      <color rgb="FF000000"/>
      <sz val="10"/>
      <vertAlign val="superscript"/>
    </font>
    <font>
      <name val="Calibri"/>
      <family val="2"/>
      <color rgb="FFFF0000"/>
      <sz val="10"/>
    </font>
    <font>
      <name val="Aptos Narrow"/>
      <family val="2"/>
      <sz val="8"/>
      <scheme val="minor"/>
    </font>
    <font>
      <name val="Calibri"/>
      <family val="2"/>
      <b val="1"/>
      <color theme="1"/>
      <sz val="11"/>
    </font>
    <font>
      <name val="Calibri"/>
      <family val="2"/>
      <sz val="10"/>
      <vertAlign val="superscript"/>
    </font>
    <font>
      <name val="Aptos Narrow"/>
      <family val="2"/>
      <sz val="11"/>
      <scheme val="minor"/>
    </font>
    <font>
      <name val="Calibri"/>
      <family val="2"/>
      <color theme="3" tint="0.499984740745262"/>
      <sz val="10"/>
    </font>
    <font>
      <name val="Aptos Narrow"/>
      <family val="2"/>
      <color theme="3" tint="0.499984740745262"/>
      <sz val="11"/>
      <scheme val="minor"/>
    </font>
    <font>
      <name val="Aptos Narrow"/>
      <family val="2"/>
      <b val="1"/>
      <color theme="0"/>
      <sz val="11"/>
      <scheme val="minor"/>
    </font>
    <font>
      <name val="Aptos Narrow"/>
      <family val="2"/>
      <b val="1"/>
      <color theme="1"/>
      <sz val="11"/>
      <scheme val="minor"/>
    </font>
    <font>
      <name val="Aptos Narrow"/>
      <family val="2"/>
      <color theme="2" tint="-0.8999908444471572"/>
      <sz val="11"/>
      <scheme val="minor"/>
    </font>
    <font>
      <name val="Calibri"/>
      <family val="2"/>
      <b val="1"/>
      <color theme="1"/>
      <sz val="24"/>
    </font>
    <font>
      <name val="Calibri"/>
      <family val="2"/>
      <color theme="2" tint="-0.249977111117893"/>
      <sz val="10"/>
    </font>
    <font>
      <name val="Aptos Narrow"/>
      <family val="2"/>
      <color theme="2" tint="-0.249977111117893"/>
      <sz val="11"/>
      <scheme val="minor"/>
    </font>
    <font>
      <name val="Aptos Narrow"/>
      <family val="2"/>
      <b val="1"/>
      <color theme="2" tint="-0.249977111117893"/>
      <sz val="11"/>
      <scheme val="minor"/>
    </font>
    <font>
      <name val="Calibri"/>
      <family val="2"/>
      <b val="1"/>
      <color theme="1"/>
      <sz val="16"/>
    </font>
    <font>
      <name val="Aptos Narrow"/>
      <family val="2"/>
      <color theme="1"/>
      <sz val="16"/>
      <scheme val="minor"/>
    </font>
    <font>
      <name val="Calibri"/>
      <family val="2"/>
      <b val="1"/>
      <sz val="10"/>
    </font>
    <font>
      <name val="Calibri"/>
      <family val="2"/>
      <b val="1"/>
      <color theme="0"/>
      <sz val="12"/>
    </font>
    <font>
      <name val="Calibri"/>
      <family val="2"/>
      <color theme="0"/>
      <sz val="12"/>
    </font>
    <font>
      <name val="Calibri"/>
      <family val="2"/>
      <b val="1"/>
      <sz val="10"/>
      <vertAlign val="superscript"/>
    </font>
    <font>
      <name val="Calibri"/>
      <family val="2"/>
      <b val="1"/>
      <sz val="8"/>
      <vertAlign val="superscript"/>
    </font>
    <font>
      <name val="Calibri"/>
      <color rgb="FF000000"/>
      <sz val="10"/>
    </font>
    <font>
      <name val="Aptos Narrow"/>
      <family val="2"/>
      <color rgb="FF0070C0"/>
      <sz val="11"/>
      <scheme val="minor"/>
    </font>
    <font>
      <name val="Aptos Narrow"/>
      <color rgb="FF0070C0"/>
      <sz val="11"/>
      <scheme val="minor"/>
    </font>
  </fonts>
  <fills count="12">
    <fill>
      <patternFill/>
    </fill>
    <fill>
      <patternFill patternType="gray125"/>
    </fill>
    <fill>
      <patternFill patternType="solid">
        <fgColor rgb="FFF2F2F2"/>
        <bgColor indexed="64"/>
      </patternFill>
    </fill>
    <fill>
      <patternFill patternType="solid">
        <fgColor rgb="FFE2EFDA"/>
        <bgColor indexed="64"/>
      </patternFill>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9" tint="0.7999816888943144"/>
        <bgColor theme="9" tint="0.7999816888943144"/>
      </patternFill>
    </fill>
    <fill>
      <patternFill patternType="solid">
        <fgColor rgb="FFFFC000"/>
        <bgColor indexed="64"/>
      </patternFill>
    </fill>
    <fill>
      <patternFill patternType="solid">
        <fgColor theme="5"/>
        <bgColor indexed="64"/>
      </patternFill>
    </fill>
    <fill>
      <patternFill patternType="solid">
        <fgColor theme="1"/>
        <bgColor indexed="64"/>
      </patternFill>
    </fill>
  </fills>
  <borders count="33">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bottom style="thin">
        <color indexed="64"/>
      </bottom>
      <diagonal/>
    </border>
    <border>
      <left style="thin">
        <color theme="9" tint="0.3999755851924192"/>
      </left>
      <right/>
      <top style="thin">
        <color theme="9" tint="0.3999755851924192"/>
      </top>
      <bottom style="thin">
        <color theme="9" tint="0.3999755851924192"/>
      </bottom>
      <diagonal/>
    </border>
    <border>
      <left/>
      <right/>
      <top style="thin">
        <color theme="9" tint="0.3999755851924192"/>
      </top>
      <bottom style="thin">
        <color theme="9" tint="0.3999755851924192"/>
      </bottom>
      <diagonal/>
    </border>
    <border>
      <left/>
      <right style="thin">
        <color theme="9" tint="0.3999755851924192"/>
      </right>
      <top style="thin">
        <color theme="9" tint="0.3999755851924192"/>
      </top>
      <bottom style="thin">
        <color theme="9" tint="0.3999755851924192"/>
      </bottom>
      <diagonal/>
    </border>
    <border>
      <left style="thin">
        <color indexed="64"/>
      </left>
      <right style="thin">
        <color indexed="64"/>
      </right>
      <top style="thin">
        <color indexed="64"/>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s>
  <cellStyleXfs count="3">
    <xf numFmtId="0" fontId="1" fillId="0" borderId="0"/>
    <xf numFmtId="9" fontId="1" fillId="0" borderId="0"/>
    <xf numFmtId="43" fontId="1" fillId="0" borderId="0"/>
  </cellStyleXfs>
  <cellXfs count="170">
    <xf numFmtId="0" fontId="0" fillId="0" borderId="0" pivotButton="0" quotePrefix="0" xfId="0"/>
    <xf numFmtId="0" fontId="3" fillId="0" borderId="2" applyAlignment="1" pivotButton="0" quotePrefix="0" xfId="0">
      <alignment horizontal="justify" vertical="center" wrapText="1"/>
    </xf>
    <xf numFmtId="0" fontId="4" fillId="0" borderId="2" applyAlignment="1" pivotButton="0" quotePrefix="0" xfId="0">
      <alignment horizontal="center" vertical="center" wrapText="1"/>
    </xf>
    <xf numFmtId="0" fontId="4" fillId="0" borderId="2" applyAlignment="1" pivotButton="0" quotePrefix="0" xfId="0">
      <alignment horizontal="justify" vertical="center" wrapText="1"/>
    </xf>
    <xf numFmtId="0" fontId="3" fillId="3" borderId="2" applyAlignment="1" pivotButton="0" quotePrefix="0" xfId="0">
      <alignment horizontal="justify" vertical="center" wrapText="1"/>
    </xf>
    <xf numFmtId="0" fontId="4" fillId="0" borderId="0" applyAlignment="1" pivotButton="0" quotePrefix="0" xfId="0">
      <alignment horizontal="center" vertical="center"/>
    </xf>
    <xf numFmtId="0" fontId="4" fillId="0" borderId="2" applyAlignment="1" pivotButton="0" quotePrefix="0" xfId="0">
      <alignment horizontal="center" vertical="center"/>
    </xf>
    <xf numFmtId="0" fontId="5" fillId="4" borderId="0" applyAlignment="1" pivotButton="0" quotePrefix="0" xfId="0">
      <alignment horizontal="center"/>
    </xf>
    <xf numFmtId="0" fontId="4" fillId="0" borderId="5" applyAlignment="1" pivotButton="0" quotePrefix="0" xfId="0">
      <alignment horizontal="justify" vertical="center" wrapText="1"/>
    </xf>
    <xf numFmtId="0" fontId="4" fillId="0" borderId="5" applyAlignment="1" pivotButton="0" quotePrefix="0" xfId="0">
      <alignment horizontal="center" vertical="center" wrapText="1"/>
    </xf>
    <xf numFmtId="0" fontId="3" fillId="5" borderId="2" applyAlignment="1" pivotButton="0" quotePrefix="0" xfId="0">
      <alignment horizontal="justify" vertical="center" wrapText="1"/>
    </xf>
    <xf numFmtId="0" fontId="3" fillId="5" borderId="2" applyAlignment="1" pivotButton="0" quotePrefix="0" xfId="0">
      <alignment horizontal="center" vertical="center" wrapText="1"/>
    </xf>
    <xf numFmtId="0" fontId="4" fillId="0" borderId="2" applyAlignment="1" pivotButton="0" quotePrefix="0" xfId="0">
      <alignment vertical="center" wrapText="1"/>
    </xf>
    <xf numFmtId="0" fontId="4" fillId="0" borderId="5" applyAlignment="1" pivotButton="0" quotePrefix="0" xfId="0">
      <alignment vertical="center" wrapText="1"/>
    </xf>
    <xf numFmtId="0" fontId="3" fillId="0" borderId="2" applyAlignment="1" pivotButton="0" quotePrefix="0" xfId="0">
      <alignment horizontal="center" vertical="center" wrapText="1"/>
    </xf>
    <xf numFmtId="0" fontId="0" fillId="0" borderId="0" applyAlignment="1" pivotButton="0" quotePrefix="0" xfId="0">
      <alignment horizontal="center" vertical="center"/>
    </xf>
    <xf numFmtId="9" fontId="4" fillId="0" borderId="2" applyAlignment="1" pivotButton="0" quotePrefix="0" xfId="1">
      <alignment horizontal="center" vertical="center"/>
    </xf>
    <xf numFmtId="9" fontId="4" fillId="0" borderId="2" applyAlignment="1" pivotButton="0" quotePrefix="0" xfId="1">
      <alignment horizontal="center" vertical="center"/>
    </xf>
    <xf numFmtId="0" fontId="7" fillId="0" borderId="2" applyAlignment="1" pivotButton="0" quotePrefix="0" xfId="0">
      <alignment horizontal="center" vertical="center"/>
    </xf>
    <xf numFmtId="0" fontId="7" fillId="6" borderId="2" applyAlignment="1" pivotButton="0" quotePrefix="0" xfId="0">
      <alignment horizontal="center" vertical="center"/>
    </xf>
    <xf numFmtId="0" fontId="8" fillId="4" borderId="2" applyAlignment="1" pivotButton="0" quotePrefix="0" xfId="0">
      <alignment horizontal="center" vertical="center"/>
    </xf>
    <xf numFmtId="9" fontId="8" fillId="4" borderId="2" applyAlignment="1" pivotButton="0" quotePrefix="0" xfId="1">
      <alignment horizontal="center" vertical="center"/>
    </xf>
    <xf numFmtId="0" fontId="8" fillId="4" borderId="1" applyAlignment="1" pivotButton="0" quotePrefix="0" xfId="0">
      <alignment horizontal="center" vertical="center"/>
    </xf>
    <xf numFmtId="0" fontId="8" fillId="4" borderId="4" applyAlignment="1" pivotButton="0" quotePrefix="0" xfId="0">
      <alignment horizontal="center" vertical="center"/>
    </xf>
    <xf numFmtId="0" fontId="4" fillId="0" borderId="6"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8" fillId="4" borderId="3" applyAlignment="1" pivotButton="0" quotePrefix="0" xfId="0">
      <alignment horizontal="center" vertical="center"/>
    </xf>
    <xf numFmtId="9" fontId="4" fillId="0" borderId="10" applyAlignment="1" pivotButton="0" quotePrefix="0" xfId="1">
      <alignment horizontal="center" vertical="center"/>
    </xf>
    <xf numFmtId="0" fontId="2" fillId="2" borderId="2" applyAlignment="1" pivotButton="0" quotePrefix="0" xfId="0">
      <alignment horizontal="justify" vertical="center" wrapText="1"/>
    </xf>
    <xf numFmtId="0" fontId="2" fillId="2" borderId="2" applyAlignment="1" pivotButton="0" quotePrefix="0" xfId="0">
      <alignment vertical="center"/>
    </xf>
    <xf numFmtId="0" fontId="2" fillId="2" borderId="2" applyAlignment="1" pivotButton="0" quotePrefix="0" xfId="0">
      <alignment vertical="center" wrapText="1"/>
    </xf>
    <xf numFmtId="0" fontId="4" fillId="2" borderId="2" applyAlignment="1" pivotButton="0" quotePrefix="0" xfId="0">
      <alignment horizontal="center" vertical="center" wrapText="1"/>
    </xf>
    <xf numFmtId="0" fontId="0" fillId="0" borderId="0" applyAlignment="1" pivotButton="0" quotePrefix="0" xfId="0">
      <alignment horizontal="justify" vertical="center"/>
    </xf>
    <xf numFmtId="0" fontId="4" fillId="2" borderId="2" applyAlignment="1" pivotButton="0" quotePrefix="0" xfId="0">
      <alignment horizontal="justify" vertical="center" wrapText="1"/>
    </xf>
    <xf numFmtId="0" fontId="4" fillId="5" borderId="2" applyAlignment="1" pivotButton="0" quotePrefix="0" xfId="0">
      <alignment horizontal="justify" vertical="center" wrapText="1"/>
    </xf>
    <xf numFmtId="0" fontId="18" fillId="0" borderId="0" applyAlignment="1" pivotButton="0" quotePrefix="0" xfId="0">
      <alignment vertical="center"/>
    </xf>
    <xf numFmtId="0" fontId="5" fillId="4" borderId="11" applyAlignment="1" pivotButton="0" quotePrefix="0" xfId="0">
      <alignment horizontal="center"/>
    </xf>
    <xf numFmtId="0" fontId="0" fillId="0" borderId="0" applyAlignment="1" pivotButton="0" quotePrefix="0" xfId="0">
      <alignment wrapText="1"/>
    </xf>
    <xf numFmtId="0" fontId="10" fillId="0" borderId="2" applyAlignment="1" pivotButton="0" quotePrefix="0" xfId="0">
      <alignment horizontal="justify" vertical="center" wrapText="1"/>
    </xf>
    <xf numFmtId="0" fontId="11" fillId="0" borderId="2" applyAlignment="1" pivotButton="0" quotePrefix="0" xfId="0">
      <alignment horizontal="justify" vertical="center" wrapText="1"/>
    </xf>
    <xf numFmtId="0" fontId="4" fillId="0" borderId="2" applyAlignment="1" pivotButton="0" quotePrefix="0" xfId="0">
      <alignment wrapText="1"/>
    </xf>
    <xf numFmtId="0" fontId="0" fillId="0" borderId="0" applyAlignment="1" pivotButton="0" quotePrefix="0" xfId="0">
      <alignment horizontal="center"/>
    </xf>
    <xf numFmtId="0" fontId="20" fillId="4" borderId="2" applyAlignment="1" pivotButton="0" quotePrefix="0" xfId="0">
      <alignment horizontal="center" wrapText="1"/>
    </xf>
    <xf numFmtId="0" fontId="15" fillId="0" borderId="0" applyAlignment="1" pivotButton="0" quotePrefix="0" xfId="0">
      <alignment vertical="center" wrapText="1"/>
    </xf>
    <xf numFmtId="0" fontId="5" fillId="4" borderId="0" applyAlignment="1" pivotButton="0" quotePrefix="0" xfId="0">
      <alignment horizontal="center"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22" fillId="0" borderId="2" applyAlignment="1" pivotButton="0" quotePrefix="0" xfId="0">
      <alignment vertical="center" wrapText="1"/>
    </xf>
    <xf numFmtId="0" fontId="23" fillId="0" borderId="2" applyAlignment="1" pivotButton="0" quotePrefix="0" xfId="0">
      <alignment horizontal="justify" vertical="center" wrapText="1"/>
    </xf>
    <xf numFmtId="0" fontId="4" fillId="0" borderId="12" applyAlignment="1" pivotButton="0" quotePrefix="0" xfId="0">
      <alignment horizontal="left" vertical="center" wrapText="1"/>
    </xf>
    <xf numFmtId="0" fontId="20" fillId="4" borderId="2" applyAlignment="1" pivotButton="0" quotePrefix="0" xfId="0">
      <alignment horizontal="left" wrapText="1"/>
    </xf>
    <xf numFmtId="0" fontId="0" fillId="0" borderId="2" applyAlignment="1" pivotButton="0" quotePrefix="0" xfId="0">
      <alignment horizontal="left" wrapText="1"/>
    </xf>
    <xf numFmtId="0" fontId="24" fillId="6" borderId="2" applyAlignment="1" pivotButton="0" quotePrefix="0" xfId="0">
      <alignment vertical="center" wrapText="1"/>
    </xf>
    <xf numFmtId="0" fontId="8" fillId="4" borderId="2" applyAlignment="1" pivotButton="0" quotePrefix="0" xfId="0">
      <alignment horizontal="justify" vertical="center" wrapText="1"/>
    </xf>
    <xf numFmtId="0" fontId="0" fillId="8" borderId="13" pivotButton="0" quotePrefix="0" xfId="0"/>
    <xf numFmtId="0" fontId="0" fillId="8" borderId="14" pivotButton="0" quotePrefix="0" xfId="0"/>
    <xf numFmtId="0" fontId="0" fillId="0" borderId="13" pivotButton="0" quotePrefix="0" xfId="0"/>
    <xf numFmtId="0" fontId="0" fillId="0" borderId="14" pivotButton="0" quotePrefix="0" xfId="0"/>
    <xf numFmtId="0" fontId="0" fillId="7" borderId="0" pivotButton="0" quotePrefix="0" xfId="0"/>
    <xf numFmtId="0" fontId="27" fillId="7" borderId="0" pivotButton="0" quotePrefix="0" xfId="0"/>
    <xf numFmtId="0" fontId="27" fillId="0" borderId="0" pivotButton="0" quotePrefix="0" xfId="0"/>
    <xf numFmtId="0" fontId="0" fillId="8" borderId="15" pivotButton="0" quotePrefix="0" xfId="0"/>
    <xf numFmtId="0" fontId="0" fillId="0" borderId="15" pivotButton="0" quotePrefix="0" xfId="0"/>
    <xf numFmtId="0" fontId="0" fillId="9" borderId="0" pivotButton="0" quotePrefix="0" xfId="0"/>
    <xf numFmtId="0" fontId="0" fillId="1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23" fillId="0" borderId="16" applyAlignment="1" pivotButton="0" quotePrefix="0" xfId="0">
      <alignment horizontal="justify" vertical="center" wrapText="1"/>
    </xf>
    <xf numFmtId="0" fontId="10" fillId="0" borderId="16" applyAlignment="1" pivotButton="0" quotePrefix="0" xfId="0">
      <alignment horizontal="justify" vertical="center" wrapText="1"/>
    </xf>
    <xf numFmtId="0" fontId="26" fillId="0" borderId="0" pivotButton="0" quotePrefix="0" xfId="0"/>
    <xf numFmtId="0" fontId="5" fillId="4" borderId="2" applyAlignment="1" pivotButton="0" quotePrefix="0" xfId="0">
      <alignment horizontal="center" wrapText="1"/>
    </xf>
    <xf numFmtId="0" fontId="9" fillId="0" borderId="0" applyAlignment="1" pivotButton="0" quotePrefix="0" xfId="0">
      <alignment horizontal="center" vertical="top"/>
    </xf>
    <xf numFmtId="0" fontId="0" fillId="0" borderId="2" pivotButton="0" quotePrefix="0" xfId="0"/>
    <xf numFmtId="0" fontId="8" fillId="4" borderId="20" applyAlignment="1" pivotButton="0" quotePrefix="0" xfId="0">
      <alignment horizontal="center" vertical="center" wrapText="1"/>
    </xf>
    <xf numFmtId="0" fontId="8" fillId="4" borderId="22" applyAlignment="1" pivotButton="0" quotePrefix="0" xfId="0">
      <alignment horizontal="center" vertical="center" wrapText="1"/>
    </xf>
    <xf numFmtId="0" fontId="8" fillId="4" borderId="24" applyAlignment="1" pivotButton="0" quotePrefix="0" xfId="0">
      <alignment horizontal="center" vertical="center" wrapText="1"/>
    </xf>
    <xf numFmtId="0" fontId="0" fillId="0" borderId="7" pivotButton="0" quotePrefix="0" xfId="0"/>
    <xf numFmtId="0" fontId="25" fillId="4" borderId="10" applyAlignment="1" pivotButton="0" quotePrefix="0" xfId="0">
      <alignment horizontal="center"/>
    </xf>
    <xf numFmtId="0" fontId="25" fillId="4" borderId="9" applyAlignment="1" pivotButton="0" quotePrefix="0" xfId="0">
      <alignment horizontal="center"/>
    </xf>
    <xf numFmtId="0" fontId="8" fillId="4" borderId="25" applyAlignment="1" pivotButton="0" quotePrefix="0" xfId="0">
      <alignment horizontal="center" vertical="center" wrapText="1"/>
    </xf>
    <xf numFmtId="0" fontId="8" fillId="4" borderId="27" applyAlignment="1" pivotButton="0" quotePrefix="0" xfId="0">
      <alignment horizontal="center" vertical="center"/>
    </xf>
    <xf numFmtId="0" fontId="7" fillId="0" borderId="28" applyAlignment="1" pivotButton="0" quotePrefix="0" xfId="0">
      <alignment horizontal="justify" vertical="center" wrapText="1"/>
    </xf>
    <xf numFmtId="0" fontId="0" fillId="0" borderId="17" pivotButton="0" quotePrefix="0" xfId="0"/>
    <xf numFmtId="0" fontId="15" fillId="0" borderId="0" pivotButton="0" quotePrefix="0" xfId="0"/>
    <xf numFmtId="0" fontId="5" fillId="11" borderId="0" applyAlignment="1" pivotButton="0" quotePrefix="0" xfId="0">
      <alignment horizontal="center"/>
    </xf>
    <xf numFmtId="0" fontId="5" fillId="4" borderId="2" applyAlignment="1" pivotButton="0" quotePrefix="0" xfId="0">
      <alignment horizontal="center" vertical="center" wrapText="1"/>
    </xf>
    <xf numFmtId="0" fontId="18" fillId="0" borderId="2" applyAlignment="1" pivotButton="0" quotePrefix="0" xfId="0">
      <alignment horizontal="justify" vertical="center" wrapText="1"/>
    </xf>
    <xf numFmtId="0" fontId="18" fillId="0" borderId="2" applyAlignment="1" pivotButton="0" quotePrefix="0" xfId="0">
      <alignment horizontal="center" vertical="center" wrapText="1"/>
    </xf>
    <xf numFmtId="0" fontId="15" fillId="0" borderId="17" pivotButton="0" quotePrefix="0" xfId="0"/>
    <xf numFmtId="0" fontId="18" fillId="0" borderId="5" applyAlignment="1" pivotButton="0" quotePrefix="0" xfId="0">
      <alignment horizontal="justify" vertical="center" wrapText="1"/>
    </xf>
    <xf numFmtId="0" fontId="18" fillId="0" borderId="5" applyAlignment="1" pivotButton="0" quotePrefix="0" xfId="0">
      <alignment horizontal="center" vertical="center" wrapText="1"/>
    </xf>
    <xf numFmtId="0" fontId="30" fillId="0" borderId="0" pivotButton="0" quotePrefix="0" xfId="0"/>
    <xf numFmtId="0" fontId="29" fillId="2" borderId="2" applyAlignment="1" pivotButton="0" quotePrefix="0" xfId="0">
      <alignment horizontal="justify" vertical="center" wrapText="1"/>
    </xf>
    <xf numFmtId="0" fontId="29" fillId="2" borderId="2" applyAlignment="1" pivotButton="0" quotePrefix="0" xfId="0">
      <alignment horizontal="center" vertical="center" wrapText="1"/>
    </xf>
    <xf numFmtId="0" fontId="29" fillId="0" borderId="2" applyAlignment="1" pivotButton="0" quotePrefix="0" xfId="0">
      <alignment horizontal="justify" vertical="center" wrapText="1"/>
    </xf>
    <xf numFmtId="0" fontId="29" fillId="0" borderId="2" applyAlignment="1" pivotButton="0" quotePrefix="0" xfId="0">
      <alignment horizontal="center" vertical="center" wrapText="1"/>
    </xf>
    <xf numFmtId="0" fontId="29" fillId="6" borderId="2" applyAlignment="1" pivotButton="0" quotePrefix="0" xfId="0">
      <alignment horizontal="justify" vertical="center" wrapText="1"/>
    </xf>
    <xf numFmtId="0" fontId="29" fillId="0" borderId="2" applyAlignment="1" pivotButton="0" quotePrefix="0" xfId="0">
      <alignment horizontal="left" vertical="center" wrapText="1"/>
    </xf>
    <xf numFmtId="0" fontId="30" fillId="0" borderId="0" applyAlignment="1" pivotButton="0" quotePrefix="0" xfId="0">
      <alignment horizontal="center" vertical="center"/>
    </xf>
    <xf numFmtId="0" fontId="29" fillId="5" borderId="2" applyAlignment="1" pivotButton="0" quotePrefix="0" xfId="0">
      <alignment horizontal="justify" vertical="center" wrapText="1"/>
    </xf>
    <xf numFmtId="0" fontId="30" fillId="0" borderId="0" applyAlignment="1" pivotButton="0" quotePrefix="0" xfId="0">
      <alignment horizontal="center" wrapText="1"/>
    </xf>
    <xf numFmtId="0" fontId="29" fillId="5" borderId="2" applyAlignment="1" pivotButton="0" quotePrefix="0" xfId="0">
      <alignment horizontal="center" vertical="center" wrapText="1"/>
    </xf>
    <xf numFmtId="2" fontId="30" fillId="0" borderId="0" pivotButton="0" quotePrefix="0" xfId="0"/>
    <xf numFmtId="164" fontId="30" fillId="0" borderId="0" pivotButton="0" quotePrefix="0" xfId="0"/>
    <xf numFmtId="165" fontId="30" fillId="0" borderId="0" applyAlignment="1" pivotButton="0" quotePrefix="0" xfId="2">
      <alignment horizontal="right"/>
    </xf>
    <xf numFmtId="0" fontId="31" fillId="0" borderId="0" applyAlignment="1" pivotButton="0" quotePrefix="0" xfId="0">
      <alignment horizontal="center" wrapText="1"/>
    </xf>
    <xf numFmtId="165" fontId="30" fillId="0" borderId="0" pivotButton="0" quotePrefix="0" xfId="2"/>
    <xf numFmtId="0" fontId="30" fillId="0" borderId="17" pivotButton="0" quotePrefix="0" xfId="0"/>
    <xf numFmtId="0" fontId="30" fillId="0" borderId="17" applyAlignment="1" pivotButton="0" quotePrefix="0" xfId="0">
      <alignment vertical="center"/>
    </xf>
    <xf numFmtId="0" fontId="32" fillId="0" borderId="0" applyAlignment="1" pivotButton="0" quotePrefix="0" xfId="0">
      <alignment horizontal="center" vertical="center"/>
    </xf>
    <xf numFmtId="0" fontId="32" fillId="0" borderId="0" applyAlignment="1" pivotButton="0" quotePrefix="0" xfId="0">
      <alignment horizontal="left" vertical="center"/>
    </xf>
    <xf numFmtId="0" fontId="33" fillId="0" borderId="0" applyAlignment="1" pivotButton="0" quotePrefix="0" xfId="0">
      <alignment horizontal="justify" vertical="center"/>
    </xf>
    <xf numFmtId="0" fontId="33" fillId="0" borderId="0" pivotButton="0" quotePrefix="0" xfId="0"/>
    <xf numFmtId="0" fontId="32" fillId="0" borderId="0" applyAlignment="1" pivotButton="0" quotePrefix="0" xfId="0">
      <alignment vertical="center"/>
    </xf>
    <xf numFmtId="0" fontId="10" fillId="0" borderId="2" applyAlignment="1" pivotButton="0" quotePrefix="0" xfId="0">
      <alignment horizontal="center" vertical="center"/>
    </xf>
    <xf numFmtId="0" fontId="10" fillId="2" borderId="2" applyAlignment="1" pivotButton="0" quotePrefix="0" xfId="0">
      <alignment horizontal="justify" vertical="center" wrapText="1"/>
    </xf>
    <xf numFmtId="0" fontId="10" fillId="2" borderId="2" applyAlignment="1" pivotButton="0" quotePrefix="0" xfId="0">
      <alignment horizontal="center" vertical="center" wrapText="1"/>
    </xf>
    <xf numFmtId="0" fontId="10" fillId="0" borderId="2" applyAlignment="1" pivotButton="0" quotePrefix="0" xfId="0">
      <alignment horizontal="center" vertical="center" wrapText="1"/>
    </xf>
    <xf numFmtId="0" fontId="10" fillId="3" borderId="2" applyAlignment="1" pivotButton="0" quotePrefix="0" xfId="0">
      <alignment horizontal="justify" vertical="center" wrapText="1"/>
    </xf>
    <xf numFmtId="0" fontId="34" fillId="2" borderId="2" applyAlignment="1" pivotButton="0" quotePrefix="0" xfId="0">
      <alignment horizontal="justify" vertical="center" wrapText="1"/>
    </xf>
    <xf numFmtId="0" fontId="10" fillId="6" borderId="2" applyAlignment="1" pivotButton="0" quotePrefix="0" xfId="0">
      <alignment horizontal="justify" vertical="center" wrapText="1"/>
    </xf>
    <xf numFmtId="0" fontId="10" fillId="0" borderId="5" applyAlignment="1" pivotButton="0" quotePrefix="0" xfId="0">
      <alignment horizontal="center" vertical="center"/>
    </xf>
    <xf numFmtId="0" fontId="10" fillId="0" borderId="5" applyAlignment="1" pivotButton="0" quotePrefix="0" xfId="0">
      <alignment horizontal="justify" vertical="center" wrapText="1"/>
    </xf>
    <xf numFmtId="0" fontId="10" fillId="0" borderId="5" applyAlignment="1" pivotButton="0" quotePrefix="0" xfId="0">
      <alignment horizontal="center" vertical="center" wrapText="1"/>
    </xf>
    <xf numFmtId="0" fontId="10" fillId="5" borderId="2" applyAlignment="1" pivotButton="0" quotePrefix="0" xfId="0">
      <alignment horizontal="justify" vertical="center" wrapText="1"/>
    </xf>
    <xf numFmtId="0" fontId="10" fillId="5" borderId="2" applyAlignment="1" pivotButton="0" quotePrefix="0" xfId="0">
      <alignment horizontal="center" vertical="center" wrapText="1"/>
    </xf>
    <xf numFmtId="0" fontId="10" fillId="3" borderId="5" applyAlignment="1" pivotButton="0" quotePrefix="0" xfId="0">
      <alignment horizontal="justify" vertical="center" wrapText="1"/>
    </xf>
    <xf numFmtId="0" fontId="10" fillId="0" borderId="2" applyAlignment="1" pivotButton="0" quotePrefix="0" xfId="0">
      <alignment vertical="center" wrapText="1"/>
    </xf>
    <xf numFmtId="0" fontId="34" fillId="2" borderId="2" applyAlignment="1" pivotButton="0" quotePrefix="0" xfId="0">
      <alignment horizontal="justify" vertical="center"/>
    </xf>
    <xf numFmtId="0" fontId="34" fillId="2" borderId="2" applyAlignment="1" pivotButton="0" quotePrefix="0" xfId="0">
      <alignment vertical="center"/>
    </xf>
    <xf numFmtId="0" fontId="34" fillId="2" borderId="2" applyAlignment="1" pivotButton="0" quotePrefix="0" xfId="0">
      <alignment vertical="center" wrapText="1"/>
    </xf>
    <xf numFmtId="0" fontId="35" fillId="4" borderId="12" applyAlignment="1" pivotButton="0" quotePrefix="0" xfId="0">
      <alignment horizontal="justify" vertical="center" wrapText="1"/>
    </xf>
    <xf numFmtId="0" fontId="36" fillId="4" borderId="12" applyAlignment="1" pivotButton="0" quotePrefix="0" xfId="0">
      <alignment horizontal="center" vertical="center"/>
    </xf>
    <xf numFmtId="0" fontId="36" fillId="4" borderId="12" applyAlignment="1" pivotButton="0" quotePrefix="0" xfId="0">
      <alignment horizontal="center" vertical="center" wrapText="1"/>
    </xf>
    <xf numFmtId="0" fontId="36" fillId="4" borderId="12" applyAlignment="1" pivotButton="0" quotePrefix="0" xfId="0">
      <alignment horizontal="justify" vertical="center" wrapText="1"/>
    </xf>
    <xf numFmtId="0" fontId="36" fillId="0" borderId="0" pivotButton="0" quotePrefix="0" xfId="0"/>
    <xf numFmtId="0" fontId="4" fillId="6" borderId="2" applyAlignment="1" pivotButton="0" quotePrefix="0" xfId="0">
      <alignment horizontal="center" vertical="center" wrapText="1"/>
    </xf>
    <xf numFmtId="0" fontId="10"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8" fillId="4" borderId="21" applyAlignment="1" pivotButton="0" quotePrefix="0" xfId="0">
      <alignment horizontal="center" vertical="center" wrapText="1"/>
    </xf>
    <xf numFmtId="0" fontId="7" fillId="0" borderId="19" applyAlignment="1" pivotButton="0" quotePrefix="0" xfId="0">
      <alignment horizontal="center" vertical="center" wrapText="1"/>
    </xf>
    <xf numFmtId="9" fontId="7" fillId="0" borderId="18" applyAlignment="1" pivotButton="0" quotePrefix="0" xfId="0">
      <alignment horizontal="center" vertical="center" wrapText="1"/>
    </xf>
    <xf numFmtId="0" fontId="7" fillId="0" borderId="6" applyAlignment="1" pivotButton="0" quotePrefix="0" xfId="0">
      <alignment horizontal="center" vertical="center" wrapText="1"/>
    </xf>
    <xf numFmtId="9" fontId="7" fillId="0" borderId="2" applyAlignment="1" pivotButton="0" quotePrefix="0" xfId="1">
      <alignment horizontal="center" vertical="center" wrapText="1"/>
    </xf>
    <xf numFmtId="0" fontId="8" fillId="4" borderId="29" applyAlignment="1" pivotButton="0" quotePrefix="0" xfId="0">
      <alignment horizontal="center" vertical="center" wrapText="1"/>
    </xf>
    <xf numFmtId="0" fontId="8" fillId="4" borderId="26" applyAlignment="1" pivotButton="0" quotePrefix="0" xfId="0">
      <alignment horizontal="center" vertical="center" wrapText="1"/>
    </xf>
    <xf numFmtId="9" fontId="8" fillId="4" borderId="23" applyAlignment="1" pivotButton="0" quotePrefix="0" xfId="0">
      <alignment horizontal="center" vertical="center" wrapText="1"/>
    </xf>
    <xf numFmtId="0" fontId="8" fillId="4" borderId="8" applyAlignment="1" pivotButton="0" quotePrefix="0" xfId="0">
      <alignment horizontal="center" vertical="center" wrapText="1"/>
    </xf>
    <xf numFmtId="9" fontId="8" fillId="4" borderId="10" applyAlignment="1" pivotButton="0" quotePrefix="0" xfId="1">
      <alignment horizontal="center" vertical="center" wrapText="1"/>
    </xf>
    <xf numFmtId="0" fontId="10" fillId="0" borderId="30" applyAlignment="1" pivotButton="0" quotePrefix="0" xfId="0">
      <alignment vertical="top" wrapText="1"/>
    </xf>
    <xf numFmtId="0" fontId="10" fillId="0" borderId="31" applyAlignment="1" pivotButton="0" quotePrefix="0" xfId="0">
      <alignment vertical="top" wrapText="1"/>
    </xf>
    <xf numFmtId="0" fontId="10" fillId="0" borderId="2" applyAlignment="1" pivotButton="0" quotePrefix="0" xfId="0">
      <alignment vertical="top" wrapText="1"/>
    </xf>
    <xf numFmtId="0" fontId="10" fillId="0" borderId="32" applyAlignment="1" pivotButton="0" quotePrefix="0" xfId="0">
      <alignment vertical="top" wrapText="1"/>
    </xf>
    <xf numFmtId="0" fontId="10" fillId="5" borderId="2" applyAlignment="1" pivotButton="0" quotePrefix="0" xfId="0">
      <alignment vertical="top" wrapText="1"/>
    </xf>
    <xf numFmtId="0" fontId="34" fillId="2" borderId="2" applyAlignment="1" pivotButton="0" quotePrefix="0" xfId="0">
      <alignment horizontal="center" vertical="center" wrapText="1"/>
    </xf>
    <xf numFmtId="0" fontId="10" fillId="6" borderId="2" applyAlignment="1" pivotButton="0" quotePrefix="0" xfId="0">
      <alignment vertical="top" wrapText="1"/>
    </xf>
    <xf numFmtId="0" fontId="39" fillId="0" borderId="2" applyAlignment="1" pivotButton="0" quotePrefix="0" xfId="0">
      <alignment vertical="top" wrapText="1"/>
    </xf>
    <xf numFmtId="0" fontId="34" fillId="2" borderId="19" applyAlignment="1" pivotButton="0" quotePrefix="0" xfId="0">
      <alignment horizontal="justify" vertical="center" wrapText="1"/>
    </xf>
    <xf numFmtId="0" fontId="40" fillId="0" borderId="0" pivotButton="0" quotePrefix="0" xfId="0"/>
    <xf numFmtId="0" fontId="10" fillId="7" borderId="2" applyAlignment="1" pivotButton="0" quotePrefix="0" xfId="0">
      <alignment horizontal="center" vertical="center"/>
    </xf>
    <xf numFmtId="0" fontId="10" fillId="7" borderId="5" applyAlignment="1" pivotButton="0" quotePrefix="0" xfId="0">
      <alignment horizontal="center" vertical="center"/>
    </xf>
    <xf numFmtId="0" fontId="41" fillId="0" borderId="0" pivotButton="0" quotePrefix="0" xfId="0"/>
    <xf numFmtId="0" fontId="9" fillId="0" borderId="0" applyAlignment="1" pivotButton="0" quotePrefix="0" xfId="0">
      <alignment horizontal="center" vertical="top"/>
    </xf>
    <xf numFmtId="0" fontId="28" fillId="0" borderId="0" applyAlignment="1" pivotButton="0" quotePrefix="0" xfId="0">
      <alignment horizontal="center" vertical="center"/>
    </xf>
    <xf numFmtId="0" fontId="6" fillId="0" borderId="0" applyAlignment="1" pivotButton="0" quotePrefix="0" xfId="0">
      <alignment horizontal="center" vertical="center"/>
    </xf>
    <xf numFmtId="165" fontId="30" fillId="0" borderId="0" applyAlignment="1" pivotButton="0" quotePrefix="0" xfId="2">
      <alignment horizontal="right"/>
    </xf>
    <xf numFmtId="165" fontId="30" fillId="0" borderId="0" pivotButton="0" quotePrefix="0" xfId="2"/>
  </cellXfs>
  <cellStyles count="3">
    <cellStyle name="Normal" xfId="0" builtinId="0"/>
    <cellStyle name="Porcentagem" xfId="1" builtinId="5"/>
    <cellStyle name="Vírgula" xfId="2" builtinId="3"/>
  </cellStyles>
  <dxfs count="48">
    <dxf>
      <font>
        <color rgb="FF9C0006"/>
      </font>
      <fill>
        <patternFill>
          <bgColor rgb="FFFFC7CE"/>
        </patternFill>
      </fill>
    </dxf>
    <dxf>
      <font>
        <color rgb="FF006100"/>
      </font>
      <fill>
        <patternFill>
          <bgColor rgb="FFC6EFCE"/>
        </patternFill>
      </fill>
    </dxf>
    <dxf>
      <font>
        <color theme="3" tint="0.09994811853389081"/>
      </font>
      <fill>
        <patternFill>
          <bgColor theme="4" tint="0.7999816888943144"/>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3" tint="0.09994811853389081"/>
      </font>
      <fill>
        <patternFill>
          <bgColor theme="4" tint="0.7999816888943144"/>
        </patternFill>
      </fill>
    </dxf>
    <dxf>
      <font>
        <b val="1"/>
        <color theme="1" tint="0.499984740745262"/>
      </font>
    </dxf>
    <dxf>
      <font>
        <b val="1"/>
        <color theme="6"/>
      </font>
    </dxf>
    <dxf>
      <font>
        <b val="1"/>
        <color rgb="FFFF0000"/>
      </font>
    </dxf>
    <dxf>
      <font>
        <b val="1"/>
        <color rgb="FF0070C0"/>
      </font>
    </dxf>
    <dxf>
      <numFmt numFmtId="0" formatCode="General"/>
    </dxf>
    <dxf>
      <numFmt numFmtId="0" formatCode="General"/>
    </dxf>
    <dxf>
      <numFmt numFmtId="0" formatCode="General"/>
    </dxf>
    <dxf>
      <numFmt numFmtId="0" formatCode="General"/>
    </dxf>
    <dxf>
      <font>
        <name val="Aptos Narrow"/>
        <family val="2"/>
        <strike val="0"/>
        <outline val="0"/>
        <shadow val="0"/>
        <color theme="2" tint="-0.8999908444471572"/>
        <sz val="11"/>
        <vertAlign val="baseline"/>
        <scheme val="minor"/>
      </font>
    </dxf>
    <dxf>
      <numFmt numFmtId="0" formatCode="General"/>
    </dxf>
    <dxf>
      <font>
        <name val="Calibri"/>
        <family val="2"/>
        <strike val="0"/>
        <outline val="0"/>
        <shadow val="0"/>
        <condense val="0"/>
        <color theme="1"/>
        <extend val="0"/>
        <sz val="10"/>
        <vertAlign val="baseline"/>
      </font>
      <alignment horizontal="center" vertical="center"/>
      <border>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font>
        <name val="Aptos Narrow"/>
        <family val="2"/>
        <strike val="0"/>
        <outline val="0"/>
        <shadow val="0"/>
        <color theme="2" tint="-0.8999908444471572"/>
        <sz val="11"/>
        <vertAlign val="baseline"/>
        <scheme val="minor"/>
      </font>
    </dxf>
    <dxf>
      <font>
        <strike val="0"/>
        <outline val="0"/>
        <shadow val="0"/>
        <color theme="1"/>
        <vertAlign val="baseline"/>
      </font>
      <alignment horizontal="left" wrapText="1"/>
      <border outline="0">
        <left style="thin">
          <color indexed="64"/>
        </left>
        <right style="thin">
          <color indexed="64"/>
        </right>
        <top style="thin">
          <color indexed="64"/>
        </top>
        <bottom style="thin">
          <color indexed="64"/>
        </bottom>
      </border>
    </dxf>
    <dxf>
      <font>
        <strike val="0"/>
        <outline val="0"/>
        <shadow val="0"/>
        <color theme="1"/>
        <vertAlign val="baseline"/>
      </font>
      <alignment horizontal="center" wrapText="1"/>
      <border outline="0">
        <left style="thin">
          <color indexed="64"/>
        </left>
        <right style="thin">
          <color indexed="64"/>
        </right>
        <top style="thin">
          <color indexed="64"/>
        </top>
        <bottom style="thin">
          <color indexed="64"/>
        </bottom>
      </border>
    </dxf>
    <dxf>
      <alignment vertical="center" wrapText="1"/>
    </dxf>
    <dxf>
      <alignment wrapText="1"/>
      <border outline="0">
        <left style="thin">
          <color indexed="64"/>
        </left>
        <right style="thin">
          <color indexed="64"/>
        </right>
        <top style="thin">
          <color indexed="64"/>
        </top>
        <bottom style="thin">
          <color indexed="64"/>
        </bottom>
      </border>
    </dxf>
    <dxf>
      <font>
        <name val="Calibri"/>
        <strike val="0"/>
        <outline val="0"/>
        <shadow val="0"/>
        <condense val="0"/>
        <color rgb="FF000000"/>
        <extend val="0"/>
        <sz val="10"/>
        <vertAlign val="baseline"/>
      </font>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rgb="FF000000"/>
        </bottom>
      </border>
    </dxf>
    <dxf>
      <border outline="0">
        <bottom style="medium">
          <color rgb="FF000000"/>
        </bottom>
      </border>
    </dxf>
    <dxf>
      <font>
        <name val="Calibri"/>
        <b val="1"/>
        <strike val="0"/>
        <outline val="0"/>
        <shadow val="0"/>
        <condense val="0"/>
        <color theme="0"/>
        <extend val="0"/>
        <sz val="11"/>
        <vertAlign val="baseline"/>
      </font>
      <fill>
        <patternFill patternType="solid">
          <fgColor indexed="64"/>
          <bgColor theme="3"/>
        </patternFill>
      </fill>
      <alignment horizontal="center" vertical="bottom"/>
    </dxf>
    <dxf>
      <font>
        <name val="Calibri"/>
        <family val="2"/>
        <strike val="0"/>
        <outline val="0"/>
        <shadow val="0"/>
        <condense val="0"/>
        <color theme="1"/>
        <extend val="0"/>
        <sz val="10"/>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Calibri"/>
        <family val="2"/>
        <strike val="0"/>
        <outline val="0"/>
        <shadow val="0"/>
        <condense val="0"/>
        <color theme="1"/>
        <extend val="0"/>
        <sz val="10"/>
        <vertAlign val="baseline"/>
      </font>
      <alignment horizontal="justify" vertical="center" wrapText="1"/>
      <border>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justify"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numFmt numFmtId="0" formatCode="General"/>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justify" vertical="center" wrapText="1"/>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auto="1"/>
        <extend val="0"/>
        <sz val="10"/>
        <vertAlign val="baseline"/>
      </font>
      <alignment horizontal="center" vertical="center"/>
      <border outline="0">
        <left style="thin">
          <color indexed="64"/>
        </left>
        <right style="thin">
          <color indexed="64"/>
        </right>
        <top style="thin">
          <color indexed="64"/>
        </top>
        <bottom style="thin">
          <color indexed="64"/>
        </bottom>
      </border>
    </dxf>
    <dxf>
      <border outline="0">
        <bottom style="thin">
          <color indexed="64"/>
        </bottom>
      </border>
    </dxf>
    <dxf>
      <font>
        <name val="Calibri"/>
        <family val="2"/>
        <strike val="0"/>
        <outline val="0"/>
        <shadow val="0"/>
        <condense val="0"/>
        <color theme="1"/>
        <extend val="0"/>
        <sz val="10"/>
        <vertAlign val="baseline"/>
      </font>
      <alignment horizontal="center" vertical="center" wrapText="1"/>
    </dxf>
    <dxf>
      <font>
        <name val="Calibri"/>
        <family val="2"/>
        <b val="1"/>
        <strike val="0"/>
        <outline val="0"/>
        <shadow val="0"/>
        <condense val="0"/>
        <color theme="0"/>
        <extend val="0"/>
        <sz val="11"/>
        <vertAlign val="baseline"/>
      </font>
      <fill>
        <patternFill patternType="solid">
          <fgColor indexed="64"/>
          <bgColor theme="3"/>
        </patternFill>
      </fill>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pt-BR"/>
              <a:t>Comparativo</a:t>
            </a:r>
            <a:r>
              <a:rPr lang="pt-BR" baseline="0"/>
              <a:t xml:space="preserve"> peso Metodologia x Pró-Ética por áreas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pt-BR"/>
        </a:p>
      </txPr>
    </title>
    <plotArea>
      <layout/>
      <lineChart>
        <grouping val="standard"/>
        <varyColors val="0"/>
        <ser>
          <idx val="0"/>
          <order val="0"/>
          <tx>
            <strRef>
              <f>Contadores!$B$7</f>
              <strCache>
                <ptCount val="1"/>
                <pt idx="0">
                  <v>% Pontuação Metodologia</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Contadores!$C$3:$M$3</f>
              <strCache>
                <ptCount val="11"/>
                <pt idx="0">
                  <v>I</v>
                </pt>
                <pt idx="1">
                  <v>II</v>
                </pt>
                <pt idx="2">
                  <v>III</v>
                </pt>
                <pt idx="3">
                  <v>IV</v>
                </pt>
                <pt idx="4">
                  <v>V</v>
                </pt>
                <pt idx="5">
                  <v>VI</v>
                </pt>
                <pt idx="6">
                  <v>VII</v>
                </pt>
                <pt idx="7">
                  <v>VIII</v>
                </pt>
                <pt idx="8">
                  <v>IX</v>
                </pt>
                <pt idx="9">
                  <v>X</v>
                </pt>
                <pt idx="10">
                  <v>XI</v>
                </pt>
              </strCache>
            </strRef>
          </cat>
          <val>
            <numRef>
              <f>Contadores!$C$7:$M$7</f>
              <numCache>
                <formatCode>0%</formatCode>
                <ptCount val="11"/>
                <pt idx="0">
                  <v>0.1276948590381426</v>
                </pt>
                <pt idx="1">
                  <v>0.08955223880597014</v>
                </pt>
                <pt idx="2">
                  <v>0.06467661691542288</v>
                </pt>
                <pt idx="3">
                  <v>0.07545605306799337</v>
                </pt>
                <pt idx="4">
                  <v>0.1077943615257048</v>
                </pt>
                <pt idx="5">
                  <v>0.0978441127694859</v>
                </pt>
                <pt idx="6">
                  <v>0.087893864013267</v>
                </pt>
                <pt idx="7">
                  <v>0.0945273631840796</v>
                </pt>
                <pt idx="8">
                  <v>0.1169154228855721</v>
                </pt>
                <pt idx="9">
                  <v>0.06882255389718077</v>
                </pt>
                <pt idx="10">
                  <v>0.06882255389718077</v>
                </pt>
              </numCache>
            </numRef>
          </val>
          <smooth val="0"/>
        </ser>
        <ser>
          <idx val="1"/>
          <order val="1"/>
          <tx>
            <strRef>
              <f>Contadores!$B$8</f>
              <strCache>
                <ptCount val="1"/>
                <pt idx="0">
                  <v>% Pró-Ética</v>
                </pt>
              </strCache>
            </strRef>
          </tx>
          <spPr>
            <a:ln xmlns:a="http://schemas.openxmlformats.org/drawingml/2006/main" w="28575" cap="rnd">
              <a:solidFill>
                <a:schemeClr val="accent3"/>
              </a:solidFill>
              <a:prstDash val="solid"/>
              <a:round/>
            </a:ln>
          </spPr>
          <marker>
            <symbol val="circle"/>
            <size val="5"/>
            <spPr>
              <a:solidFill xmlns:a="http://schemas.openxmlformats.org/drawingml/2006/main">
                <a:schemeClr val="accent3"/>
              </a:solidFill>
              <a:ln xmlns:a="http://schemas.openxmlformats.org/drawingml/2006/main" w="9525">
                <a:solidFill>
                  <a:schemeClr val="accent3"/>
                </a:solidFill>
                <a:prstDash val="solid"/>
              </a:ln>
            </spPr>
          </marker>
          <cat>
            <strRef>
              <f>Contadores!$C$3:$M$3</f>
              <strCache>
                <ptCount val="11"/>
                <pt idx="0">
                  <v>I</v>
                </pt>
                <pt idx="1">
                  <v>II</v>
                </pt>
                <pt idx="2">
                  <v>III</v>
                </pt>
                <pt idx="3">
                  <v>IV</v>
                </pt>
                <pt idx="4">
                  <v>V</v>
                </pt>
                <pt idx="5">
                  <v>VI</v>
                </pt>
                <pt idx="6">
                  <v>VII</v>
                </pt>
                <pt idx="7">
                  <v>VIII</v>
                </pt>
                <pt idx="8">
                  <v>IX</v>
                </pt>
                <pt idx="9">
                  <v>X</v>
                </pt>
                <pt idx="10">
                  <v>XI</v>
                </pt>
              </strCache>
            </strRef>
          </cat>
          <val>
            <numRef>
              <f>Contadores!$C$8:$M$8</f>
              <numCache>
                <formatCode>0%</formatCode>
                <ptCount val="11"/>
                <pt idx="0">
                  <v>0.13</v>
                </pt>
                <pt idx="1">
                  <v>0.13</v>
                </pt>
                <pt idx="2">
                  <v>0.1</v>
                </pt>
                <pt idx="3">
                  <v>0.04999999999999999</v>
                </pt>
                <pt idx="4">
                  <v>0.13</v>
                </pt>
                <pt idx="5">
                  <v>0.11</v>
                </pt>
                <pt idx="6">
                  <v>0.06</v>
                </pt>
                <pt idx="7">
                  <v>0.09</v>
                </pt>
                <pt idx="8">
                  <v>0.09999999999999998</v>
                </pt>
                <pt idx="9">
                  <v>0.04999999999999999</v>
                </pt>
                <pt idx="10">
                  <v>0.04999999999999999</v>
                </pt>
              </numCache>
            </numRef>
          </val>
          <smooth val="0"/>
        </ser>
        <dLbls>
          <showLegendKey val="0"/>
          <showVal val="0"/>
          <showCatName val="0"/>
          <showSerName val="0"/>
          <showPercent val="0"/>
          <showBubbleSize val="0"/>
        </dLbls>
        <marker val="1"/>
        <smooth val="0"/>
        <axId val="125380128"/>
        <axId val="125388768"/>
      </lineChart>
      <catAx>
        <axId val="125380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5388768"/>
        <crosses val="autoZero"/>
        <auto val="1"/>
        <lblAlgn val="ctr"/>
        <lblOffset val="100"/>
        <noMultiLvlLbl val="0"/>
      </catAx>
      <valAx>
        <axId val="12538876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5380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pt-BR"/>
              <a:t>Quantidade</a:t>
            </a:r>
            <a:r>
              <a:rPr lang="pt-BR" baseline="0"/>
              <a:t xml:space="preserve"> de Questões x Pontuação por Área</a:t>
            </a:r>
            <a:endParaRPr lang="pt-B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pt-BR"/>
        </a:p>
      </txPr>
    </title>
    <plotArea>
      <layout/>
      <barChart>
        <barDir val="col"/>
        <grouping val="stacked"/>
        <varyColors val="0"/>
        <ser>
          <idx val="0"/>
          <order val="0"/>
          <tx>
            <strRef>
              <f>Contadores!$B$5</f>
              <strCache>
                <ptCount val="1"/>
                <pt idx="0">
                  <v>Questões</v>
                </pt>
              </strCache>
            </strRef>
          </tx>
          <spPr>
            <a:solidFill xmlns:a="http://schemas.openxmlformats.org/drawingml/2006/main">
              <a:schemeClr val="accent1">
                <a:shade val="76000"/>
              </a:schemeClr>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
                </a:r>
                <a:endParaRPr lang="pt-BR"/>
              </a:p>
            </txPr>
            <dLblPos val="ctr"/>
            <showLegendKey val="0"/>
            <showVal val="1"/>
            <showCatName val="0"/>
            <showSerName val="0"/>
            <showPercent val="0"/>
            <showBubbleSize val="0"/>
            <showLeaderLines val="0"/>
          </dLbls>
          <cat>
            <strRef>
              <f>Contadores!$C$3:$M$3</f>
              <strCache>
                <ptCount val="11"/>
                <pt idx="0">
                  <v>I</v>
                </pt>
                <pt idx="1">
                  <v>II</v>
                </pt>
                <pt idx="2">
                  <v>III</v>
                </pt>
                <pt idx="3">
                  <v>IV</v>
                </pt>
                <pt idx="4">
                  <v>V</v>
                </pt>
                <pt idx="5">
                  <v>VI</v>
                </pt>
                <pt idx="6">
                  <v>VII</v>
                </pt>
                <pt idx="7">
                  <v>VIII</v>
                </pt>
                <pt idx="8">
                  <v>IX</v>
                </pt>
                <pt idx="9">
                  <v>X</v>
                </pt>
                <pt idx="10">
                  <v>XI</v>
                </pt>
              </strCache>
            </strRef>
          </cat>
          <val>
            <numRef>
              <f>Contadores!$C$5:$M$5</f>
              <numCache>
                <formatCode>General</formatCode>
                <ptCount val="11"/>
                <pt idx="0">
                  <v>11</v>
                </pt>
                <pt idx="1">
                  <v>6</v>
                </pt>
                <pt idx="2">
                  <v>8</v>
                </pt>
                <pt idx="3">
                  <v>10</v>
                </pt>
                <pt idx="4">
                  <v>12</v>
                </pt>
                <pt idx="5">
                  <v>7</v>
                </pt>
                <pt idx="6">
                  <v>9</v>
                </pt>
                <pt idx="7">
                  <v>10</v>
                </pt>
                <pt idx="8">
                  <v>14</v>
                </pt>
                <pt idx="9">
                  <v>7</v>
                </pt>
                <pt idx="10">
                  <v>11</v>
                </pt>
              </numCache>
            </numRef>
          </val>
        </ser>
        <ser>
          <idx val="1"/>
          <order val="1"/>
          <tx>
            <strRef>
              <f>Contadores!$B$6</f>
              <strCache>
                <ptCount val="1"/>
                <pt idx="0">
                  <v>Pontuação</v>
                </pt>
              </strCache>
            </strRef>
          </tx>
          <spPr>
            <a:solidFill xmlns:a="http://schemas.openxmlformats.org/drawingml/2006/main">
              <a:schemeClr val="accent1">
                <a:tint val="77000"/>
              </a:schemeClr>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
                </a:r>
                <a:endParaRPr lang="pt-BR"/>
              </a:p>
            </txPr>
            <dLblPos val="ctr"/>
            <showLegendKey val="0"/>
            <showVal val="1"/>
            <showCatName val="0"/>
            <showSerName val="0"/>
            <showPercent val="0"/>
            <showBubbleSize val="0"/>
            <showLeaderLines val="0"/>
          </dLbls>
          <cat>
            <strRef>
              <f>Contadores!$C$3:$M$3</f>
              <strCache>
                <ptCount val="11"/>
                <pt idx="0">
                  <v>I</v>
                </pt>
                <pt idx="1">
                  <v>II</v>
                </pt>
                <pt idx="2">
                  <v>III</v>
                </pt>
                <pt idx="3">
                  <v>IV</v>
                </pt>
                <pt idx="4">
                  <v>V</v>
                </pt>
                <pt idx="5">
                  <v>VI</v>
                </pt>
                <pt idx="6">
                  <v>VII</v>
                </pt>
                <pt idx="7">
                  <v>VIII</v>
                </pt>
                <pt idx="8">
                  <v>IX</v>
                </pt>
                <pt idx="9">
                  <v>X</v>
                </pt>
                <pt idx="10">
                  <v>XI</v>
                </pt>
              </strCache>
            </strRef>
          </cat>
          <val>
            <numRef>
              <f>Contadores!$C$6:$M$6</f>
              <numCache>
                <formatCode>General</formatCode>
                <ptCount val="11"/>
                <pt idx="0">
                  <v>154</v>
                </pt>
                <pt idx="1">
                  <v>108</v>
                </pt>
                <pt idx="2">
                  <v>78</v>
                </pt>
                <pt idx="3">
                  <v>91</v>
                </pt>
                <pt idx="4">
                  <v>130</v>
                </pt>
                <pt idx="5">
                  <v>118</v>
                </pt>
                <pt idx="6">
                  <v>106</v>
                </pt>
                <pt idx="7">
                  <v>114</v>
                </pt>
                <pt idx="8">
                  <v>141</v>
                </pt>
                <pt idx="9">
                  <v>83</v>
                </pt>
                <pt idx="10">
                  <v>83</v>
                </pt>
              </numCache>
            </numRef>
          </val>
        </ser>
        <dLbls>
          <dLblPos val="ctr"/>
          <showLegendKey val="0"/>
          <showVal val="1"/>
          <showCatName val="0"/>
          <showSerName val="0"/>
          <showPercent val="0"/>
          <showBubbleSize val="0"/>
        </dLbls>
        <gapWidth val="150"/>
        <overlap val="100"/>
        <axId val="1282111840"/>
        <axId val="1282122400"/>
      </barChart>
      <catAx>
        <axId val="128211184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82122400"/>
        <crosses val="autoZero"/>
        <auto val="1"/>
        <lblAlgn val="ctr"/>
        <lblOffset val="100"/>
        <noMultiLvlLbl val="0"/>
      </catAx>
      <valAx>
        <axId val="12821224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crossAx val="1282111840"/>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 Distribuição QN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pt-BR"/>
        </a:p>
      </txPr>
    </title>
    <plotArea>
      <layout/>
      <doughnutChart>
        <varyColors val="1"/>
        <ser>
          <idx val="0"/>
          <order val="0"/>
          <tx>
            <strRef>
              <f>Contadores!$U$3</f>
              <strCache>
                <ptCount val="1"/>
                <pt idx="0">
                  <v>% total</v>
                </pt>
              </strCache>
            </strRef>
          </tx>
          <spPr>
            <a:ln xmlns:a="http://schemas.openxmlformats.org/drawingml/2006/main">
              <a:prstDash val="solid"/>
            </a:ln>
          </spPr>
          <dPt>
            <idx val="0"/>
            <bubble3D val="0"/>
            <spPr>
              <a:solidFill xmlns:a="http://schemas.openxmlformats.org/drawingml/2006/main">
                <a:schemeClr val="accent2"/>
              </a:solidFill>
              <a:ln xmlns:a="http://schemas.openxmlformats.org/drawingml/2006/main" w="19050">
                <a:solidFill>
                  <a:schemeClr val="lt1"/>
                </a:solidFill>
                <a:prstDash val="solid"/>
              </a:ln>
            </spPr>
          </dPt>
          <dPt>
            <idx val="1"/>
            <bubble3D val="0"/>
            <spPr>
              <a:solidFill xmlns:a="http://schemas.openxmlformats.org/drawingml/2006/main">
                <a:schemeClr val="accent4"/>
              </a:solidFill>
              <a:ln xmlns:a="http://schemas.openxmlformats.org/drawingml/2006/main" w="19050">
                <a:solidFill>
                  <a:schemeClr val="lt1"/>
                </a:solidFill>
                <a:prstDash val="solid"/>
              </a:ln>
            </spPr>
          </dPt>
          <dPt>
            <idx val="2"/>
            <bubble3D val="0"/>
            <spPr>
              <a:solidFill xmlns:a="http://schemas.openxmlformats.org/drawingml/2006/main">
                <a:schemeClr val="accent6"/>
              </a:solidFill>
              <a:ln xmlns:a="http://schemas.openxmlformats.org/drawingml/2006/main" w="19050">
                <a:solidFill>
                  <a:schemeClr val="lt1"/>
                </a:solidFill>
                <a:prstDash val="solid"/>
              </a:ln>
            </spPr>
          </dPt>
          <dPt>
            <idx val="3"/>
            <bubble3D val="0"/>
            <spPr>
              <a:solidFill xmlns:a="http://schemas.openxmlformats.org/drawingml/2006/main">
                <a:schemeClr val="accent2">
                  <a:lumMod val="60000"/>
                </a:schemeClr>
              </a:solidFill>
              <a:ln xmlns:a="http://schemas.openxmlformats.org/drawingml/2006/main" w="19050">
                <a:solidFill>
                  <a:schemeClr val="lt1"/>
                </a:solidFill>
                <a:prstDash val="solid"/>
              </a:ln>
            </spPr>
          </dPt>
          <dPt>
            <idx val="4"/>
            <bubble3D val="0"/>
            <spPr>
              <a:solidFill xmlns:a="http://schemas.openxmlformats.org/drawingml/2006/main">
                <a:schemeClr val="accent4">
                  <a:lumMod val="60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baseline="0">
                    <a:solidFill>
                      <a:schemeClr val="bg1"/>
                    </a:solidFill>
                    <a:latin typeface="+mn-lt"/>
                    <a:ea typeface="+mn-ea"/>
                    <a:cs typeface="+mn-cs"/>
                  </a:defRPr>
                </a:pPr>
                <a:r>
                  <a:t/>
                </a:r>
                <a:endParaRPr lang="pt-BR"/>
              </a:p>
            </txPr>
            <showLegendKey val="0"/>
            <showVal val="1"/>
            <showCatName val="0"/>
            <showSerName val="0"/>
            <showPercent val="0"/>
            <showBubbleSize val="0"/>
            <showLeaderLines val="1"/>
          </dLbls>
          <cat>
            <strRef>
              <f>Contadores!$R$4:$R$8</f>
              <strCache>
                <ptCount val="5"/>
                <pt idx="0">
                  <v>QN1</v>
                </pt>
                <pt idx="1">
                  <v>QN2</v>
                </pt>
                <pt idx="2">
                  <v>QN3</v>
                </pt>
                <pt idx="3">
                  <v>QN4</v>
                </pt>
                <pt idx="4">
                  <v>QN5</v>
                </pt>
              </strCache>
            </strRef>
          </cat>
          <val>
            <numRef>
              <f>Contadores!$U$4:$U$8</f>
              <numCache>
                <formatCode>0%</formatCode>
                <ptCount val="5"/>
                <pt idx="0">
                  <v>0.1333333333333333</v>
                </pt>
                <pt idx="1">
                  <v>0.1238095238095238</v>
                </pt>
                <pt idx="2">
                  <v>0.5238095238095238</v>
                </pt>
                <pt idx="3">
                  <v>0.05714285714285714</v>
                </pt>
                <pt idx="4">
                  <v>0.1619047619047619</v>
                </pt>
              </numCache>
            </numRef>
          </val>
        </ser>
        <dLbls>
          <showLegendKey val="0"/>
          <showVal val="1"/>
          <showCatName val="0"/>
          <showSerName val="0"/>
          <showPercent val="0"/>
          <showBubbleSize val="0"/>
          <showLeaderLines val="1"/>
        </dLbls>
        <firstSliceAng val="0"/>
        <holeSize val="75"/>
      </doughnut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tc={CFDF8996-7FBD-4746-B33C-909B1BFCA1E7}</author>
  </authors>
  <commentList>
    <comment ref="Z87"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Questão para o avaliador (sem tootip)</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from>
      <col>1</col>
      <colOff>38099</colOff>
      <row>10</row>
      <rowOff>71437</rowOff>
    </from>
    <to>
      <col>14</col>
      <colOff>581025</colOff>
      <row>24</row>
      <rowOff>147637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28574</colOff>
      <row>26</row>
      <rowOff>176212</rowOff>
    </from>
    <to>
      <col>15</col>
      <colOff>28574</colOff>
      <row>44</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17</col>
      <colOff>28574</colOff>
      <row>10</row>
      <rowOff>42862</rowOff>
    </from>
    <to>
      <col>22</col>
      <colOff>57149</colOff>
      <row>24</row>
      <rowOff>171450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ables/table1.xml><?xml version="1.0" encoding="utf-8"?>
<table xmlns="http://schemas.openxmlformats.org/spreadsheetml/2006/main" id="1" name="Tabela2" displayName="Tabela2" ref="B3:F50" headerRowCount="1" totalsRowShown="0" headerRowDxfId="31" headerRowBorderDxfId="30" tableBorderDxfId="29">
  <autoFilter ref="B3:F50"/>
  <tableColumns count="5">
    <tableColumn id="1" name="QTDE" dataDxfId="28"/>
    <tableColumn id="2" name="DADOS BÁSICOS" dataDxfId="27"/>
    <tableColumn id="5" name="Tooltip" dataDxfId="26"/>
    <tableColumn id="3" name="TIPO" dataDxfId="25"/>
    <tableColumn id="4" name="Opções" dataDxfId="24"/>
  </tableColumns>
  <tableStyleInfo showFirstColumn="0" showLastColumn="0" showRowStripes="1" showColumnStripes="0"/>
</table>
</file>

<file path=xl/tables/table2.xml><?xml version="1.0" encoding="utf-8"?>
<table xmlns="http://schemas.openxmlformats.org/spreadsheetml/2006/main" id="2" name="Tabela1" displayName="Tabela1" ref="B8:N173" headerRowCount="1" totalsRowShown="0" headerRowDxfId="47" dataDxfId="46" tableBorderDxfId="45">
  <autoFilter ref="B8:N173"/>
  <tableColumns count="13">
    <tableColumn id="1" name="Área" dataDxfId="44"/>
    <tableColumn id="2" name="Tipo" dataDxfId="43"/>
    <tableColumn id="3" name="Item" dataDxfId="42"/>
    <tableColumn id="4" name="Tipo de Resposta" dataDxfId="41"/>
    <tableColumn id="5" name="Nível" dataDxfId="40"/>
    <tableColumn id="6" name="Valor" dataDxfId="39"/>
    <tableColumn id="10" name="Avaliação" dataDxfId="38"/>
    <tableColumn id="13" name="Pont. Resdist." dataDxfId="37"/>
    <tableColumn id="12" name="Pontuação" dataDxfId="36">
      <calculatedColumnFormula>IF(H9="Sim",G9*1,IF(H9="Não",G9*0,IF(H9="Parcialmente",G9/2,"")))+Tabela1[[#This Row],[Pont. Resdist.]]</calculatedColumnFormula>
    </tableColumn>
    <tableColumn id="11" name="Evidência" dataDxfId="35"/>
    <tableColumn id="7" name="Análise" dataDxfId="34"/>
    <tableColumn id="9" name="Vinculação Condicional" dataDxfId="33"/>
    <tableColumn id="8" name="Distribuição &quot;Não se aplica&quot;" dataDxfId="32"/>
  </tableColumns>
  <tableStyleInfo showFirstColumn="0" showLastColumn="0" showRowStripes="1" showColumnStripes="0"/>
</table>
</file>

<file path=xl/tables/table3.xml><?xml version="1.0" encoding="utf-8"?>
<table xmlns="http://schemas.openxmlformats.org/spreadsheetml/2006/main" id="3" name="Tabela_3__Validação_da_Tabela_PerguntaFormularioTipoAvaliacao" displayName="Tabela_3__Validação_da_Tabela_PerguntaFormularioTipoAvaliacao" ref="A1:N119" tableType="queryTable" headerRowCount="1" totalsRowShown="0" headerRowDxfId="23">
  <autoFilter ref="A1:N119">
    <filterColumn colId="9" hiddenButton="0" showButton="1">
      <filters>
        <filter val="20"/>
      </filters>
    </filterColumn>
  </autoFilter>
  <tableColumns count="14">
    <tableColumn id="1" uniqueName="1" name="DescTituloPerguntaFormularioTipoAvaliacao" queryTableFieldId="1" dataDxfId="22"/>
    <tableColumn id="2" uniqueName="2" name="IdBlocoFormularioTipoAvaliacao" queryTableFieldId="2"/>
    <tableColumn id="3" uniqueName="3" name="FlgAgrupadora" queryTableFieldId="3"/>
    <tableColumn id="4" uniqueName="4" name="FlgDistribuicaoValorRespostaNaoSeAplica" queryTableFieldId="4"/>
    <tableColumn id="5" uniqueName="5" name="FlgRespostaPossivelNaoSeAplica" queryTableFieldId="5"/>
    <tableColumn id="6" uniqueName="6" name="FlgRespostaPossivelParcialmente" queryTableFieldId="6"/>
    <tableColumn id="7" uniqueName="7" name="FlgRespostaPossivelSimNao" queryTableFieldId="7"/>
    <tableColumn id="8" uniqueName="8" name="FlgSolicitantePodeResponder" queryTableFieldId="8"/>
    <tableColumn id="9" uniqueName="9" name="NumOrdem" queryTableFieldId="9"/>
    <tableColumn id="10" uniqueName="10" name="ValFixoPontuacaoItem" queryTableFieldId="10"/>
    <tableColumn id="11" uniqueName="11" name="FlgEvidenciaObrigatoria" queryTableFieldId="11"/>
    <tableColumn id="12" uniqueName="12" name="FlgMedidaMinimaAdocaoProgramaIntegridade" queryTableFieldId="12"/>
    <tableColumn id="13" uniqueName="13" name="FlgObservacaoObrigatoria" queryTableFieldId="13"/>
    <tableColumn id="14" uniqueName="14" name="TxtInformacaoAdicional" queryTableFieldId="14" dataDxfId="21"/>
  </tableColumns>
  <tableStyleInfo name="TableStyleMedium7" showFirstColumn="0" showLastColumn="0" showRowStripes="1" showColumnStripes="0"/>
</table>
</file>

<file path=xl/tables/table4.xml><?xml version="1.0" encoding="utf-8"?>
<table xmlns="http://schemas.openxmlformats.org/spreadsheetml/2006/main" id="4" name="dataareasgv" displayName="dataareasgv" ref="A1:H12" tableType="queryTable" headerRowCount="1" totalsRowShown="0">
  <autoFilter ref="A1:H12"/>
  <tableColumns count="8">
    <tableColumn id="1" uniqueName="1" name="IdAreaFormularioTipoAvaliacao" queryTableFieldId="1"/>
    <tableColumn id="2" uniqueName="2" name="NomAreaFormularioTipoAvaliacao" queryTableFieldId="2" dataDxfId="20"/>
    <tableColumn id="3" uniqueName="3" name="Soma de NumOrdem" queryTableFieldId="3"/>
    <tableColumn id="4" uniqueName="4" name="Soma de PctNotaMinima" queryTableFieldId="4"/>
    <tableColumn id="5" uniqueName="5" name="TxtFormulaCalculoPontoBloco" queryTableFieldId="5" dataDxfId="19"/>
    <tableColumn id="6" uniqueName="6" name="ValNotaMaxima" queryTableFieldId="6"/>
    <tableColumn id="7" uniqueName="7" name="Coluna1" queryTableFieldId="7" dataDxfId="18">
      <calculatedColumnFormula>SUMIFS('Formulário de Conformidade'!$G:$G,'Formulário de Conformidade'!$C:$C,"Questão",'Formulário de Conformidade'!$B:$B,I2)</calculatedColumnFormula>
    </tableColumn>
    <tableColumn id="8" uniqueName="8" name="Coluna2" queryTableFieldId="8" dataDxfId="17">
      <calculatedColumnFormula>dataareasgv[[#This Row],[ValNotaMaxima]]=dataareasgv[[#This Row],[Coluna1]]</calculatedColumnFormula>
    </tableColumn>
  </tableColumns>
  <tableStyleInfo name="TableStyleMedium7" showFirstColumn="0" showLastColumn="0" showRowStripes="1" showColumnStripes="0"/>
</table>
</file>

<file path=xl/tables/table5.xml><?xml version="1.0" encoding="utf-8"?>
<table xmlns="http://schemas.openxmlformats.org/spreadsheetml/2006/main" id="5" name="Tabela_dataFPGV" displayName="Tabela_dataFPGV" ref="A1:H43" tableType="queryTable" headerRowCount="1" totalsRowShown="0" headerRowDxfId="16">
  <autoFilter ref="A1:H43"/>
  <sortState ref="A2:H43">
    <sortCondition ref="A2:A43"/>
    <sortCondition ref="F2:F43"/>
  </sortState>
  <tableColumns count="8">
    <tableColumn id="1" uniqueName="1" name="IdGrupoFormularioTipoAvaliacao" queryTableFieldId="1"/>
    <tableColumn id="2" uniqueName="2" name="NomQuestaoFormularioTipoAvaliacao" queryTableFieldId="2" dataDxfId="15"/>
    <tableColumn id="3" uniqueName="3" name="TpQuestaoFormularioTipoAvaliacao" queryTableFieldId="3" dataDxfId="14"/>
    <tableColumn id="4" uniqueName="4" name="TpMascara" queryTableFieldId="4" dataDxfId="13"/>
    <tableColumn id="5" uniqueName="5" name="TxtInformacaoAdicional" queryTableFieldId="5" dataDxfId="12"/>
    <tableColumn id="6" uniqueName="6" name="NumOrdem" queryTableFieldId="6"/>
    <tableColumn id="7" uniqueName="7" name="FlgObrigatorio" queryTableFieldId="7"/>
    <tableColumn id="8" uniqueName="8" name="IdOpcaoQuestaoFormularioTipoAvaliacaoCondicionante" queryTableFieldId="8"/>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4.xml" Id="rId1"/></Relationships>
</file>

<file path=xl/worksheets/_rels/sheet11.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B3:G50"/>
  <sheetViews>
    <sheetView topLeftCell="A5" zoomScale="85" zoomScaleNormal="85" workbookViewId="0">
      <selection activeCell="E6" sqref="E6"/>
    </sheetView>
  </sheetViews>
  <sheetFormatPr baseColWidth="8" defaultRowHeight="15"/>
  <cols>
    <col width="17.85546875" customWidth="1" min="2" max="2"/>
    <col width="112.7109375" customWidth="1" style="39" min="3" max="3"/>
    <col width="96" customWidth="1" style="43" min="4" max="4"/>
    <col width="28.42578125" customWidth="1" min="5" max="5"/>
    <col width="93.5703125" bestFit="1" customWidth="1" min="6" max="6"/>
  </cols>
  <sheetData>
    <row r="2" ht="102" customHeight="1"/>
    <row r="3" ht="15.75" customHeight="1" thickBot="1">
      <c r="B3" s="7" t="inlineStr">
        <is>
          <t>QTDE</t>
        </is>
      </c>
      <c r="C3" s="46" t="inlineStr">
        <is>
          <t>DADOS BÁSICOS</t>
        </is>
      </c>
      <c r="D3" s="46" t="inlineStr">
        <is>
          <t>Tooltip</t>
        </is>
      </c>
      <c r="E3" s="7" t="inlineStr">
        <is>
          <t>TIPO</t>
        </is>
      </c>
      <c r="F3" s="38" t="inlineStr">
        <is>
          <t>Opções</t>
        </is>
      </c>
    </row>
    <row r="4" ht="63" customHeight="1">
      <c r="B4" s="14" t="inlineStr">
        <is>
          <t xml:space="preserve">1 </t>
        </is>
      </c>
      <c r="C4" s="1" t="inlineStr">
        <is>
          <t xml:space="preserve">DB1. Nome da pessoa jurídica - Razão Social: </t>
        </is>
      </c>
      <c r="D4" s="1" t="inlineStr">
        <is>
          <t>Informar a denominação pela qual a pessoa jurídica está registrada no Cadastro Nacional da Pessoa Jurídica.</t>
        </is>
      </c>
      <c r="E4" s="2" t="inlineStr">
        <is>
          <t>Texto</t>
        </is>
      </c>
      <c r="F4" s="52" t="inlineStr">
        <is>
          <t>JDS ENGENHARIA E CONSULTORIA LTDA</t>
        </is>
      </c>
    </row>
    <row r="5" ht="63" customHeight="1">
      <c r="B5" s="14" t="inlineStr">
        <is>
          <t xml:space="preserve">2 </t>
        </is>
      </c>
      <c r="C5" s="40" t="inlineStr">
        <is>
          <t>DB2. E-mail institucional da área de integridade:</t>
        </is>
      </c>
      <c r="D5" s="40" t="inlineStr">
        <is>
          <t xml:space="preserve">Informar o e-mail da área ou pessoa responsável pelo programa de integridade. Indicar e-mail institucional, evitando-se conta de uso pessoal. Este e-mail poderá ser utilizado pela CGU para dúvidas, informes, pedidos de esclarecimentos etc. </t>
        </is>
      </c>
      <c r="E5" s="2" t="inlineStr">
        <is>
          <t>Texto (máscara: e-mail)</t>
        </is>
      </c>
      <c r="F5" s="49" t="inlineStr">
        <is>
          <t>E-mail: jdseng@jdseng.com.br</t>
        </is>
      </c>
      <c r="G5" s="37" t="n"/>
    </row>
    <row r="6" ht="63" customHeight="1">
      <c r="B6" s="14" t="n">
        <v>3</v>
      </c>
      <c r="C6" s="1" t="inlineStr">
        <is>
          <t xml:space="preserve">DB3. CNPJ: </t>
        </is>
      </c>
      <c r="D6" s="1" t="inlineStr">
        <is>
          <t>Informar o CNPJ da pessoa jurídica.</t>
        </is>
      </c>
      <c r="E6" s="2" t="inlineStr">
        <is>
          <t>Texto (máscara: CNPJ)</t>
        </is>
      </c>
      <c r="F6" s="49" t="inlineStr">
        <is>
          <t>40.376.139/0001-59</t>
        </is>
      </c>
    </row>
    <row r="7" ht="63" customHeight="1">
      <c r="B7" s="14" t="n">
        <v>4</v>
      </c>
      <c r="C7" s="1" t="inlineStr">
        <is>
          <t xml:space="preserve">DB4. Representante do programa de integridade: </t>
        </is>
      </c>
      <c r="D7" s="1" t="inlineStr">
        <is>
          <t>Informar o nome do representante da pessoa jurídica para ser comunicado em relação à avaliação do programa de integridade.</t>
        </is>
      </c>
      <c r="E7" s="2" t="inlineStr">
        <is>
          <t>Texto</t>
        </is>
      </c>
      <c r="F7" s="49" t="inlineStr">
        <is>
          <t>Yuri Renan Procopio dos Santos Pinto Zolet</t>
        </is>
      </c>
    </row>
    <row r="8" ht="63" customHeight="1">
      <c r="B8" s="14" t="n">
        <v>5</v>
      </c>
      <c r="C8" s="1" t="inlineStr">
        <is>
          <t xml:space="preserve">DB5. Cargo do representante: </t>
        </is>
      </c>
      <c r="D8" s="1" t="inlineStr">
        <is>
          <t>Informar o cargo do representante da pessoa jurídica.</t>
        </is>
      </c>
      <c r="E8" s="2" t="inlineStr">
        <is>
          <t>Texto</t>
        </is>
      </c>
      <c r="F8" s="49" t="inlineStr">
        <is>
          <t>Oficial de Compliance</t>
        </is>
      </c>
    </row>
    <row r="9" ht="63" customHeight="1">
      <c r="B9" s="14" t="n">
        <v>6</v>
      </c>
      <c r="C9" s="1" t="inlineStr">
        <is>
          <t xml:space="preserve">DB6. Telefone do representante: </t>
        </is>
      </c>
      <c r="D9" s="1" t="inlineStr">
        <is>
          <t>Informar o telefone do representante da pessoa jurídica.</t>
        </is>
      </c>
      <c r="E9" s="2" t="inlineStr">
        <is>
          <t>Texto (máscara: telefone)</t>
        </is>
      </c>
      <c r="F9" s="49" t="inlineStr">
        <is>
          <t>(21) 8899-6848</t>
        </is>
      </c>
    </row>
    <row r="10" ht="20.25" customHeight="1">
      <c r="B10" s="14" t="n"/>
      <c r="C10" s="88" t="inlineStr">
        <is>
          <t>ESTRUTURA E ATIVIDADE ECONÔMICA</t>
        </is>
      </c>
      <c r="D10" s="88" t="n"/>
      <c r="E10" s="44" t="n"/>
      <c r="F10" s="53" t="n"/>
    </row>
    <row r="11" ht="197.25" customHeight="1">
      <c r="B11" s="14" t="inlineStr">
        <is>
          <t xml:space="preserve">1 </t>
        </is>
      </c>
      <c r="C11" s="1" t="inlineStr">
        <is>
          <t xml:space="preserve">EA1. Qual a atividade econômica principal? </t>
        </is>
      </c>
      <c r="D11" s="1" t="inlineStr">
        <is>
          <t>Selecionar a opção que se refere a sua atividade econômica principal. A pessoa jurídica deverá observar os dois primeiros dígitos do CNAE e correlacioná-los com alguma das atividades descritas na lista. Exemplo: 
CNAE: 64.62-0-00
Atividade a ser selecionada na lista: (64 a 66)</t>
        </is>
      </c>
      <c r="E11" s="2" t="inlineStr">
        <is>
          <t>Lista Seleção Única</t>
        </is>
      </c>
      <c r="F11" s="49" t="inlineStr">
        <is>
          <t xml:space="preserve">
(41 a 43) Construção
CÓDIGO DE ATIVIDADES ECONÔMICAS (CAE):
2.60.39.8 - SUPERVISÃO DE OBRAS E DE SERVIÇOS DE ENGENHARIA
2.26.29.7 - PROJETOS E ESTUDOS DE ENGENHARIA
2.61.28.9 - ENGENHARIA, SERVIÇOS DE
2.27.12.9 - CONSULTORIA TÉCNICA
2.26.51.3 - ANÁLISE E PROGRAMAÇÃO DE SISTEMAS
2.27.15.3 - ASSESSORIA TÉCNICA</t>
        </is>
      </c>
    </row>
    <row r="12" ht="126" customHeight="1">
      <c r="B12" s="14" t="inlineStr">
        <is>
          <t xml:space="preserve">2 </t>
        </is>
      </c>
      <c r="C12" s="141" t="inlineStr">
        <is>
          <t xml:space="preserve">EA2. Qual o porte da pessoa jurídica?1 </t>
        </is>
      </c>
      <c r="D12" s="140" t="inlineStr">
        <is>
          <t>Critério para a definição do porte conf. faturamento anual:
- Microempresa: até R$ 360 mil
- Empresa de Pequeno Porte: de R$ 360 mil até R$ 4,8 milhões
- Média empresa: de R$ 4,8 milhões até R$ 300 milhões
- Grande empresa: acima de R$ 300 milhões.</t>
        </is>
      </c>
      <c r="E12" s="2" t="inlineStr">
        <is>
          <t>Lista Seleção Única</t>
        </is>
      </c>
      <c r="F12" s="49" t="inlineStr">
        <is>
          <t>Micro e Pequeno porte (de acordo com o Estatuto da Micro e Pequena Empresa)
Médio
Grande</t>
        </is>
      </c>
    </row>
    <row r="13" ht="102" customHeight="1">
      <c r="B13" s="14" t="inlineStr">
        <is>
          <t xml:space="preserve">3 </t>
        </is>
      </c>
      <c r="C13" s="1" t="inlineStr">
        <is>
          <t xml:space="preserve">EA3. Qual o faturamento anual? </t>
        </is>
      </c>
      <c r="D13" s="1" t="inlineStr">
        <is>
          <t>Selecionar a opção que se refere ao faturamento estimado, obtido pela pessoa jurídica a cada ano.</t>
        </is>
      </c>
      <c r="E13" s="2" t="inlineStr">
        <is>
          <t>Lista Seleção Única</t>
        </is>
      </c>
      <c r="F13" s="49" t="inlineStr">
        <is>
          <t>&lt;= R$ 360 mil
&gt; R$ 360 mil e &lt;= R$ 4,8 milhões
&gt; R$ 4,8 milhões e &lt;= R$ 16 milhões
&gt; R$ 16 milhões e &lt;= R$ 90 milhões
&gt; R$ 90 milhões e &lt;= R$ 300 milhões
&gt; R$ 300 milhões e &lt;= R$ 1 bilhão
&gt; R$ 1 bilhão</t>
        </is>
      </c>
    </row>
    <row r="14" ht="117.75" customHeight="1">
      <c r="B14" s="14" t="n">
        <v>4</v>
      </c>
      <c r="C14" s="3" t="inlineStr">
        <is>
          <t>EA4. Descrever a estrutura organizacional da pessoa jurídica (Ex.: presidência, conselhos, comitês, diretorias etc.):</t>
        </is>
      </c>
      <c r="D14" s="1" t="inlineStr">
        <is>
          <t>Informar a estrutura organizacional, apresentando breve resumo das instâncias que a compõem, suas atribuições, membros e as relações de hierarquia/subordinação existentes.</t>
        </is>
      </c>
      <c r="E14" s="2" t="inlineStr">
        <is>
          <t>Texto Longo</t>
        </is>
      </c>
      <c r="F14" s="49" t="inlineStr">
        <is>
          <t xml:space="preserve">JDS Engenharia e Consultoria Ltda., ao longo de mais de três décadas, é uma empresa que presta serviços  técnicos especializados, notadamente nas áreas de elaboração de estudos de viabilidade, desenvolvimento de projetos, supervisão e gerenciamento de obras, com atuação destacada em empreendimentos de infraestrutura. E também atua na área de consultoria técnica especializada. Em termos de estrutura a empresa possui: uma Diretoria Executiva; as Diretorias Técnicas e Administrativa; e Áreas Técnicas Operacionais. </t>
        </is>
      </c>
    </row>
    <row r="15" ht="63" customHeight="1">
      <c r="B15" s="14" t="n">
        <v>5</v>
      </c>
      <c r="C15" s="40" t="inlineStr">
        <is>
          <t xml:space="preserve">EA5. Integra algum grupo econômico? 2 </t>
        </is>
      </c>
      <c r="D15" s="40" t="inlineStr">
        <is>
          <t>Selecionar “Sim” ou “Não”, conforme o caso.</t>
        </is>
      </c>
      <c r="E15" s="2" t="inlineStr">
        <is>
          <t>Sim/Não</t>
        </is>
      </c>
      <c r="F15" s="49" t="inlineStr">
        <is>
          <t>Não</t>
        </is>
      </c>
    </row>
    <row r="16" ht="63" customHeight="1">
      <c r="B16" s="14" t="n">
        <v>6</v>
      </c>
      <c r="C16" s="40" t="inlineStr">
        <is>
          <t xml:space="preserve">EA5.1. Informar o nome do grupo econômico: </t>
        </is>
      </c>
      <c r="D16" s="40" t="inlineStr">
        <is>
          <t>Informar o nome do grupo econômico ao qual a pessoa jurídica pertence.</t>
        </is>
      </c>
      <c r="E16" s="2" t="inlineStr">
        <is>
          <t>Texto Longo</t>
        </is>
      </c>
      <c r="F16" s="49" t="inlineStr">
        <is>
          <t>Não se aplica.</t>
        </is>
      </c>
    </row>
    <row r="17" ht="63" customHeight="1">
      <c r="B17" s="14" t="n">
        <v>7</v>
      </c>
      <c r="C17" s="40" t="inlineStr">
        <is>
          <t xml:space="preserve">EA5.2. Informar se o programa de integridade se aplica a mais de uma pessoa jurídica do grupo e para quais pessoas jurídicas se aplica: </t>
        </is>
      </c>
      <c r="D17" s="40" t="inlineStr">
        <is>
          <t>Informar para quais outras pessoas jurídicas do grupo econômico o programa de integridade é aplicado.</t>
        </is>
      </c>
      <c r="E17" s="2" t="inlineStr">
        <is>
          <t>Texto Longo</t>
        </is>
      </c>
      <c r="F17" s="49" t="inlineStr">
        <is>
          <t>Não se aplica.</t>
        </is>
      </c>
    </row>
    <row r="18" ht="63" customHeight="1">
      <c r="B18" s="14" t="n">
        <v>8</v>
      </c>
      <c r="C18" s="40" t="inlineStr">
        <is>
          <t xml:space="preserve">EA5.3. Informar se é controladora, controlada, coligada, subsidiária, etc., indicando as principais pessoas jurídicas que integram o grupo e os países em que atuam: </t>
        </is>
      </c>
      <c r="D18" s="40" t="inlineStr">
        <is>
          <t>Informar a condição da pessoa jurídica no seu grupo econômico, bem como citar as principais pessoa jurídicas que integram esse grupo e os países em que elas exercem atividade.</t>
        </is>
      </c>
      <c r="E18" s="2" t="inlineStr">
        <is>
          <t>Texto Longo</t>
        </is>
      </c>
      <c r="F18" s="49" t="inlineStr">
        <is>
          <t>Não se aplica.</t>
        </is>
      </c>
    </row>
    <row r="19" ht="63" customHeight="1">
      <c r="B19" s="14" t="n">
        <v>9</v>
      </c>
      <c r="C19" s="130" t="inlineStr">
        <is>
          <t xml:space="preserve">EA6. Realizou, nos últimos 24 meses, operações societárias envolvendo outras pessoas jurídicas (Ex.:  fusão, incorporação etc.)?3 4 </t>
        </is>
      </c>
      <c r="D19" s="12" t="inlineStr">
        <is>
          <t>Selecionar “Sim” ou “Não”, conforme o caso. As operações societárias incluem: fusões, incorporações, aquisições, cisões etc.</t>
        </is>
      </c>
      <c r="E19" s="2" t="inlineStr">
        <is>
          <t>Sim/Não</t>
        </is>
      </c>
      <c r="F19" s="49" t="inlineStr">
        <is>
          <t>Não.</t>
        </is>
      </c>
    </row>
    <row r="20" ht="63" customHeight="1">
      <c r="B20" s="14" t="n">
        <v>10</v>
      </c>
      <c r="C20" s="40" t="inlineStr">
        <is>
          <t xml:space="preserve">EA6.1. Descrever as operações societárias realizadas: </t>
        </is>
      </c>
      <c r="D20" s="40" t="inlineStr">
        <is>
          <t>Ex.: data, tipo de operação, pessoas jurídicas envolvidas, ações relacionadas à operação, alterações na estrutura societária e de mercado das pessoas jurídicas, aprovação pelos órgãos de fiscalização e de defesa econômica etc.</t>
        </is>
      </c>
      <c r="E20" s="2" t="inlineStr">
        <is>
          <t>Texto Longo</t>
        </is>
      </c>
      <c r="F20" s="49" t="inlineStr">
        <is>
          <t>Não se aplica.</t>
        </is>
      </c>
    </row>
    <row r="21" ht="63" customHeight="1">
      <c r="B21" s="14" t="n">
        <v>11</v>
      </c>
      <c r="C21" s="140" t="inlineStr">
        <is>
          <t>EA7. Qual o percentual de colaboradores  que possuem acesso à internet, fornecido pela pessoa jurídica, no local de trabalho?</t>
        </is>
      </c>
      <c r="D21" s="40" t="inlineStr">
        <is>
          <t>Selecionar a opção que se refere ao percentual de colaboradores com acesso à internet no local de trabalho.</t>
        </is>
      </c>
      <c r="E21" s="2" t="inlineStr">
        <is>
          <t>Lista Seleção Única</t>
        </is>
      </c>
      <c r="F21" s="49" t="inlineStr">
        <is>
          <t>0 % - Nenhum possui acesso à internet
Entre 1% e 20%
Entre 21% e 40%
Entre 41% e 60%
Entre 61% e 80%
Entre 81% e 100%</t>
        </is>
      </c>
    </row>
    <row r="22" ht="63" customHeight="1">
      <c r="B22" s="14" t="n">
        <v>12</v>
      </c>
      <c r="C22" s="1" t="inlineStr">
        <is>
          <t xml:space="preserve">EA8. Quantos colaboradores possui? </t>
        </is>
      </c>
      <c r="D22" s="40" t="inlineStr">
        <is>
          <t>Informar a quantidade de colaboradores que a pessoa jurídica possui, incluindo funcionários, terceirizados, estagiários e aprendizes.</t>
        </is>
      </c>
      <c r="E22" s="139" t="inlineStr">
        <is>
          <t>Número</t>
        </is>
      </c>
      <c r="F22" s="49" t="inlineStr">
        <is>
          <t>Conta atualmente com 38 (trinta e oito) emprega-dos sob o regime da CLT e 24 (vinte e quatro) colaboradores contratados na modalidade de Pessoa Jurídica.</t>
        </is>
      </c>
    </row>
    <row r="23">
      <c r="B23" s="14" t="n"/>
      <c r="C23" s="73" t="inlineStr">
        <is>
          <t xml:space="preserve">INTERAÇÃO COM PODER PÚBLICO </t>
        </is>
      </c>
      <c r="D23" s="88" t="n"/>
      <c r="E23" s="44" t="n"/>
      <c r="F23" s="53" t="n"/>
    </row>
    <row r="24" ht="63" customHeight="1">
      <c r="B24" s="14" t="inlineStr">
        <is>
          <t xml:space="preserve">1 </t>
        </is>
      </c>
      <c r="C24" s="40" t="inlineStr">
        <is>
          <t xml:space="preserve">IP1. A pessoa jurídica se submete à regulação de agência/órgão governamental?5 </t>
        </is>
      </c>
      <c r="D24" s="1" t="inlineStr">
        <is>
          <t>Selecionar “Sim” ou “Não”, conforme o caso.</t>
        </is>
      </c>
      <c r="E24" s="2" t="inlineStr">
        <is>
          <t>Sim/Não</t>
        </is>
      </c>
      <c r="F24" s="49" t="inlineStr">
        <is>
          <t>Não.</t>
        </is>
      </c>
    </row>
    <row r="25" ht="63" customHeight="1">
      <c r="B25" s="14" t="inlineStr">
        <is>
          <t xml:space="preserve">2 </t>
        </is>
      </c>
      <c r="C25" s="40" t="inlineStr">
        <is>
          <t xml:space="preserve">IP1.1. Informar quais são as agências/órgãos reguladores a que a pessoa jurídica está submetida: </t>
        </is>
      </c>
      <c r="D25" s="1" t="inlineStr">
        <is>
          <t>Informar as agências/órgãos governamentais responsáveis por regular as atividades exercidas pela pessoa jurídica.</t>
        </is>
      </c>
      <c r="E25" s="2" t="inlineStr">
        <is>
          <t>Texto Longo</t>
        </is>
      </c>
      <c r="F25" s="49" t="inlineStr">
        <is>
          <t>Não se aplica.</t>
        </is>
      </c>
    </row>
    <row r="26" ht="63" customHeight="1">
      <c r="B26" s="14" t="inlineStr">
        <is>
          <t xml:space="preserve">3 </t>
        </is>
      </c>
      <c r="C26" s="40" t="inlineStr">
        <is>
          <t xml:space="preserve">IP2. Em relação à obtenção de licenças, autorizações e permissões governamentais, como poderia ser classificada a situação da pessoa jurídica? </t>
        </is>
      </c>
      <c r="D26" s="1" t="inlineStr">
        <is>
          <t>Selecionar a opção que se refere à situação da pessoa jurídica com relação às licenças, autorizações e permissões governamentais.</t>
        </is>
      </c>
      <c r="E26" s="2" t="inlineStr">
        <is>
          <t>Lista Seleção Única</t>
        </is>
      </c>
      <c r="F26" s="49" t="inlineStr">
        <is>
          <t xml:space="preserve">a) Não necessita de licenças, autorizações ou permissões no exercício de suas atividades (exceto licenças básicas para funcionamento da pessoa jurídica, como alvarás de funcionamento e de vistoria do corpo de bombeiros).
</t>
        </is>
      </c>
    </row>
    <row r="27" ht="63" customHeight="1">
      <c r="B27" s="14" t="inlineStr">
        <is>
          <t xml:space="preserve">4 </t>
        </is>
      </c>
      <c r="C27" s="40" t="inlineStr">
        <is>
          <t xml:space="preserve">IP2.1. Descrever as licenças, autorizações e permissões das quais a pessoa jurídica necessite: </t>
        </is>
      </c>
      <c r="D27" s="1" t="inlineStr">
        <is>
          <t>Informar as licenças, autorizações e permissões das quais a pessoa jurídica necessite no exercício de suas atividades, incluindo licenças básicas para funcionamento.</t>
        </is>
      </c>
      <c r="E27" s="2" t="inlineStr">
        <is>
          <t>Texto Longo</t>
        </is>
      </c>
      <c r="F27" s="49" t="inlineStr">
        <is>
          <t>Não se aplica.</t>
        </is>
      </c>
    </row>
    <row r="28" ht="63" customHeight="1">
      <c r="B28" s="14" t="inlineStr">
        <is>
          <t xml:space="preserve">5 </t>
        </is>
      </c>
      <c r="C28" s="40" t="inlineStr">
        <is>
          <t xml:space="preserve">IP3. Em relação à participação em licitações públicas, como poderia ser classificada a situação da pessoa jurídica? </t>
        </is>
      </c>
      <c r="D28" s="1" t="inlineStr">
        <is>
          <t>Selecionar a opção que se refere à situação da pessoa jurídica com relação a sua participação em licitações públicas.</t>
        </is>
      </c>
      <c r="E28" s="2" t="inlineStr">
        <is>
          <t>Lista Seleção Única</t>
        </is>
      </c>
      <c r="F28" s="49" t="inlineStr">
        <is>
          <t>Participa com frequência de licitações.</t>
        </is>
      </c>
    </row>
    <row r="29" ht="63" customHeight="1">
      <c r="B29" s="14" t="inlineStr">
        <is>
          <t xml:space="preserve">6 </t>
        </is>
      </c>
      <c r="C29" s="1" t="inlineStr">
        <is>
          <t xml:space="preserve">IP4. Em relação à celebração de contratos com a Administração Pública, como poderia ser classificada a situação da pessoa jurídica? </t>
        </is>
      </c>
      <c r="D29" s="1" t="inlineStr">
        <is>
          <t>Selecionar a opção que se refere à situação da pessoa jurídica com relação à celebração de contratos com a Administração Pública.</t>
        </is>
      </c>
      <c r="E29" s="2" t="inlineStr">
        <is>
          <t>Lista Seleção Única</t>
        </is>
      </c>
      <c r="F29" s="49" t="inlineStr">
        <is>
          <t>Celebra com frequência contratos com a Administração Pública.</t>
        </is>
      </c>
    </row>
    <row r="30" ht="78" customHeight="1">
      <c r="B30" s="14" t="inlineStr">
        <is>
          <t xml:space="preserve">7 </t>
        </is>
      </c>
      <c r="C30" s="40" t="inlineStr">
        <is>
          <t xml:space="preserve">IP5. Qual das faixas mais se aproxima do percentual médio do faturamento proveniente de contratos firmados com o poder público? </t>
        </is>
      </c>
      <c r="D30" s="40" t="inlineStr">
        <is>
          <t>Selecionar a opção que se refere ao % que os contratos representam do faturamento total da pessoa jurídica.</t>
        </is>
      </c>
      <c r="E30" s="2" t="inlineStr">
        <is>
          <t>Lista Seleção Única</t>
        </is>
      </c>
      <c r="F30" s="49" t="inlineStr">
        <is>
          <t>1% a 20%
21% a 40%
41% a 60%
61% a 80%
81% a 100%</t>
        </is>
      </c>
    </row>
    <row r="31" ht="63" customHeight="1">
      <c r="B31" s="14" t="inlineStr">
        <is>
          <t xml:space="preserve">8 </t>
        </is>
      </c>
      <c r="C31" s="40" t="inlineStr">
        <is>
          <t xml:space="preserve">IP6. Utiliza intermediários no contato com a Administração Pública para execução de contratos administrativos, obtenção de autorizações, licenças e permissões, protocolo de documentos, desembaraço aduaneiro etc.?6 </t>
        </is>
      </c>
      <c r="D31" s="40" t="inlineStr">
        <is>
          <t>Selecionar “Sim” ou “Não”, conforme o caso. Intermediários incluem: consultores, advogados, assessores, despachantes, procuradores etc.</t>
        </is>
      </c>
      <c r="E31" s="2" t="inlineStr">
        <is>
          <t>Sim/Não</t>
        </is>
      </c>
      <c r="F31" s="49" t="n"/>
      <c r="G31" s="45" t="n"/>
    </row>
    <row r="32" ht="63" customHeight="1">
      <c r="B32" s="14" t="inlineStr">
        <is>
          <t xml:space="preserve">9 </t>
        </is>
      </c>
      <c r="C32" s="40" t="inlineStr">
        <is>
          <t xml:space="preserve">IP6.1. Descrever como ocorreu a utilização de intermediários no contato com a Administração Pública por parte da pessoa jurídica: </t>
        </is>
      </c>
      <c r="D32" s="40" t="inlineStr">
        <is>
          <t>Ex.: data, terceiro contratado, objeto, órgão ou entidade pública relacionada, atividades desempenhadas etc.</t>
        </is>
      </c>
      <c r="E32" s="2" t="inlineStr">
        <is>
          <t>Texto Longo</t>
        </is>
      </c>
      <c r="F32" s="49" t="n"/>
    </row>
    <row r="33" ht="63" customHeight="1">
      <c r="B33" s="14" t="inlineStr">
        <is>
          <t xml:space="preserve">10 </t>
        </is>
      </c>
      <c r="C33" s="130" t="inlineStr">
        <is>
          <t xml:space="preserve">IP7. A pessoa jurídica subcontratou atividades relacionadas à execução de contratos administrativos?7 </t>
        </is>
      </c>
      <c r="D33" s="40" t="inlineStr">
        <is>
          <t>Selecionar “Sim” ou “Não”, conforme o caso. Entende-se por “subcontratação” a situação em que a pessoa jurídica contrata um terceiro para executar determinada parcela do contrato administrativo.</t>
        </is>
      </c>
      <c r="E33" s="2" t="inlineStr">
        <is>
          <t>Sim/Não</t>
        </is>
      </c>
      <c r="F33" s="54" t="n"/>
    </row>
    <row r="34" ht="63" customHeight="1">
      <c r="B34" s="14" t="n">
        <v>11</v>
      </c>
      <c r="C34" s="40" t="inlineStr">
        <is>
          <t xml:space="preserve">IP7.1. Explicar como ocorreram as subcontratações de atividades relacionadas à execução de contratos administrativos por parte da pessoa jurídica: </t>
        </is>
      </c>
      <c r="D34" s="40" t="inlineStr">
        <is>
          <t>Ex.: data, contrato administrativo, terceiro e objeto subcontratado, aprovação pelo órgão ou entidade pública etc.</t>
        </is>
      </c>
      <c r="E34" s="2" t="inlineStr">
        <is>
          <t>Texto Longo</t>
        </is>
      </c>
      <c r="F34" s="49" t="n"/>
    </row>
    <row r="35">
      <c r="B35" s="14" t="n"/>
      <c r="C35" s="73" t="inlineStr">
        <is>
          <t xml:space="preserve">DOAÇÕES E PATROCÍNIOS </t>
        </is>
      </c>
      <c r="D35" s="88" t="n"/>
      <c r="E35" s="44" t="n"/>
      <c r="F35" s="53" t="n"/>
    </row>
    <row r="36" ht="63" customHeight="1">
      <c r="B36" s="14" t="inlineStr">
        <is>
          <t xml:space="preserve">1 </t>
        </is>
      </c>
      <c r="C36" s="40" t="inlineStr">
        <is>
          <t xml:space="preserve">DP1. A pessoa jurídica realizou patrocínios esportivos ou culturais, nos últimos 24 meses? </t>
        </is>
      </c>
      <c r="D36" s="40" t="inlineStr">
        <is>
          <t>Selecionar “Sim” ou “Não”, conforme o caso.</t>
        </is>
      </c>
      <c r="E36" s="2" t="inlineStr">
        <is>
          <t>Sim/Não</t>
        </is>
      </c>
      <c r="F36" s="49" t="inlineStr">
        <is>
          <t>Não informado.</t>
        </is>
      </c>
    </row>
    <row r="37" ht="63" customHeight="1">
      <c r="B37" s="14" t="n">
        <v>2</v>
      </c>
      <c r="C37" s="40" t="inlineStr">
        <is>
          <t xml:space="preserve">DP2. A pessoa jurídica efetuou doações, nos últimos 24 meses? </t>
        </is>
      </c>
      <c r="D37" s="40" t="inlineStr">
        <is>
          <t>Selecionar “Sim” ou “Não”, conforme o caso.</t>
        </is>
      </c>
      <c r="E37" s="2" t="inlineStr">
        <is>
          <t>Sim/Não</t>
        </is>
      </c>
      <c r="F37" s="49" t="inlineStr">
        <is>
          <t>Não informado.</t>
        </is>
      </c>
    </row>
    <row r="38">
      <c r="B38" s="14" t="n"/>
      <c r="C38" s="73" t="inlineStr">
        <is>
          <t xml:space="preserve">PRÁTICAS SOCIOAMBIENTAIS </t>
        </is>
      </c>
      <c r="D38" s="88" t="n"/>
      <c r="E38" s="44" t="n"/>
      <c r="F38" s="53" t="n"/>
    </row>
    <row r="39" ht="63" customHeight="1">
      <c r="B39" s="14" t="inlineStr">
        <is>
          <t xml:space="preserve">1 </t>
        </is>
      </c>
      <c r="C39" s="40" t="inlineStr">
        <is>
          <t xml:space="preserve">PS1. A atividade da pessoa jurídica envolve potencial de dano ao meio ambiente?8 </t>
        </is>
      </c>
      <c r="D39" s="40" t="inlineStr">
        <is>
          <t>Selecionar “Sim” ou “Não”, conforme o caso.</t>
        </is>
      </c>
      <c r="E39" s="48" t="inlineStr">
        <is>
          <t>Sim/Não</t>
        </is>
      </c>
      <c r="F39" s="54" t="inlineStr">
        <is>
          <t>Sim</t>
        </is>
      </c>
    </row>
    <row r="40" ht="63" customHeight="1">
      <c r="B40" s="14" t="n">
        <v>2</v>
      </c>
      <c r="C40" s="40" t="inlineStr">
        <is>
          <t>PS1.1 Apresentar justificativas por entender que não possui atividades que podem causar impactos ambientais:</t>
        </is>
      </c>
      <c r="D40" s="40" t="inlineStr">
        <is>
          <t>Explicar os motivos que levam a pessoa jurídica a concluir que suas atividades não geram impactos ambientais, tais como: localização, natureza das operações, uso mínimo de recursos naturais etc., e outras avaliações que fundamentem esse entendimento.</t>
        </is>
      </c>
      <c r="E40" s="48" t="inlineStr">
        <is>
          <t>Texto Longo</t>
        </is>
      </c>
      <c r="F40" s="54" t="n"/>
    </row>
    <row r="41">
      <c r="B41" s="14" t="n"/>
      <c r="C41" s="73" t="inlineStr">
        <is>
          <t xml:space="preserve">PROGRAMA DE INTEGRIDADE </t>
        </is>
      </c>
      <c r="D41" s="88" t="n"/>
      <c r="E41" s="44" t="n"/>
      <c r="F41" s="53" t="n"/>
    </row>
    <row r="42" ht="63" customHeight="1">
      <c r="B42" s="14" t="inlineStr">
        <is>
          <t xml:space="preserve">1 </t>
        </is>
      </c>
      <c r="C42" s="1" t="inlineStr">
        <is>
          <t>PI1. Quando entende que seu programa de integridade foi formalmente instituído?</t>
        </is>
      </c>
      <c r="D42" s="1" t="inlineStr">
        <is>
          <t>Selecionar a opção que se refere ao tempo decorrido desde o ano de instituição do programa de integridade, conforme a existência dos seguintes elementos básicos: Código de Ética/Conduta; Canal de Denúncias; e Área Específica ou Pessoa Responsável pelo programa.</t>
        </is>
      </c>
      <c r="E42" s="2" t="inlineStr">
        <is>
          <t>Lista Seleção Única</t>
        </is>
      </c>
      <c r="F42" s="49" t="inlineStr">
        <is>
          <t>Em até 1 ano
Entre 1 e 3 anos
Entre 3 e 5 anos
Acima de 5 anos</t>
        </is>
      </c>
    </row>
    <row r="43" ht="63" customHeight="1">
      <c r="B43" s="14" t="n">
        <v>2</v>
      </c>
      <c r="C43" s="40" t="inlineStr">
        <is>
          <t xml:space="preserve">PI2. Descrever a estrutura da área de integridade, a sua posição hierárquica e o seu reporte com a alta direção e, no caso de pessoa jurídica multinacional com programa global de integridade, com a área de integridade da matriz: </t>
        </is>
      </c>
      <c r="D43" s="1" t="inlineStr">
        <is>
          <t>Informar aspectos da estrutura da área de integridade da pessoa jurídica, conforme solicitado no item.</t>
        </is>
      </c>
      <c r="E43" s="2" t="inlineStr">
        <is>
          <t>Texto Longo</t>
        </is>
      </c>
      <c r="F43" s="49" t="inlineStr">
        <is>
          <t>Não há essa informação nos documentos.</t>
        </is>
      </c>
    </row>
    <row r="44" ht="63" customHeight="1">
      <c r="B44" s="14" t="n">
        <v>3</v>
      </c>
      <c r="C44" s="1" t="inlineStr">
        <is>
          <t xml:space="preserve">PI3. A área de integridade conta com quantos colaboradores que se dedicam exclusivamente ao programa de integridade da pessoa jurídica? </t>
        </is>
      </c>
      <c r="D44" s="1" t="inlineStr">
        <is>
          <t>Informar a quantidade de colaboradores com dedicação exclusiva ao programa de integridade, isto é, que não desempenham funções em outras áreas.</t>
        </is>
      </c>
      <c r="E44" s="2" t="inlineStr">
        <is>
          <t>Número</t>
        </is>
      </c>
      <c r="F44" s="49" t="inlineStr">
        <is>
          <t>Não há essa informação nos documentos.</t>
        </is>
      </c>
    </row>
    <row r="45" ht="63" customHeight="1">
      <c r="B45" s="14" t="n">
        <v>4</v>
      </c>
      <c r="C45" s="1" t="inlineStr">
        <is>
          <t xml:space="preserve">PI4. A pessoa jurídica conta com quantos colaboradores que se dedicam parcialmente ao programa de integridade? </t>
        </is>
      </c>
      <c r="D45" s="1" t="inlineStr">
        <is>
          <t>Informar a quantidade de colaboradores com dedicação parcial ao programa de integridade, isto é, que desempenham funções em outras áreas (ex.: embaixadores de integridade lotados em outras unidades)</t>
        </is>
      </c>
      <c r="E45" s="2" t="inlineStr">
        <is>
          <t>Número</t>
        </is>
      </c>
      <c r="F45" s="49" t="inlineStr">
        <is>
          <t>Não há essa informação nos documentos.</t>
        </is>
      </c>
    </row>
    <row r="46" ht="63" customHeight="1">
      <c r="B46" s="14" t="inlineStr">
        <is>
          <t xml:space="preserve">5 </t>
        </is>
      </c>
      <c r="C46" s="12" t="inlineStr">
        <is>
          <t xml:space="preserve">PI5. Recebeu alguma denúncia relacionada com atos de fraude e corrupção, atos de desrespeito à legislação ambiental, preconceito, discriminação e assédio de qualquer natureza nos últimos 24 meses?10 </t>
        </is>
      </c>
      <c r="D46" s="1" t="inlineStr">
        <is>
          <t>Selecionar “Sim” ou “Não”, conforme o caso.</t>
        </is>
      </c>
      <c r="E46" s="2" t="inlineStr">
        <is>
          <t>Sim/Não</t>
        </is>
      </c>
      <c r="F46" s="49" t="inlineStr">
        <is>
          <t>Não há essa informação nos documentos.</t>
        </is>
      </c>
    </row>
    <row r="47" ht="63" customHeight="1">
      <c r="B47" s="14" t="inlineStr">
        <is>
          <t xml:space="preserve">6 </t>
        </is>
      </c>
      <c r="C47" s="1" t="inlineStr">
        <is>
          <t xml:space="preserve">PI6. Está sendo investigada ou é parte em processo administrativo ou judicial, ou já foi condenada, nos últimos 3 (três) anos, pela prática de atos de corrupção, improbidade administrativa e/ou fraudes em licitação?11 </t>
        </is>
      </c>
      <c r="D47" s="1" t="inlineStr">
        <is>
          <t>Selecionar “Sim” ou “Não”, conforme o caso.</t>
        </is>
      </c>
      <c r="E47" s="2" t="inlineStr">
        <is>
          <t>Sim/Não</t>
        </is>
      </c>
      <c r="F47" s="49" t="inlineStr">
        <is>
          <t>Sim.</t>
        </is>
      </c>
    </row>
    <row r="48" ht="134.25" customHeight="1">
      <c r="B48" s="14" t="inlineStr">
        <is>
          <t xml:space="preserve">7 </t>
        </is>
      </c>
      <c r="C48" s="40" t="inlineStr">
        <is>
          <t xml:space="preserve">PI6.1. Apresentar breve esclarecimento sobre o caso indicado no item anterior, e as medidas de integridade adotadas em reação ao ilícito: </t>
        </is>
      </c>
      <c r="D48" s="40" t="inlineStr">
        <is>
          <t>Informar sobre o(s) caso(s) ocorrido(s) na pessoa jurídica no item anterior, bem como as medidas de integridades adotadas.</t>
        </is>
      </c>
      <c r="E48" s="2" t="inlineStr">
        <is>
          <t>Texto Longo</t>
        </is>
      </c>
      <c r="F48" s="49" t="inlineStr">
        <is>
          <t>A JDS Engenharia e Consultoria Ltda. foi declarada inidônea para licitar ou contratar com a Administração Pública em 28 de março de 2024, em razão de omissão deliberada na supervisão técnica de obras rodoviárias (BR-429/RO, Operação Anjos do Asfalto), com dano estimado ao erário de R$ 30.884.297,74. O prazo de inidoneidade de 2 anos encerrou-se em 28 de março de 2026, e o pedido de reabilitação foi protocolado em 9 de abril de 2026. Com o objetivo de reabilitar-se perante a Administração Pública, a empresa apresentou seu Programa de Integridade contendo o código de ética, código de Investigações internas, POLÍTICA DE USO ACEITÁVEL DE RECURSOS DE TI E SEGURANÇA DA INFORMAÇÃO, POLÍTICA DE DESPESAS E BENEFÍCIOS, RELATÓRIO DE DUE DILIGENCE e realização de treinamentos internos.</t>
        </is>
      </c>
    </row>
    <row r="49" ht="63" customHeight="1">
      <c r="B49" s="14" t="inlineStr">
        <is>
          <t xml:space="preserve">8 </t>
        </is>
      </c>
      <c r="C49" s="40" t="inlineStr">
        <is>
          <t xml:space="preserve">PI7. Algum membro da alta direção está sendo investigado ou é parte em processo administrativo ou judicial, ou já foi condenado, nos últimos 3 (três) anos, pela prática de atos de corrupção, improbidade administrativa e/ou fraudes em licitação?12 </t>
        </is>
      </c>
      <c r="D49" s="40" t="inlineStr">
        <is>
          <t>Selecionar “Sim” ou “Não”, conforme o caso.</t>
        </is>
      </c>
      <c r="E49" s="2" t="inlineStr">
        <is>
          <t>Sim/Não</t>
        </is>
      </c>
      <c r="F49" s="49" t="inlineStr">
        <is>
          <t>Sim.</t>
        </is>
      </c>
    </row>
    <row r="50" ht="63" customHeight="1">
      <c r="B50" s="14" t="n">
        <v>9</v>
      </c>
      <c r="C50" s="40" t="inlineStr">
        <is>
          <t xml:space="preserve">PI7.1. Apresentar quais foram as medidas adotadas a partir da ciência da prática do ato lesivo por membro da alta direção, indicado no item anterior: </t>
        </is>
      </c>
      <c r="D50" s="40" t="inlineStr">
        <is>
          <t>Informar sobre as medidas adotadas em resposta ao ato lesivo praticado por membro da alta direção, indicado no item anterior.</t>
        </is>
      </c>
      <c r="E50" s="2" t="inlineStr">
        <is>
          <t>Texto Longo</t>
        </is>
      </c>
      <c r="F50" s="49" t="inlineStr">
        <is>
          <t>Não há essa informação nos documentos.</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B173"/>
  <sheetViews>
    <sheetView showGridLines="0" tabSelected="1" zoomScaleNormal="100" zoomScaleSheetLayoutView="100" workbookViewId="0">
      <pane xSplit="4" ySplit="9" topLeftCell="E19" activePane="bottomRight" state="frozen"/>
      <selection pane="topRight" activeCell="E1" sqref="E1"/>
      <selection pane="bottomLeft" activeCell="A10" sqref="A10"/>
      <selection pane="bottomRight" activeCell="AD13" sqref="AD13"/>
    </sheetView>
  </sheetViews>
  <sheetFormatPr baseColWidth="8" defaultRowHeight="15"/>
  <cols>
    <col width="4.42578125" customWidth="1" min="1" max="1"/>
    <col width="9.140625" customWidth="1" style="5" min="2" max="2"/>
    <col width="12" customWidth="1" style="5" min="3" max="3"/>
    <col width="82" customWidth="1" min="4" max="4"/>
    <col width="28.5703125" customWidth="1" min="5" max="5"/>
    <col width="12" customWidth="1" min="6" max="7"/>
    <col width="16.5703125" customWidth="1" min="8" max="8"/>
    <col width="14.5703125" customWidth="1" min="9" max="9"/>
    <col width="14.85546875" customWidth="1" min="10" max="10"/>
    <col width="32.5703125" customWidth="1" min="11" max="11"/>
    <col width="75.7109375" customWidth="1" style="34" min="12" max="12"/>
    <col hidden="1" width="38.140625" customWidth="1" style="34" min="13" max="13"/>
    <col hidden="1" width="52.85546875" customWidth="1" min="14" max="14"/>
    <col hidden="1" width="46.5703125" customWidth="1" min="15" max="15"/>
    <col hidden="1" min="16" max="27"/>
  </cols>
  <sheetData>
    <row r="1" ht="23.25" customHeight="1">
      <c r="B1" s="165" t="n"/>
      <c r="H1" s="165" t="n"/>
      <c r="I1" s="165" t="n"/>
      <c r="J1" s="165" t="n"/>
      <c r="K1" s="165" t="n"/>
    </row>
    <row r="2" hidden="1" ht="31.5" customHeight="1">
      <c r="B2" s="166" t="inlineStr">
        <is>
          <t>FORMULÁRIO DE CONFORMIDADE</t>
        </is>
      </c>
    </row>
    <row r="3" hidden="1" ht="21" customFormat="1" customHeight="1" s="115">
      <c r="B3" s="112" t="n"/>
      <c r="C3" s="113" t="inlineStr">
        <is>
          <t>Processo: 00190.104729/2021-05</t>
        </is>
      </c>
      <c r="D3" s="112" t="n"/>
      <c r="E3" s="112" t="n"/>
      <c r="F3" s="112" t="n"/>
      <c r="G3" s="112" t="n"/>
      <c r="H3" s="112" t="n"/>
      <c r="I3" s="112" t="n"/>
      <c r="J3" s="112" t="n"/>
      <c r="K3" s="112" t="n"/>
      <c r="L3" s="112" t="n"/>
      <c r="M3" s="114" t="n"/>
    </row>
    <row r="4" hidden="1" ht="21" customFormat="1" customHeight="1" s="115">
      <c r="B4" s="112" t="n"/>
      <c r="C4" s="113" t="inlineStr">
        <is>
          <t>Pessoa Jurídica:  40.376.139/0001-59 - JDS</t>
        </is>
      </c>
      <c r="D4" s="112" t="n"/>
      <c r="E4" s="112" t="n"/>
      <c r="F4" s="112" t="n"/>
      <c r="G4" s="112" t="n"/>
      <c r="H4" s="112" t="n"/>
      <c r="I4" s="112" t="n"/>
      <c r="J4" s="112" t="n"/>
      <c r="K4" s="112" t="n"/>
      <c r="L4" s="112" t="n"/>
      <c r="M4" s="114" t="n"/>
    </row>
    <row r="5" hidden="1" ht="21" customFormat="1" customHeight="1" s="115">
      <c r="B5" s="112" t="n"/>
      <c r="C5" s="113" t="inlineStr">
        <is>
          <t xml:space="preserve">Avaliado por/data: </t>
        </is>
      </c>
      <c r="D5" s="112" t="n"/>
      <c r="E5" s="112" t="n"/>
      <c r="F5" s="112" t="n"/>
      <c r="G5" s="112" t="n"/>
      <c r="H5" s="112" t="n"/>
      <c r="I5" s="112" t="n"/>
      <c r="J5" s="112" t="n"/>
      <c r="K5" s="112" t="n"/>
      <c r="L5" s="112" t="n"/>
      <c r="M5" s="114" t="n"/>
    </row>
    <row r="6" hidden="1" ht="21" customFormat="1" customHeight="1" s="115">
      <c r="B6" s="116" t="n"/>
      <c r="C6" s="113" t="inlineStr">
        <is>
          <t>Revisado por/data:</t>
        </is>
      </c>
      <c r="D6" s="112" t="n"/>
      <c r="E6" s="112" t="n"/>
      <c r="F6" s="112" t="n"/>
      <c r="G6" s="112" t="n"/>
      <c r="H6" s="112" t="n"/>
      <c r="I6" s="112" t="n"/>
      <c r="J6" s="112" t="n"/>
      <c r="K6" s="112" t="n"/>
      <c r="L6" s="112" t="n"/>
      <c r="M6" s="114" t="n"/>
    </row>
    <row r="7" hidden="1"/>
    <row r="8">
      <c r="B8" s="87" t="inlineStr">
        <is>
          <t>Área</t>
        </is>
      </c>
      <c r="C8" s="87" t="inlineStr">
        <is>
          <t>Tipo</t>
        </is>
      </c>
      <c r="D8" s="87" t="inlineStr">
        <is>
          <t>Item</t>
        </is>
      </c>
      <c r="E8" s="87" t="inlineStr">
        <is>
          <t>Tipo de Resposta</t>
        </is>
      </c>
      <c r="F8" s="87" t="inlineStr">
        <is>
          <t>Nível</t>
        </is>
      </c>
      <c r="G8" s="87" t="inlineStr">
        <is>
          <t>Valor</t>
        </is>
      </c>
      <c r="H8" s="87" t="inlineStr">
        <is>
          <t>Avaliação</t>
        </is>
      </c>
      <c r="I8" s="87" t="inlineStr">
        <is>
          <t>Pont. Resdist.</t>
        </is>
      </c>
      <c r="J8" s="87" t="inlineStr">
        <is>
          <t>Pontuação</t>
        </is>
      </c>
      <c r="K8" s="87" t="inlineStr">
        <is>
          <t>Evidência</t>
        </is>
      </c>
      <c r="L8" s="87" t="inlineStr">
        <is>
          <t>Análise</t>
        </is>
      </c>
      <c r="M8" s="7" t="inlineStr">
        <is>
          <t>Vinculação Condicional</t>
        </is>
      </c>
      <c r="N8" s="7" t="inlineStr">
        <is>
          <t>Distribuição "Não se aplica"</t>
        </is>
      </c>
    </row>
    <row r="9" ht="15.75" customFormat="1" customHeight="1" s="138">
      <c r="B9" s="135" t="inlineStr">
        <is>
          <t>I</t>
        </is>
      </c>
      <c r="C9" s="135" t="inlineStr">
        <is>
          <t>Área</t>
        </is>
      </c>
      <c r="D9" s="134" t="inlineStr">
        <is>
          <t>Área I - Comprometimento da Alta Direção da Pessoa jurídica</t>
        </is>
      </c>
      <c r="E9" s="136" t="n"/>
      <c r="F9" s="136" t="n"/>
      <c r="G9" s="136" t="n"/>
      <c r="H9" s="136" t="n"/>
      <c r="I9" s="136" t="n"/>
      <c r="J9" s="136" t="n"/>
      <c r="K9" s="136" t="n"/>
      <c r="L9" s="137" t="n"/>
      <c r="M9" s="137" t="n"/>
      <c r="N9" s="136" t="n"/>
    </row>
    <row r="10" ht="25.5" customFormat="1" customHeight="1" s="94">
      <c r="B10" s="117" t="inlineStr">
        <is>
          <t>I</t>
        </is>
      </c>
      <c r="C10" s="117" t="inlineStr">
        <is>
          <t>Grupo</t>
        </is>
      </c>
      <c r="D10" s="118" t="inlineStr">
        <is>
          <t>1. Adoção de critérios de integridade para seleção e remuneração de candidatos a cargos da alta direção</t>
        </is>
      </c>
      <c r="E10" s="119" t="n"/>
      <c r="F10" s="119" t="n"/>
      <c r="G10" s="119" t="n"/>
      <c r="H10" s="119" t="n"/>
      <c r="I10" s="119" t="n"/>
      <c r="J10" s="119" t="n"/>
      <c r="K10" s="119" t="n"/>
      <c r="L10" s="118" t="n"/>
      <c r="M10" s="95" t="n"/>
      <c r="N10" s="96" t="n"/>
    </row>
    <row r="11" ht="93" customFormat="1" customHeight="1" s="94">
      <c r="B11" s="117" t="inlineStr">
        <is>
          <t>I</t>
        </is>
      </c>
      <c r="C11" s="117" t="inlineStr">
        <is>
          <t>Questão</t>
        </is>
      </c>
      <c r="D11" s="40" t="inlineStr">
        <is>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is>
      </c>
      <c r="E11" s="120" t="inlineStr">
        <is>
          <t>Sim, Não</t>
        </is>
      </c>
      <c r="F11" s="120" t="inlineStr">
        <is>
          <t>QN2</t>
        </is>
      </c>
      <c r="G11" s="120" t="n">
        <v>15</v>
      </c>
      <c r="H11" s="120" t="inlineStr">
        <is>
          <t>Não</t>
        </is>
      </c>
      <c r="I11" s="120" t="n"/>
      <c r="J11" s="120">
        <f>IF(H11="Sim",G11,
IF(H11="Parcialmente",G11/2,
IF(OR(H11="Não",H11="Não se aplica"),0,"")))
+IF(OR(H11="Sim",H11="Parcialmente"),Tabela1[[#This Row],[Pont. Resdist.]],0)</f>
        <v/>
      </c>
      <c r="K11" s="120" t="inlineStr">
        <is>
          <t>Ausência de documento</t>
        </is>
      </c>
      <c r="L11" s="140" t="inlineStr">
        <is>
          <t>NÃO ATENDIDA.
• Análise inicial (resposta anterior: Não): Não foram localizados critérios formalizados de integridade para seleção de candidatos à alta direção. A documentação não apresenta qualquer política de recursos humanos nesse sentido.
• Complementação (nova documentação): Não foi apresentada política de RH com critérios de integridade formalizados para seleção da alta direção. Lacuna não sanada.</t>
        </is>
      </c>
      <c r="M11" s="97" t="n"/>
      <c r="N11" s="98" t="n"/>
    </row>
    <row r="12" ht="42.75" customFormat="1" customHeight="1" s="94">
      <c r="B12" s="117" t="inlineStr">
        <is>
          <t>I</t>
        </is>
      </c>
      <c r="C12" s="117" t="inlineStr">
        <is>
          <t>Questão</t>
        </is>
      </c>
      <c r="D12" s="40" t="inlineStr">
        <is>
          <t>1.2 A pessoa jurídica aplicou critérios de integridade para seleção dos ocupantes de cargos da alta direção contratados nos últimos 24 meses? Se sim, anexar documentos que comprovem a aplicação dos critérios de integridade para seleção.</t>
        </is>
      </c>
      <c r="E12" s="120" t="inlineStr">
        <is>
          <t>Sim, Não, Não se aplica</t>
        </is>
      </c>
      <c r="F12" s="120" t="inlineStr">
        <is>
          <t>QN5</t>
        </is>
      </c>
      <c r="G12" s="120" t="n">
        <v>18</v>
      </c>
      <c r="H12" s="2" t="inlineStr">
        <is>
          <t>Não se Aplica</t>
        </is>
      </c>
      <c r="I12" s="120" t="n"/>
      <c r="J12" s="120">
        <f>IF(H12="Sim",G12,
IF(H12="Parcialmente",G12/2,
IF(OR(H12="Não",H12="Não se aplica"),0,"")))
+IF(OR(H12="Sim",H12="Parcialmente"),Tabela1[[#This Row],[Pont. Resdist.]],0)</f>
        <v/>
      </c>
      <c r="K12" s="120" t="inlineStr">
        <is>
          <t>Doc 01 - Estatuto Social</t>
        </is>
      </c>
      <c r="L12" s="154" t="inlineStr">
        <is>
          <t>NÃO SE APLICA (mantida da 1ª análise). Empresa sem conselho de administração ou fiscal formalmente constituído.</t>
        </is>
      </c>
      <c r="M12" s="97" t="inlineStr">
        <is>
          <t>Grupo: ESTRUTURA E ATIVIDADE ECONÔMICA
Questão: Qual o porte da pessoa jurídica?
Alternativa: Micro e Pequeno porte (de acordo com o Estatuto da Micro e Pequena pessoa jurídica)</t>
        </is>
      </c>
      <c r="N12" s="98" t="inlineStr">
        <is>
          <t>Distribuir 2,25 pontos para cada uma das questões (8): 
1.1
2.1
2.3
3.1 
3.2.1
3.2.2
3.2.3
3.3</t>
        </is>
      </c>
    </row>
    <row r="13" ht="51" customFormat="1" customHeight="1" s="94">
      <c r="B13" s="117" t="inlineStr">
        <is>
          <t>I</t>
        </is>
      </c>
      <c r="C13" s="117" t="inlineStr">
        <is>
          <t>Questão</t>
        </is>
      </c>
      <c r="D13" s="40"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E13" s="120" t="inlineStr">
        <is>
          <t>Sim, Não, Não se aplica</t>
        </is>
      </c>
      <c r="F13" s="120" t="inlineStr">
        <is>
          <t>QN2</t>
        </is>
      </c>
      <c r="G13" s="120" t="n">
        <v>15</v>
      </c>
      <c r="H13" s="2" t="inlineStr">
        <is>
          <t>Não se Aplica</t>
        </is>
      </c>
      <c r="I13" s="120" t="n"/>
      <c r="J13" s="120">
        <f>IF(H13="Sim",G13,
IF(H13="Parcialmente",G13/2,
IF(OR(H13="Não",H13="Não se aplica"),0,"")))
+IF(OR(H13="Sim",H13="Parcialmente"),Tabela1[[#This Row],[Pont. Resdist.]],0)</f>
        <v/>
      </c>
      <c r="K13" s="120" t="inlineStr">
        <is>
          <t>Ausência de documento</t>
        </is>
      </c>
      <c r="L13" s="154" t="inlineStr">
        <is>
          <t>NÃO SE APLICA (mantida da 1ª análise). Não foram apresentadas evidências de política de remuneração variável vinculada a metas de integridade. A estrutura da empresa de médio porte não contempla este mecanismo.</t>
        </is>
      </c>
      <c r="M13" s="97" t="inlineStr">
        <is>
          <t>Grupo: ESTRUTURA E ATIVIDADE ECONÔMICA
Questão: Qual o porte da pessoa jurídica?
Alternativa: Micro e Pequeno porte (de acordo com o Estatuto da Micro e Pequena pessoa jurídica)</t>
        </is>
      </c>
      <c r="N13" s="98" t="inlineStr">
        <is>
          <t>Distribuir pontos para cada uma das questões (8): 
1.1 = 1,87
2.1 = 1,88
2.3 = 1,88
3.1 = 1,88
3.2.1 = 1,87
3.2.2 = 1,87
3.2.3 = 1,87
3.3 = 1,88</t>
        </is>
      </c>
    </row>
    <row r="14" customFormat="1" s="94">
      <c r="B14" s="117" t="inlineStr">
        <is>
          <t>I</t>
        </is>
      </c>
      <c r="C14" s="117" t="inlineStr">
        <is>
          <t>Grupo</t>
        </is>
      </c>
      <c r="D14" s="118" t="inlineStr">
        <is>
          <t>2. Envolvimento da alta direção na implementação e supervisão do programa de integridade</t>
        </is>
      </c>
      <c r="E14" s="119" t="n"/>
      <c r="F14" s="119" t="n"/>
      <c r="G14" s="119" t="n"/>
      <c r="H14" s="119" t="n"/>
      <c r="I14" s="119" t="n"/>
      <c r="J14" s="119" t="n"/>
      <c r="K14" s="119" t="n"/>
      <c r="L14" s="118" t="n"/>
      <c r="M14" s="95" t="n"/>
      <c r="N14" s="96" t="n"/>
    </row>
    <row r="15" ht="83.25" customFormat="1" customHeight="1" s="94">
      <c r="B15" s="117" t="inlineStr">
        <is>
          <t>I</t>
        </is>
      </c>
      <c r="C15" s="117" t="inlineStr">
        <is>
          <t>Questão</t>
        </is>
      </c>
      <c r="D15" s="121"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E15" s="120" t="inlineStr">
        <is>
          <t>Sim, Não</t>
        </is>
      </c>
      <c r="F15" s="120" t="inlineStr">
        <is>
          <t>QN1</t>
        </is>
      </c>
      <c r="G15" s="120" t="n">
        <v>20</v>
      </c>
      <c r="H15" s="120" t="inlineStr">
        <is>
          <t>Sim</t>
        </is>
      </c>
      <c r="I15" s="120" t="n"/>
      <c r="J15" s="120">
        <f>IF(H15="Sim",G15,
IF(H15="Parcialmente",G15/2,
IF(OR(H15="Não",H15="Não se aplica"),0,"")))
+IF(OR(H15="Sim",H15="Parcialmente"),Tabela1[[#This Row],[Pont. Resdist.]],0)</f>
        <v/>
      </c>
      <c r="K15" s="120" t="inlineStr">
        <is>
          <t>Cód_Etica.pdf (Doc 12.1, ass. digital 11/08/2025); Políticas_Internas.pdf (Doc 12.5, aprovadas 13/03/2026)</t>
        </is>
      </c>
      <c r="L15" s="140" t="inlineStr">
        <is>
          <t>QUESTÃO CRÍTICA - As políticas foram aprovadas e assinadas, mas não há registros documentados de reunião deliberativa formal da alta direção aprovando o conjunto das políticas de integridade. O Código de Ética (V.01.2025) foi assinado digitalmente em 11/08/2025 e as Políticas Internas foram aprovadas em 13/03/2026. Como não há o quesito do julgamento parcial, opta-se pelo Sim.</t>
        </is>
      </c>
      <c r="M15" s="97" t="n"/>
      <c r="N15" s="98" t="n"/>
      <c r="AB15" s="161" t="n"/>
    </row>
    <row r="16" ht="53.25" customFormat="1" customHeight="1" s="94">
      <c r="B16" s="117" t="inlineStr">
        <is>
          <t>I</t>
        </is>
      </c>
      <c r="C16" s="117" t="inlineStr">
        <is>
          <t>Questão</t>
        </is>
      </c>
      <c r="D16" s="40"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E16" s="120" t="inlineStr">
        <is>
          <t>Sim, Não, Não se aplica</t>
        </is>
      </c>
      <c r="F16" s="120" t="inlineStr">
        <is>
          <t>QN2</t>
        </is>
      </c>
      <c r="G16" s="120" t="n">
        <v>15</v>
      </c>
      <c r="H16" s="120" t="inlineStr">
        <is>
          <t>Não se Aplica</t>
        </is>
      </c>
      <c r="I16" s="120" t="n"/>
      <c r="J16" s="120">
        <f>IF(H16="Sim",G16,
IF(H16="Parcialmente",G16/2,
IF(OR(H16="Não",H16="Não se aplica"),0,"")))
+IF(OR(H16="Sim",H16="Parcialmente"),Tabela1[[#This Row],[Pont. Resdist.]],0)</f>
        <v/>
      </c>
      <c r="K16" s="120" t="inlineStr">
        <is>
          <t>Doc 01 - Estatuto Social</t>
        </is>
      </c>
      <c r="L16" s="140" t="inlineStr">
        <is>
          <t>Empresa sem órgão colegiado (conselho/comitê de integridade).</t>
        </is>
      </c>
      <c r="M16" s="97" t="inlineStr">
        <is>
          <t>Grupo: ESTRUTURA E ATIVIDADE ECONÔMICA
Questão: Qual o porte da pessoa jurídica?
Alternativa: Micro e Pequeno porte (de acordo com o Estatuto da Micro e Pequena pessoa jurídica)</t>
        </is>
      </c>
      <c r="N16" s="98" t="inlineStr">
        <is>
          <t>Distribuir pontos para cada uma das questões (8): 
1.1 = 1,87
2.1 = 1,88
2.3 = 1,88
3.1 = 1,88
3.2.1 = 1,87
3.2.2 = 1,87
3.2.3 = 1,87
3.3 = 1,88</t>
        </is>
      </c>
    </row>
    <row r="17" ht="128.25" customFormat="1" customHeight="1" s="94">
      <c r="B17" s="117" t="inlineStr">
        <is>
          <t>I</t>
        </is>
      </c>
      <c r="C17" s="117" t="inlineStr">
        <is>
          <t>Questão</t>
        </is>
      </c>
      <c r="D17" s="40"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E17" s="120" t="inlineStr">
        <is>
          <t>Sim, Não, Parcialmente</t>
        </is>
      </c>
      <c r="F17" s="120" t="inlineStr">
        <is>
          <t>QN5</t>
        </is>
      </c>
      <c r="G17" s="120" t="n">
        <v>18</v>
      </c>
      <c r="H17" s="120" t="inlineStr">
        <is>
          <t>Sim</t>
        </is>
      </c>
      <c r="I17" s="120" t="n"/>
      <c r="J17" s="120">
        <f>IF(H17="Sim",G17,
IF(H17="Parcialmente",G17/2,
IF(OR(H17="Não",H17="Não se aplica"),0,"")))
+IF(OR(H17="Sim",H17="Parcialmente"),Tabela1[[#This Row],[Pont. Resdist.]],0)</f>
        <v/>
      </c>
      <c r="K17" s="140" t="inlineStr">
        <is>
          <t>1ª análise: Rel_Conformidade.pdf (Doc 12, 31/03/2026)
Documentação complementar: Procedimento de Monitoramento Contínuo do PI V.01.2026; Termo de Designação do Oficial de Compliance, 07/07/2026; Matriz de Riscos de Integridade V.01/V.02.2026 (Termo de Aprovação da Diretoria, 24/03 e 30/07/2026)</t>
        </is>
      </c>
      <c r="L17" s="140" t="inlineStr">
        <is>
          <t>ATENDIDA — superada com a documentação complementar.
• Análise inicial (resposta anterior: Parcialmente): Existe Relatório de Conformidade emitido em 31/03/2026 (Rel_Conformidade.pdf), mas não há evidências de supervisão periódica formalizada pela alta direção com reuniões ou relatórios recorrentes de acompanhamento do PI.
• Complementação (nova documentação): O Procedimento de Monitoramento Contínuo prevê relatórios trimestrais/anuais à Diretoria; o Termo de Designação garante participação do Compliance em reuniões da Diretoria; e a Matriz de Riscos foi aprovada pela Diretoria — evidenciando supervisão periódica formalizada pela alta direção.</t>
        </is>
      </c>
      <c r="M17" s="97" t="n"/>
      <c r="N17" s="98" t="n"/>
    </row>
    <row r="18" ht="25.5" customFormat="1" customHeight="1" s="94">
      <c r="B18" s="117" t="inlineStr">
        <is>
          <t>I</t>
        </is>
      </c>
      <c r="C18" s="117" t="inlineStr">
        <is>
          <t>Grupo</t>
        </is>
      </c>
      <c r="D18" s="122" t="inlineStr">
        <is>
          <t>3. Apoio visível e inequívoco da alta direção ao programa de integridade, incluindo a destinação de recursos adequados</t>
        </is>
      </c>
      <c r="E18" s="122" t="n"/>
      <c r="F18" s="122" t="n"/>
      <c r="G18" s="122" t="n"/>
      <c r="H18" s="122" t="n"/>
      <c r="I18" s="122" t="n"/>
      <c r="J18" s="122" t="n"/>
      <c r="K18" s="122" t="n"/>
      <c r="L18" s="118" t="n"/>
      <c r="M18" s="95" t="n"/>
      <c r="N18" s="96" t="n"/>
    </row>
    <row r="19" ht="114.75" customFormat="1" customHeight="1" s="94">
      <c r="B19" s="117" t="inlineStr">
        <is>
          <t>I</t>
        </is>
      </c>
      <c r="C19" s="117" t="inlineStr">
        <is>
          <t>Questão</t>
        </is>
      </c>
      <c r="D19" s="121" t="inlineStr">
        <is>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is>
      </c>
      <c r="E19" s="120" t="inlineStr">
        <is>
          <t>Sim, Não</t>
        </is>
      </c>
      <c r="F19" s="120" t="inlineStr">
        <is>
          <t>QN1</t>
        </is>
      </c>
      <c r="G19" s="120" t="n">
        <v>20</v>
      </c>
      <c r="H19" s="120" t="inlineStr">
        <is>
          <t>Sim</t>
        </is>
      </c>
      <c r="I19" s="120" t="n"/>
      <c r="J19" s="120">
        <f>IF(H19="Sim",G19,
IF(H19="Parcialmente",G19/2,
IF(OR(H19="Não",H19="Não se aplica"),0,"")))
+IF(OR(H19="Sim",H19="Parcialmente"),Tabela1[[#This Row],[Pont. Resdist.]],0)</f>
        <v/>
      </c>
      <c r="K19" s="120" t="inlineStr">
        <is>
          <t>1ª análise: Doc 12.2; Doc 12.4
Documentação complementar: E-mails da Diretoria (João Darous) a todos os colaboradores, 02 e 17/07/2026</t>
        </is>
      </c>
      <c r="L19" s="140" t="inlineStr">
        <is>
          <t>ATENDIDA — superada com a documentação complementar.
• Análise inicial (resposta anterior: Não): Não foram localizadas manifestações públicas pessoais dos membros da alta direção (João Darous) em apoio ao Programa de Integridade. As comunicações sobre integridade foram emitidas pelo Oficial de Compliance (Yuri Renan), e não diretamente pela direção.
• Complementação (nova documentação): Os e-mails de 02 e 17/07/2026, assinados pessoalmente pelo sócio-administrador João Darous e enviados a todos os colaboradores, manifestam apoio pessoal e expresso ao Programa de Integridade, suprindo a lacuna apontada.</t>
        </is>
      </c>
      <c r="M19" s="97" t="n"/>
      <c r="N19" s="98" t="n"/>
    </row>
    <row r="20" customFormat="1" s="94">
      <c r="B20" s="117" t="inlineStr">
        <is>
          <t>I</t>
        </is>
      </c>
      <c r="C20" s="117" t="inlineStr">
        <is>
          <t>Agrupadora</t>
        </is>
      </c>
      <c r="D20" s="40" t="inlineStr">
        <is>
          <t>3.2 As manifestações de apoio ao programa de integridade por membros da alta direção:</t>
        </is>
      </c>
      <c r="E20" s="120" t="n"/>
      <c r="F20" s="120" t="inlineStr">
        <is>
          <t xml:space="preserve">  </t>
        </is>
      </c>
      <c r="G20" s="120" t="inlineStr">
        <is>
          <t xml:space="preserve">  </t>
        </is>
      </c>
      <c r="H20" s="120" t="n"/>
      <c r="I20" s="120" t="n"/>
      <c r="J20" s="120" t="n"/>
      <c r="K20" s="120" t="n"/>
      <c r="L20" s="120" t="n"/>
      <c r="M20" s="97" t="n"/>
      <c r="N20" s="98" t="n"/>
    </row>
    <row r="21" ht="88.5" customFormat="1" customHeight="1" s="94">
      <c r="B21" s="117" t="inlineStr">
        <is>
          <t>I</t>
        </is>
      </c>
      <c r="C21" s="117" t="inlineStr">
        <is>
          <t>Questão</t>
        </is>
      </c>
      <c r="D21" s="40"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E21" s="120" t="inlineStr">
        <is>
          <t>Sim, Não, Parcialmente</t>
        </is>
      </c>
      <c r="F21" s="120" t="inlineStr">
        <is>
          <t>QN3</t>
        </is>
      </c>
      <c r="G21" s="120" t="n">
        <v>5</v>
      </c>
      <c r="H21" s="120" t="inlineStr">
        <is>
          <t>Parcialmente</t>
        </is>
      </c>
      <c r="I21" s="120" t="n"/>
      <c r="J21" s="120">
        <f>IF(H21="Sim",G21,
IF(H21="Parcialmente",G21/2,
IF(OR(H21="Não",H21="Não se aplica"),0,"")))
+IF(OR(H21="Sim",H21="Parcialmente"),Tabela1[[#This Row],[Pont. Resdist.]],0)</f>
        <v/>
      </c>
      <c r="K21" s="154" t="inlineStr">
        <is>
          <t>1ª análise: (sem documento)
Documentação complementar: E-mails da Diretoria (João Darous) a todos os colaboradores, 02 e 17/07/2026; Calendário de Comunicações 2026</t>
        </is>
      </c>
      <c r="L21" s="154" t="inlineStr">
        <is>
          <t>PARCIALMENTE ATENDIDA.
• Análise inicial (resposta anterior: Não): Não foram identificadas comunicações formais periódicas do Diretor-Presidente sobre integridade.
• Complementação (nova documentação): O Calendário de Comunicações 2026 e os e-mails da Diretoria evidenciam manifestações por diferentes meios; a periodicidade está prevista, mas parte das ações ainda consta como PREVISTA (execução em curso).</t>
        </is>
      </c>
      <c r="M21" s="97" t="n"/>
      <c r="N21" s="98" t="n"/>
    </row>
    <row r="22" ht="96.75" customFormat="1" customHeight="1" s="94">
      <c r="B22" s="117" t="inlineStr">
        <is>
          <t>I</t>
        </is>
      </c>
      <c r="C22" s="117" t="inlineStr">
        <is>
          <t>Questão</t>
        </is>
      </c>
      <c r="D22" s="40" t="inlineStr">
        <is>
          <t>3.2.2 expressam uma mensagem de incentivo à adoção de uma conduta ética, seguindo os ditames do programa de integridade? Se sim, demonstrar a medida em que as manifestações de apoio ao programa de integridade expressaram o compromisso com os temas.</t>
        </is>
      </c>
      <c r="E22" s="120" t="inlineStr">
        <is>
          <t>Sim, Não</t>
        </is>
      </c>
      <c r="F22" s="120" t="inlineStr">
        <is>
          <t>QN3</t>
        </is>
      </c>
      <c r="G22" s="120" t="n">
        <v>5</v>
      </c>
      <c r="H22" s="120" t="inlineStr">
        <is>
          <t>Sim</t>
        </is>
      </c>
      <c r="I22" s="120" t="n"/>
      <c r="J22" s="120">
        <f>IF(H22="Sim",G22,
IF(H22="Parcialmente",G22/2,
IF(OR(H22="Não",H22="Não se aplica"),0,"")))
+IF(OR(H22="Sim",H22="Parcialmente"),Tabela1[[#This Row],[Pont. Resdist.]],0)</f>
        <v/>
      </c>
      <c r="K22" s="154" t="inlineStr">
        <is>
          <t>1ª análise: (sem documento)
Documentação complementar: E-mails da Diretoria (João Darous) a todos os colaboradores, 02 e 17/07/2026</t>
        </is>
      </c>
      <c r="L22" s="154" t="inlineStr">
        <is>
          <t>ATENDIDA — superada com a documentação complementar.
• Análise inicial (resposta anterior: Não): Sem manifestações individuais do Diretor-Presidente sobre conduta ética ou mensagens de incentivo.
• Complementação (nova documentação): O e-mail da Diretoria expressa mensagem clara de incentivo à conduta ética e ao uso do canal de denúncias.</t>
        </is>
      </c>
      <c r="M22" s="97" t="n"/>
      <c r="N22" s="98" t="n"/>
    </row>
    <row r="23" ht="66.75" customFormat="1" customHeight="1" s="94">
      <c r="B23" s="124" t="inlineStr">
        <is>
          <t>I</t>
        </is>
      </c>
      <c r="C23" s="124" t="inlineStr">
        <is>
          <t>Questão</t>
        </is>
      </c>
      <c r="D23" s="125" t="inlineStr">
        <is>
          <t>3.2.3 expressam o compromisso da alta direção com o combate ao preconceito, à discriminação e ao assédio de qualquer natureza?  Se sim, demonstrar a medida em que as manifestações de apoio ao programa de integridade expressaram o compromisso com os temas.</t>
        </is>
      </c>
      <c r="E23" s="120" t="inlineStr">
        <is>
          <t>Sim, Não</t>
        </is>
      </c>
      <c r="F23" s="120" t="inlineStr">
        <is>
          <t>QN3</t>
        </is>
      </c>
      <c r="G23" s="120" t="n">
        <v>5</v>
      </c>
      <c r="H23" s="120" t="inlineStr">
        <is>
          <t>Sim</t>
        </is>
      </c>
      <c r="I23" s="120" t="n"/>
      <c r="J23" s="120">
        <f>IF(H23="Sim",G23,
IF(H23="Parcialmente",G23/2,
IF(OR(H23="Não",H23="Não se aplica"),0,"")))
+IF(OR(H23="Sim",H23="Parcialmente"),Tabela1[[#This Row],[Pont. Resdist.]],0)</f>
        <v/>
      </c>
      <c r="K23" s="154" t="inlineStr">
        <is>
          <t>Doc 12.4 - Email sobre assédio e canal de denúncias (26/03/2026)</t>
        </is>
      </c>
      <c r="L23" s="154" t="inlineStr">
        <is>
          <t>ATENDIDA (mantida da 1ª análise). Comunicação sobre assédio, discriminação e canal de denúncias enviada a toda a equipe (escritório e campo em grupos separados) em 26/03/2026, com cartilha institucional. Confirmada na reavaliação; a documentação complementar não a contradiz.</t>
        </is>
      </c>
      <c r="M23" s="97" t="n"/>
      <c r="N23" s="98" t="n"/>
    </row>
    <row r="24" ht="76.5" customFormat="1" customHeight="1" s="94">
      <c r="B24" s="117" t="inlineStr">
        <is>
          <t>I</t>
        </is>
      </c>
      <c r="C24" s="117" t="inlineStr">
        <is>
          <t>Questão</t>
        </is>
      </c>
      <c r="D24" s="40" t="inlineStr">
        <is>
          <t>3.3 A pessoa jurídica destina recursos em seu orçamento para a manutenção das atividades relacionadas ao programa de integridade?  Se sim, anexar documentos que comprovem a destinação de recursos para o programa de integridade.</t>
        </is>
      </c>
      <c r="E24" s="120" t="inlineStr">
        <is>
          <t>Sim, Não</t>
        </is>
      </c>
      <c r="F24" s="120" t="inlineStr">
        <is>
          <t>QN5</t>
        </is>
      </c>
      <c r="G24" s="120" t="n">
        <v>18</v>
      </c>
      <c r="H24" s="120" t="inlineStr">
        <is>
          <t>Sim</t>
        </is>
      </c>
      <c r="I24" s="120" t="n"/>
      <c r="J24" s="120">
        <f>IF(H24="Sim",G24,
IF(H24="Parcialmente",G24/2,
IF(OR(H24="Não",H24="Não se aplica"),0,"")))
+IF(OR(H24="Sim",H24="Parcialmente"),Tabela1[[#This Row],[Pont. Resdist.]],0)</f>
        <v/>
      </c>
      <c r="K24" s="154" t="inlineStr">
        <is>
          <t>Rel_Conformidade.pdf (Doc 12); Investig_Internas.pdf (Doc 12.6); Rel_Due_Diligence.pdf (Doc 12.7)</t>
        </is>
      </c>
      <c r="L24" s="154" t="inlineStr">
        <is>
          <t>ATENDIDA (mantida da 1ª análise). A empresa possui Oficial de Compliance (Yuri Renan) contratado e utiliza escritório de advocacia externo (Asseff Advogados) para conduções do Programa de Integridade, o que implica alocação de recursos financeiros. Contudo, não foi apresentado orçamento formal destinado ao PI.  Como não há o quesito do julgamento parcial, opta-se pelo Sim. Confirmada na reavaliação; a documentação complementar não a contradiz.</t>
        </is>
      </c>
      <c r="M24" s="97" t="n"/>
      <c r="N24" s="98" t="n"/>
    </row>
    <row r="25" ht="31.5" customFormat="1" customHeight="1" s="138">
      <c r="B25" s="135" t="inlineStr">
        <is>
          <t>II</t>
        </is>
      </c>
      <c r="C25" s="135" t="inlineStr">
        <is>
          <t>Área</t>
        </is>
      </c>
      <c r="D25" s="134" t="inlineStr">
        <is>
          <t>Área II - Instância Interna Responsável pela Aplicação do Programa de Integridade</t>
        </is>
      </c>
      <c r="E25" s="136" t="n"/>
      <c r="F25" s="136" t="n"/>
      <c r="G25" s="136" t="n"/>
      <c r="H25" s="136" t="n"/>
      <c r="I25" s="136" t="n"/>
      <c r="J25" s="136" t="n"/>
      <c r="K25" s="136" t="n"/>
      <c r="L25" s="137" t="n"/>
      <c r="M25" s="137" t="n"/>
      <c r="N25" s="136" t="n"/>
    </row>
    <row r="26" customFormat="1" s="94">
      <c r="B26" s="117" t="inlineStr">
        <is>
          <t>II</t>
        </is>
      </c>
      <c r="C26" s="117" t="inlineStr">
        <is>
          <t>Grupo</t>
        </is>
      </c>
      <c r="D26" s="122" t="inlineStr">
        <is>
          <t>4. Existência e estrutura da instância interna responsável pela aplicação do programa de integridade</t>
        </is>
      </c>
      <c r="E26" s="122" t="n"/>
      <c r="F26" s="122" t="n"/>
      <c r="G26" s="122" t="n"/>
      <c r="H26" s="122" t="n"/>
      <c r="I26" s="122" t="n"/>
      <c r="J26" s="122" t="n"/>
      <c r="K26" s="122" t="n"/>
      <c r="L26" s="118" t="n"/>
      <c r="M26" s="95" t="n"/>
      <c r="N26" s="96" t="n"/>
    </row>
    <row r="27" ht="76.5" customFormat="1" customHeight="1" s="94">
      <c r="B27" s="117" t="inlineStr">
        <is>
          <t>II</t>
        </is>
      </c>
      <c r="C27" s="117" t="inlineStr">
        <is>
          <t>Questão</t>
        </is>
      </c>
      <c r="D27" s="121"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E27" s="120" t="inlineStr">
        <is>
          <t>Sim, Não</t>
        </is>
      </c>
      <c r="F27" s="120" t="inlineStr">
        <is>
          <t>QN1</t>
        </is>
      </c>
      <c r="G27" s="120" t="n">
        <v>20</v>
      </c>
      <c r="H27" s="120" t="inlineStr">
        <is>
          <t>Sim</t>
        </is>
      </c>
      <c r="I27" s="120" t="n"/>
      <c r="J27" s="120">
        <f>IF(H27="Sim",G27,
IF(H27="Parcialmente",G27/2,
IF(OR(H27="Não",H27="Não se aplica"),0,"")))
+IF(OR(H27="Sim",H27="Parcialmente"),Tabela1[[#This Row],[Pont. Resdist.]],0)</f>
        <v/>
      </c>
      <c r="K27" s="154" t="inlineStr">
        <is>
          <t>Cód_Etica.pdf (Doc 12.1); Rel_Conformidade.pdf (Doc 12); Treinamento_Cód_Ética.pdf (Doc 12.2); Assédio.pdf (Doc 12.4)</t>
        </is>
      </c>
      <c r="L27" s="153" t="inlineStr">
        <is>
          <t>ATENDIDA (mantida da 1ª análise). QUESTÃO CRÍTICA ATENDIDA. A empresa possui Oficial de Compliance formalmente designado: Yuri Renan Procopio dos Santos Pinto Zolet (yuri.renan@jdseng.com.br). O profissional é mencionado no Código de Ética, no Relatório de Conformidade e nas comunicações internas, demonstrando atuação efetiva na função. Confirmada na reavaliação; a documentação complementar não a contradiz. Reforçada pela documentação complementar.</t>
        </is>
      </c>
      <c r="M27" s="97" t="n"/>
      <c r="N27" s="98" t="n"/>
    </row>
    <row r="28" ht="108" customFormat="1" customHeight="1" s="94">
      <c r="B28" s="117" t="inlineStr">
        <is>
          <t>II</t>
        </is>
      </c>
      <c r="C28" s="117" t="inlineStr">
        <is>
          <t>Questão</t>
        </is>
      </c>
      <c r="D28" s="40"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E28" s="120" t="inlineStr">
        <is>
          <t>Sim, Não, Parcialmente</t>
        </is>
      </c>
      <c r="F28" s="120" t="inlineStr">
        <is>
          <t>QN2</t>
        </is>
      </c>
      <c r="G28" s="120" t="n">
        <v>15</v>
      </c>
      <c r="H28" s="120" t="inlineStr">
        <is>
          <t>Sim</t>
        </is>
      </c>
      <c r="I28" s="120" t="n"/>
      <c r="J28" s="120">
        <f>IF(H28="Sim",G28,
IF(H28="Parcialmente",G28/2,
IF(OR(H28="Não",H28="Não se aplica"),0,"")))
+IF(OR(H28="Sim",H28="Parcialmente"),Tabela1[[#This Row],[Pont. Resdist.]],0)</f>
        <v/>
      </c>
      <c r="K28" s="154" t="inlineStr">
        <is>
          <t>1ª análise: Cód_Etica.pdf (Doc 12.1)
Documentação complementar: Termo de Designação do Oficial de Compliance, 07/07/2026</t>
        </is>
      </c>
      <c r="L28" s="153" t="inlineStr">
        <is>
          <t>ATENDIDA — superada com a documentação complementar.
• Análise inicial (resposta anterior: Parcialmente): O Código de Ética menciona o Oficial de Compliance e suas atribuições gerais, mas não foi apresentado documento formal (resolução, portaria ou contrato) que constitua expressamente a instância, defina todas as suas atribuições e responsabilidades e registre a aprovação pela alta direção.
• Complementação (nova documentação): O Termo de Designação do Oficial de Compliance (07/07/2026) assegura recursos, orçamento próprio e remuneração compatível, suprindo a parcialidade anterior.</t>
        </is>
      </c>
      <c r="M28" s="97" t="n"/>
      <c r="N28" s="98" t="n"/>
    </row>
    <row r="29" ht="116.25" customFormat="1" customHeight="1" s="94">
      <c r="B29" s="117" t="inlineStr">
        <is>
          <t>II</t>
        </is>
      </c>
      <c r="C29" s="117" t="inlineStr">
        <is>
          <t>Questão</t>
        </is>
      </c>
      <c r="D29" s="40"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E29" s="120" t="inlineStr">
        <is>
          <t>Sim, Não, Não se aplica</t>
        </is>
      </c>
      <c r="F29" s="120" t="inlineStr">
        <is>
          <t>QN2</t>
        </is>
      </c>
      <c r="G29" s="120" t="n">
        <v>15</v>
      </c>
      <c r="H29" s="120" t="inlineStr">
        <is>
          <t>Sim</t>
        </is>
      </c>
      <c r="I29" s="120" t="n"/>
      <c r="J29" s="120">
        <f>IF(H29="Sim",G29,
IF(H29="Parcialmente",G29/2,
IF(OR(H29="Não",H29="Não se aplica"),0,"")))
+IF(OR(H29="Sim",H29="Parcialmente"),Tabela1[[#This Row],[Pont. Resdist.]],0)</f>
        <v/>
      </c>
      <c r="K29" s="154" t="inlineStr">
        <is>
          <t>1ª análise: Doc 12.1, item 2.5; Doc 12, item 2.1
Documentação complementar: Termo de Designação do Oficial de Compliance, 07/07/2026</t>
        </is>
      </c>
      <c r="L29" s="153" t="inlineStr">
        <is>
          <t>ATENDIDA — superada com a documentação complementar.
• Análise inicial (resposta anterior: Não): O posicionamento hierárquico é mencionado no Código, mas sem documento formal que assegure independência e linha de reporte direto à alta direção.
• Complementação (nova documentação): O Termo de Designação estabelece reporte direto à Diretoria, sem subordinação a outro departamento, conferindo independência à instância.</t>
        </is>
      </c>
      <c r="M29" s="97" t="inlineStr">
        <is>
          <t>Grupo: ESTRUTURA E ATIVIDADE ECONÔMICA
Questão: Qual o porte da pessoa jurídica?
Alternativa: Micro e Pequeno porte (de acordo com o Estatuto da Micro e Pequena pessoa jurídica)</t>
        </is>
      </c>
      <c r="N29" s="100" t="inlineStr">
        <is>
          <t>Distribuir 3,0 pontos para cada uma das questões (5): 
4.1
4.2
4.4
5.1
5.2</t>
        </is>
      </c>
      <c r="AB29" s="164" t="n"/>
    </row>
    <row r="30" ht="59.25" customFormat="1" customHeight="1" s="94">
      <c r="B30" s="117" t="inlineStr">
        <is>
          <t>II</t>
        </is>
      </c>
      <c r="C30" s="117" t="inlineStr">
        <is>
          <t>Questão</t>
        </is>
      </c>
      <c r="D30" s="40" t="inlineStr">
        <is>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is>
      </c>
      <c r="E30" s="120" t="inlineStr">
        <is>
          <t>Sim, Não</t>
        </is>
      </c>
      <c r="F30" s="120" t="inlineStr">
        <is>
          <t>QN5</t>
        </is>
      </c>
      <c r="G30" s="120" t="n">
        <v>18</v>
      </c>
      <c r="H30" s="120" t="inlineStr">
        <is>
          <t>Sim</t>
        </is>
      </c>
      <c r="I30" s="120" t="n"/>
      <c r="J30" s="120">
        <f>IF(H30="Sim",G30,
IF(H30="Parcialmente",G30/2,
IF(OR(H30="Não",H30="Não se aplica"),0,"")))
+IF(OR(H30="Sim",H30="Parcialmente"),Tabela1[[#This Row],[Pont. Resdist.]],0)</f>
        <v/>
      </c>
      <c r="K30" s="154" t="inlineStr">
        <is>
          <t>Doc 12.6; Doc 12.7</t>
        </is>
      </c>
      <c r="L30" s="153" t="inlineStr">
        <is>
          <t>ATENDIDA (mantida da 1ª análise). O Oficial de Compliance conta com suporte da assessoria jurídica externa (Asseff Advogados) para investigações e due diligence, evidenciando acesso a recursos técnicos externos. Confirmada na reavaliação; a documentação complementar não a contradiz.</t>
        </is>
      </c>
      <c r="M30" s="97" t="n"/>
      <c r="N30" s="98" t="n"/>
    </row>
    <row r="31" ht="25.5" customFormat="1" customHeight="1" s="94">
      <c r="B31" s="117" t="inlineStr">
        <is>
          <t>II</t>
        </is>
      </c>
      <c r="C31" s="117" t="inlineStr">
        <is>
          <t>Grupo</t>
        </is>
      </c>
      <c r="D31" s="122" t="inlineStr">
        <is>
          <t>5. Garantias atribuídas ao responsável pela instância interna para o exercício de suas atividades com autoridade e independência</t>
        </is>
      </c>
      <c r="E31" s="122" t="n"/>
      <c r="F31" s="122" t="n"/>
      <c r="G31" s="122" t="n"/>
      <c r="H31" s="122" t="n"/>
      <c r="I31" s="122" t="n"/>
      <c r="J31" s="122" t="n"/>
      <c r="K31" s="122" t="n"/>
      <c r="L31" s="160" t="n"/>
      <c r="M31" s="95" t="n"/>
      <c r="N31" s="96" t="n"/>
    </row>
    <row r="32" ht="116.25" customFormat="1" customHeight="1" s="94">
      <c r="B32" s="117" t="inlineStr">
        <is>
          <t>II</t>
        </is>
      </c>
      <c r="C32" s="117" t="inlineStr">
        <is>
          <t>Questão</t>
        </is>
      </c>
      <c r="D32" s="40"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E32" s="120" t="inlineStr">
        <is>
          <t>Sim, Não, Parcialmente</t>
        </is>
      </c>
      <c r="F32" s="120" t="inlineStr">
        <is>
          <t>QN2</t>
        </is>
      </c>
      <c r="G32" s="120" t="n">
        <v>15</v>
      </c>
      <c r="H32" s="120" t="inlineStr">
        <is>
          <t>Sim</t>
        </is>
      </c>
      <c r="I32" s="120" t="n"/>
      <c r="J32" s="120">
        <f>IF(H32="Sim",G32,
IF(H32="Parcialmente",G32/2,
IF(OR(H32="Não",H32="Não se aplica"),0,"")))
+IF(OR(H32="Sim",H32="Parcialmente"),Tabela1[[#This Row],[Pont. Resdist.]],0)</f>
        <v/>
      </c>
      <c r="K32" s="154" t="inlineStr">
        <is>
          <t>1ª análise: Cód_Etica.pdf (Doc 12.1)
Documentação complementar: Termo de Designação do Oficial de Compliance, 07/07/2026</t>
        </is>
      </c>
      <c r="L32" s="153" t="inlineStr">
        <is>
          <t>ATENDIDA — superada com a documentação complementar.
• Análise inicial (resposta anterior: Não): Não foram apresentadas garantias expressas de independência e autoridade para o Oficial de Compliance, como mandato, nível de reporte formal à alta direção ou livre acesso documentado a sistemas e pessoas. O Código de Ética menciona a função mas não detalha as garantias.
• Complementação (nova documentação): O Termo de Designação assegura garantias ao responsável: reporte direto, vedação de destituição/retaliação, livre acesso e participação em reuniões da Diretoria.</t>
        </is>
      </c>
      <c r="M32" s="97" t="n"/>
      <c r="N32" s="98" t="n"/>
    </row>
    <row r="33" ht="67.5" customFormat="1" customHeight="1" s="94">
      <c r="B33" s="117" t="inlineStr">
        <is>
          <t>II</t>
        </is>
      </c>
      <c r="C33" s="117" t="inlineStr">
        <is>
          <t>Questão</t>
        </is>
      </c>
      <c r="D33" s="40" t="inlineStr">
        <is>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is>
      </c>
      <c r="E33" s="120" t="inlineStr">
        <is>
          <t>Sim, Não</t>
        </is>
      </c>
      <c r="F33" s="120" t="inlineStr">
        <is>
          <t>QN4</t>
        </is>
      </c>
      <c r="G33" s="120" t="n">
        <v>25</v>
      </c>
      <c r="H33" s="120" t="inlineStr">
        <is>
          <t>Sim</t>
        </is>
      </c>
      <c r="I33" s="120" t="n"/>
      <c r="J33" s="120">
        <f>IF(H33="Sim",G33,
IF(H33="Parcialmente",G33/2,
IF(OR(H33="Não",H33="Não se aplica"),0,"")))
+IF(OR(H33="Sim",H33="Parcialmente"),Tabela1[[#This Row],[Pont. Resdist.]],0)</f>
        <v/>
      </c>
      <c r="K33" s="155" t="inlineStr">
        <is>
          <t>Doc 12.6; Doc 12.7; Doc 12.2; Doc 12.4</t>
        </is>
      </c>
      <c r="L33" s="152" t="inlineStr">
        <is>
          <t>ATENDIDA (mantida da 1ª análise). O Oficial de Compliance participou diretamente: Investigação Interna 01/2024. Evidências de due diligence (09/2025), treinamento (08/2025) e comunicações sobre assédio (03/2026) não são aqui consideradas. Confirmada na reavaliação; a documentação complementar não a contradiz.</t>
        </is>
      </c>
      <c r="M33" s="97" t="n"/>
      <c r="N33" s="98" t="n"/>
    </row>
    <row r="34" ht="15.75" customFormat="1" customHeight="1" s="138">
      <c r="B34" s="135" t="inlineStr">
        <is>
          <t>III</t>
        </is>
      </c>
      <c r="C34" s="135" t="inlineStr">
        <is>
          <t>Área</t>
        </is>
      </c>
      <c r="D34" s="134" t="inlineStr">
        <is>
          <t>Área III - Gestão de Riscos para Integridade</t>
        </is>
      </c>
      <c r="E34" s="136" t="n"/>
      <c r="F34" s="136" t="n"/>
      <c r="G34" s="136" t="n"/>
      <c r="H34" s="136" t="n"/>
      <c r="I34" s="136" t="n"/>
      <c r="J34" s="136" t="n"/>
      <c r="K34" s="136" t="n"/>
      <c r="L34" s="137" t="n"/>
      <c r="M34" s="137" t="n"/>
      <c r="N34" s="136" t="n"/>
    </row>
    <row r="35" customFormat="1" s="94">
      <c r="B35" s="117" t="inlineStr">
        <is>
          <t>III</t>
        </is>
      </c>
      <c r="C35" s="117" t="inlineStr">
        <is>
          <t>Grupo</t>
        </is>
      </c>
      <c r="D35" s="122" t="inlineStr">
        <is>
          <t>6. Gestão de riscos para integridade</t>
        </is>
      </c>
      <c r="E35" s="122" t="n"/>
      <c r="F35" s="122" t="n"/>
      <c r="G35" s="122" t="n"/>
      <c r="H35" s="122" t="n"/>
      <c r="I35" s="122" t="n"/>
      <c r="J35" s="122" t="n"/>
      <c r="K35" s="122" t="n"/>
      <c r="L35" s="118" t="n"/>
      <c r="M35" s="95" t="n"/>
      <c r="N35" s="96" t="n"/>
    </row>
    <row r="36" ht="102" customFormat="1" customHeight="1" s="94">
      <c r="B36" s="124" t="inlineStr">
        <is>
          <t>III</t>
        </is>
      </c>
      <c r="C36" s="124" t="inlineStr">
        <is>
          <t>Questão</t>
        </is>
      </c>
      <c r="D36" s="125"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E36" s="120" t="inlineStr">
        <is>
          <t>Sim, Não, Parcialmente</t>
        </is>
      </c>
      <c r="F36" s="120" t="inlineStr">
        <is>
          <t>QN2</t>
        </is>
      </c>
      <c r="G36" s="120" t="n">
        <v>15</v>
      </c>
      <c r="H36" s="120" t="inlineStr">
        <is>
          <t>Sim</t>
        </is>
      </c>
      <c r="I36" s="120" t="n"/>
      <c r="J36" s="120">
        <f>IF(H36="Sim",G36,
IF(H36="Parcialmente",G36/2,
IF(OR(H36="Não",H36="Não se aplica"),0,"")))
+IF(OR(H36="Sim",H36="Parcialmente"),Tabela1[[#This Row],[Pont. Resdist.]],0)</f>
        <v/>
      </c>
      <c r="K36" s="154" t="inlineStr">
        <is>
          <t>1ª análise: Rel_Conformidade.pdf (Doc 12) — menciona gestão de riscos sem documentar a metodologia
Documentação complementar: Matriz de Riscos de Integridade V.01/V.02.2026 (Termo de Aprovação da Diretoria, 24/03 e 30/07/2026)</t>
        </is>
      </c>
      <c r="L36" s="154" t="inlineStr">
        <is>
          <t>ATENDIDA — superada com a documentação complementar.
• Análise inicial (resposta anterior: Não): Não foi apresentada política ou metodologia formal de gestão de riscos de integridade. O Relatório de Conformidade menciona a gestão de riscos como componente do programa, mas nenhum documento específico de política ou metodologia de análise de riscos foi juntado ao dossiê.
• Complementação (nova documentação): A Matriz de Riscos de Integridade e seu Termo de Aprovação estabelecem metodologia, critérios de revisão e responsáveis, configurando planejamento formal de gestão de riscos.</t>
        </is>
      </c>
      <c r="M36" s="97" t="n"/>
      <c r="N36" s="98" t="n"/>
    </row>
    <row r="37" customFormat="1" s="94">
      <c r="B37" s="117" t="inlineStr">
        <is>
          <t>III</t>
        </is>
      </c>
      <c r="C37" s="117" t="inlineStr">
        <is>
          <t>Agrupadora</t>
        </is>
      </c>
      <c r="D37" s="40" t="inlineStr">
        <is>
          <t>6.2 A política ou planejamento que trata da gestão de riscos:</t>
        </is>
      </c>
      <c r="E37" s="120" t="n"/>
      <c r="F37" s="120" t="inlineStr">
        <is>
          <t xml:space="preserve">  </t>
        </is>
      </c>
      <c r="G37" s="120" t="inlineStr">
        <is>
          <t xml:space="preserve">  </t>
        </is>
      </c>
      <c r="H37" s="120" t="n"/>
      <c r="I37" s="120" t="n"/>
      <c r="J37" s="120" t="n"/>
      <c r="K37" s="120" t="n"/>
      <c r="L37" s="120" t="n"/>
      <c r="M37" s="97" t="n"/>
      <c r="N37" s="98" t="n"/>
    </row>
    <row r="38" ht="78" customFormat="1" customHeight="1" s="94">
      <c r="A38" s="101" t="n"/>
      <c r="B38" s="117" t="inlineStr">
        <is>
          <t>III</t>
        </is>
      </c>
      <c r="C38" s="117" t="inlineStr">
        <is>
          <t>Questão</t>
        </is>
      </c>
      <c r="D38" s="40" t="inlineStr">
        <is>
          <t>6.2.1 institui a periodicidade mínima para atualização/revisão do processo de análise de riscos? Se sim, informar o item ou página da política, metodologia ou outro documento que comprove a existência do requisito.</t>
        </is>
      </c>
      <c r="E38" s="120" t="inlineStr">
        <is>
          <t>Sim, Não</t>
        </is>
      </c>
      <c r="F38" s="120" t="inlineStr">
        <is>
          <t>QN3</t>
        </is>
      </c>
      <c r="G38" s="120" t="n">
        <v>5</v>
      </c>
      <c r="H38" s="120" t="inlineStr">
        <is>
          <t>Sim</t>
        </is>
      </c>
      <c r="I38" s="120" t="n"/>
      <c r="J38" s="120">
        <f>IF(H38="Sim",G38,
IF(H38="Parcialmente",G38/2,
IF(OR(H38="Não",H38="Não se aplica"),0,"")))
+IF(OR(H38="Sim",H38="Parcialmente"),Tabela1[[#This Row],[Pont. Resdist.]],0)</f>
        <v/>
      </c>
      <c r="K38" s="154" t="inlineStr">
        <is>
          <t>1ª análise: (sem documento)
Documentação complementar: Matriz de Riscos de Integridade V.01/V.02.2026 (Termo de Aprovação da Diretoria, 24/03 e 30/07/2026)</t>
        </is>
      </c>
      <c r="L38" s="154" t="inlineStr">
        <is>
          <t>ATENDIDA — superada com a documentação complementar.
• Análise inicial (resposta anterior: Não): Sem política formal de gestão de riscos, este quesito não é atendido.
• Complementação (nova documentação): O Termo de Aprovação define revisão anual (ou por fato relevante), com próxima revisão ordinária em março/2027.</t>
        </is>
      </c>
      <c r="M38" s="97" t="n"/>
      <c r="N38" s="98" t="n"/>
    </row>
    <row r="39" ht="89.25" customFormat="1" customHeight="1" s="94">
      <c r="B39" s="117" t="inlineStr">
        <is>
          <t>III</t>
        </is>
      </c>
      <c r="C39" s="117" t="inlineStr">
        <is>
          <t>Questão</t>
        </is>
      </c>
      <c r="D39" s="40" t="inlineStr">
        <is>
          <t>6.2.2 determina a área ou pessoa responsável pela gestão de riscos? Se sim, informar o item ou página da política, metodologia ou outro documento que comprove a existência do requisito.</t>
        </is>
      </c>
      <c r="E39" s="120" t="inlineStr">
        <is>
          <t>Sim, Não</t>
        </is>
      </c>
      <c r="F39" s="120" t="inlineStr">
        <is>
          <t>QN3</t>
        </is>
      </c>
      <c r="G39" s="120" t="n">
        <v>5</v>
      </c>
      <c r="H39" s="120" t="inlineStr">
        <is>
          <t>Sim</t>
        </is>
      </c>
      <c r="I39" s="120" t="n"/>
      <c r="J39" s="120">
        <f>IF(H39="Sim",G39,
IF(H39="Parcialmente",G39/2,
IF(OR(H39="Não",H39="Não se aplica"),0,"")))
+IF(OR(H39="Sim",H39="Parcialmente"),Tabela1[[#This Row],[Pont. Resdist.]],0)</f>
        <v/>
      </c>
      <c r="K39" s="154" t="inlineStr">
        <is>
          <t>1ª análise: (sem documento)
Documentação complementar: Matriz de Riscos de Integridade V.01/V.02.2026 (Termo de Aprovação da Diretoria, 24/03 e 30/07/2026); Termo de Designação do Oficial de Compliance, 07/07/2026</t>
        </is>
      </c>
      <c r="L39" s="154" t="inlineStr">
        <is>
          <t>ATENDIDA — superada com a documentação complementar.
• Análise inicial (resposta anterior: Não): Sem política formal de gestão de riscos, este quesito não é atendido.
• Complementação (nova documentação): A gestão de riscos é atribuída ao Oficial de Compliance, com responsáveis por risco definidos na Matriz.</t>
        </is>
      </c>
      <c r="M39" s="97" t="n"/>
      <c r="N39" s="98" t="n"/>
    </row>
    <row r="40" ht="78" customFormat="1" customHeight="1" s="94">
      <c r="B40" s="117" t="inlineStr">
        <is>
          <t>III</t>
        </is>
      </c>
      <c r="C40" s="117" t="inlineStr">
        <is>
          <t>Questão</t>
        </is>
      </c>
      <c r="D40" s="40" t="inlineStr">
        <is>
          <t>6.2.3 inclui sua revisão e aprovação pela alta direção? Se sim, informar o item ou página da política, metodologia ou outro documento que comprove a existência do requisito.</t>
        </is>
      </c>
      <c r="E40" s="120" t="inlineStr">
        <is>
          <t>Sim, Não</t>
        </is>
      </c>
      <c r="F40" s="120" t="inlineStr">
        <is>
          <t>QN3</t>
        </is>
      </c>
      <c r="G40" s="120" t="n">
        <v>5</v>
      </c>
      <c r="H40" s="120" t="inlineStr">
        <is>
          <t>Sim</t>
        </is>
      </c>
      <c r="I40" s="120" t="n"/>
      <c r="J40" s="120">
        <f>IF(H40="Sim",G40,
IF(H40="Parcialmente",G40/2,
IF(OR(H40="Não",H40="Não se aplica"),0,"")))
+IF(OR(H40="Sim",H40="Parcialmente"),Tabela1[[#This Row],[Pont. Resdist.]],0)</f>
        <v/>
      </c>
      <c r="K40" s="154" t="inlineStr">
        <is>
          <t>1ª análise: (sem documento)
Documentação complementar: Matriz de Riscos de Integridade V.01/V.02.2026 (Termo de Aprovação da Diretoria, 24/03 e 30/07/2026)</t>
        </is>
      </c>
      <c r="L40" s="154" t="inlineStr">
        <is>
          <t>ATENDIDA — superada com a documentação complementar.
• Análise inicial (resposta anterior: Não): Sem política formal de gestão de riscos, este quesito não é atendido.
• Complementação (nova documentação): A Matriz foi revisada e aprovada formalmente pela Diretoria Executiva (24/03/2026 e 30/07/2026).</t>
        </is>
      </c>
      <c r="M40" s="97" t="n"/>
      <c r="N40" s="98" t="n"/>
    </row>
    <row r="41" ht="204" customFormat="1" customHeight="1" s="94">
      <c r="B41" s="117" t="inlineStr">
        <is>
          <t>III</t>
        </is>
      </c>
      <c r="C41" s="117" t="inlineStr">
        <is>
          <t>Questão</t>
        </is>
      </c>
      <c r="D41" s="121"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E41" s="120" t="inlineStr">
        <is>
          <t>Sim, Não</t>
        </is>
      </c>
      <c r="F41" s="120" t="inlineStr">
        <is>
          <t>QN1</t>
        </is>
      </c>
      <c r="G41" s="120" t="n">
        <v>20</v>
      </c>
      <c r="H41" s="120" t="inlineStr">
        <is>
          <t>Sim</t>
        </is>
      </c>
      <c r="I41" s="120" t="n"/>
      <c r="J41" s="120">
        <f>IF(H41="Sim",G41,
IF(H41="Parcialmente",G41/2,
IF(OR(H41="Não",H41="Não se aplica"),0,"")))
+IF(OR(H41="Sim",H41="Parcialmente"),Tabela1[[#This Row],[Pont. Resdist.]],0)</f>
        <v/>
      </c>
      <c r="K41" s="154" t="inlineStr">
        <is>
          <t>1ª análise: Relatorio_Perfil.pdf (Doc 10, PGR-NR1, STARMED, 10/07/2025, folhas 132-141) — riscos OCUPACIONAIS apenas. Ausência de matriz de riscos de integridade/compliance.
Documentação complementar: Matriz de Riscos de Integridade V.01/V.02.2026 (Termo de Aprovação da Diretoria, 24/03 e 30/07/2026)</t>
        </is>
      </c>
      <c r="L41" s="154" t="inlineStr">
        <is>
          <t>ATENDIDA — superada com a documentação complementar.
• Análise inicial (resposta anterior: Não): QUESTÃO CRÍTICA — RESULTADO ELIMINATÓRIO. Não foi apresentada análise de riscos de INTEGRIDADE (corrupção e fraude). O Doc 10 (Relatorio_Perfil.pdf) contém um PGR - Programa de Gerenciamento de Riscos Ocupacionais (NR-1), elaborado pela STARMED em 10/07/2025, com matriz de riscos e inventário por GHE (riscos físicos, químicos, ergonômicos e de acidente de trabalho). Contudo, este é um documento de saúde e segurança ocupacional, obrigatório pela NR-1 do Ministério do Trabalho, que NÃO se confunde com a análise de riscos para integridade exigida pelo Decreto 12.304/2024 e pela Portaria SE/CGU nº 226/2025. A Portaria exige expressamente mapeamento de riscos 'relacionados a corrupção e fraude' — dimensão completamente ausente no PGR. A questão configura hipótese de indeferimento automático.
• Complementação (nova documentação): A Matriz de Riscos de Integridade contempla expressamente riscos de corrupção e fraude, abrangendo TI, Financeiro, Projetos, Operações e Licitações, aprovada pela alta direção no período. Supre a lacuna eliminatória.</t>
        </is>
      </c>
      <c r="M41" s="97" t="n"/>
      <c r="N41" s="98" t="n"/>
    </row>
    <row r="42" ht="101.25" customFormat="1" customHeight="1" s="94">
      <c r="B42" s="117" t="inlineStr">
        <is>
          <t>III</t>
        </is>
      </c>
      <c r="C42" s="117" t="inlineStr">
        <is>
          <t>Questão</t>
        </is>
      </c>
      <c r="D42" s="127" t="inlineStr">
        <is>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is>
      </c>
      <c r="E42" s="120" t="inlineStr">
        <is>
          <t>Sim, Não</t>
        </is>
      </c>
      <c r="F42" s="120" t="inlineStr">
        <is>
          <t>QN3</t>
        </is>
      </c>
      <c r="G42" s="120" t="n">
        <v>5</v>
      </c>
      <c r="H42" s="120" t="inlineStr">
        <is>
          <t>Sim</t>
        </is>
      </c>
      <c r="I42" s="120" t="n"/>
      <c r="J42" s="120">
        <f>IF(H42="Sim",G42,
IF(H42="Parcialmente",G42/2,
IF(OR(H42="Não",H42="Não se aplica"),0,"")))
+IF(OR(H42="Sim",H42="Parcialmente"),Tabela1[[#This Row],[Pont. Resdist.]],0)</f>
        <v/>
      </c>
      <c r="K42" s="154" t="inlineStr">
        <is>
          <t>1ª análise: (sem documento)
Documentação complementar: Matriz de Riscos de Integridade V.01/V.02.2026 (Termo de Aprovação da Diretoria, 24/03 e 30/07/2026)</t>
        </is>
      </c>
      <c r="L42" s="154" t="inlineStr">
        <is>
          <t>ATENDIDA — superada com a documentação complementar.
• Análise inicial (resposta anterior: Não): Ausência de matriz de riscos que contemple especificamente os riscos relacionados à participação em licitações e execução de contratos administrativos.
• Complementação (nova documentação): A Matriz mapeia os riscos de integridade por área/subprocesso, com evento, causa e consequência.</t>
        </is>
      </c>
      <c r="M42" s="97" t="n"/>
      <c r="N42" s="98" t="n"/>
      <c r="O42" s="94" t="inlineStr">
        <is>
          <t>Bom ponto para citar no Relatório Final</t>
        </is>
      </c>
    </row>
    <row r="43" ht="80.25" customFormat="1" customHeight="1" s="94">
      <c r="B43" s="117" t="inlineStr">
        <is>
          <t>III</t>
        </is>
      </c>
      <c r="C43" s="117" t="inlineStr">
        <is>
          <t>Questão</t>
        </is>
      </c>
      <c r="D43" s="40" t="inlineStr">
        <is>
          <t>6.3.2 A análise de riscos realizada contempla a classificação dos riscos com base em sua probabilidade e impacto?  Se sim, anexar a matriz de riscos ou documento equivalente que contenha a análise e avaliação dos riscos com base em seu impacto e probabilidade.</t>
        </is>
      </c>
      <c r="E43" s="120" t="inlineStr">
        <is>
          <t>Sim, Não</t>
        </is>
      </c>
      <c r="F43" s="120" t="inlineStr">
        <is>
          <t>QN3</t>
        </is>
      </c>
      <c r="G43" s="120" t="n">
        <v>5</v>
      </c>
      <c r="H43" s="120" t="inlineStr">
        <is>
          <t>Sim</t>
        </is>
      </c>
      <c r="I43" s="120" t="n"/>
      <c r="J43" s="120">
        <f>IF(H43="Sim",G43,
IF(H43="Parcialmente",G43/2,
IF(OR(H43="Não",H43="Não se aplica"),0,"")))
+IF(OR(H43="Sim",H43="Parcialmente"),Tabela1[[#This Row],[Pont. Resdist.]],0)</f>
        <v/>
      </c>
      <c r="K43" s="154" t="inlineStr">
        <is>
          <t>1ª análise: (sem documento)
Documentação complementar: Matriz de Riscos de Integridade V.01/V.02.2026 (Termo de Aprovação da Diretoria, 24/03 e 30/07/2026)</t>
        </is>
      </c>
      <c r="L43" s="154" t="inlineStr">
        <is>
          <t>ATENDIDA — superada com a documentação complementar.
• Análise inicial (resposta anterior: Não): Ausência de classificação de riscos por probabilidade e impacto.
• Complementação (nova documentação): A Matriz classifica os riscos por probabilidade (1–5), impacto (1–4), score e nível (Baixo a Crítico).</t>
        </is>
      </c>
      <c r="M43" s="97" t="n"/>
      <c r="N43" s="98" t="n"/>
    </row>
    <row r="44" ht="83.25" customFormat="1" customHeight="1" s="94">
      <c r="B44" s="117" t="inlineStr">
        <is>
          <t>III</t>
        </is>
      </c>
      <c r="C44" s="117" t="inlineStr">
        <is>
          <t>Questão</t>
        </is>
      </c>
      <c r="D44" s="40"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E44" s="120" t="inlineStr">
        <is>
          <t>Sim, Não, Parcialmente</t>
        </is>
      </c>
      <c r="F44" s="120" t="inlineStr">
        <is>
          <t>QN5</t>
        </is>
      </c>
      <c r="G44" s="120" t="n">
        <v>18</v>
      </c>
      <c r="H44" s="120" t="inlineStr">
        <is>
          <t>Sim</t>
        </is>
      </c>
      <c r="I44" s="120" t="n"/>
      <c r="J44" s="120">
        <f>IF(H44="Sim",G44,
IF(H44="Parcialmente",G44/2,
IF(OR(H44="Não",H44="Não se aplica"),0,"")))
+IF(OR(H44="Sim",H44="Parcialmente"),Tabela1[[#This Row],[Pont. Resdist.]],0)</f>
        <v/>
      </c>
      <c r="K44" s="154" t="inlineStr">
        <is>
          <t>1ª análise: (sem documento)
Documentação complementar: Matriz de Riscos de Integridade V.01/V.02.2026 (Termo de Aprovação da Diretoria, 24/03 e 30/07/2026)</t>
        </is>
      </c>
      <c r="L44" s="154" t="inlineStr">
        <is>
          <t>ATENDIDA — superada com a documentação complementar.
• Análise inicial (resposta anterior: Não): Ausência de medidas de mitigação documentadas com prazos e responsáveis.
• Complementação (nova documentação): A Matriz estabelece medidas mitigadoras de curto, médio e longo prazo, com responsáveis, prioridade e tipo de evidência.</t>
        </is>
      </c>
      <c r="M44" s="97" t="n"/>
      <c r="N44" s="98" t="n"/>
    </row>
    <row r="45" ht="15.75" customFormat="1" customHeight="1" s="138">
      <c r="B45" s="135" t="inlineStr">
        <is>
          <t>IV</t>
        </is>
      </c>
      <c r="C45" s="135" t="inlineStr">
        <is>
          <t>Área</t>
        </is>
      </c>
      <c r="D45" s="134" t="inlineStr">
        <is>
          <t>Área IV - Código de Ética e Conduta</t>
        </is>
      </c>
      <c r="E45" s="136" t="n"/>
      <c r="F45" s="136" t="n"/>
      <c r="G45" s="136" t="n"/>
      <c r="H45" s="136" t="n"/>
      <c r="I45" s="136" t="n"/>
      <c r="J45" s="136" t="n"/>
      <c r="K45" s="136" t="n"/>
      <c r="L45" s="137" t="n"/>
      <c r="M45" s="137" t="n"/>
      <c r="N45" s="136" t="n"/>
    </row>
    <row r="46" customFormat="1" s="94">
      <c r="B46" s="117" t="inlineStr">
        <is>
          <t>IV</t>
        </is>
      </c>
      <c r="C46" s="117" t="inlineStr">
        <is>
          <t>Grupo</t>
        </is>
      </c>
      <c r="D46" s="122" t="inlineStr">
        <is>
          <t>7. Código de Ética e Conduta</t>
        </is>
      </c>
      <c r="E46" s="122" t="n"/>
      <c r="F46" s="122" t="n"/>
      <c r="G46" s="122" t="n"/>
      <c r="H46" s="122" t="n"/>
      <c r="I46" s="122" t="n"/>
      <c r="J46" s="122" t="n"/>
      <c r="K46" s="122" t="n"/>
      <c r="L46" s="118" t="n"/>
      <c r="M46" s="95" t="n"/>
      <c r="N46" s="96" t="n"/>
    </row>
    <row r="47" ht="69" customFormat="1" customHeight="1" s="94">
      <c r="A47" s="103" t="n"/>
      <c r="B47" s="117" t="inlineStr">
        <is>
          <t>IV</t>
        </is>
      </c>
      <c r="C47" s="117" t="inlineStr">
        <is>
          <t>Questão</t>
        </is>
      </c>
      <c r="D47" s="121" t="inlineStr">
        <is>
          <t>7.1 A pessoa jurídica possui código de ética e conduta, ou documento equivalente, disponível em português? Se sim, anexar o código ou documento equivalente.</t>
        </is>
      </c>
      <c r="E47" s="120" t="inlineStr">
        <is>
          <t>Sim, Não</t>
        </is>
      </c>
      <c r="F47" s="120" t="inlineStr">
        <is>
          <t>QN1</t>
        </is>
      </c>
      <c r="G47" s="120" t="n">
        <v>20</v>
      </c>
      <c r="H47" s="120" t="inlineStr">
        <is>
          <t>Sim</t>
        </is>
      </c>
      <c r="I47" s="120" t="n"/>
      <c r="J47" s="120">
        <f>IF(H47="Sim",G47,
IF(H47="Parcialmente",G47/2,
IF(OR(H47="Não",H47="Não se aplica"),0,"")))
+IF(OR(H47="Sim",H47="Parcialmente"),Tabela1[[#This Row],[Pont. Resdist.]],0)</f>
        <v/>
      </c>
      <c r="K47" s="154" t="inlineStr">
        <is>
          <t>Doc 12.1 - Código de Ética V.01.2025</t>
        </is>
      </c>
      <c r="L47" s="154" t="inlineStr">
        <is>
          <t>ATENDIDA (mantida da 1ª análise). Código de Ética e Integridade V.01.2025, em português, com 13 páginas mais 2 anexos (Termo de Compromisso e Código de Investigações Internas). Confirmada na reavaliação; a documentação complementar não a contradiz. Reforçada pela documentação complementar.</t>
        </is>
      </c>
      <c r="M47" s="97" t="n"/>
      <c r="N47" s="98" t="n"/>
    </row>
    <row r="48" customFormat="1" s="94">
      <c r="B48" s="117" t="inlineStr">
        <is>
          <t>IV</t>
        </is>
      </c>
      <c r="C48" s="117" t="inlineStr">
        <is>
          <t>Agrupadora</t>
        </is>
      </c>
      <c r="D48" s="40" t="inlineStr">
        <is>
          <t>7.2 O código de ética e conduta ou documento equivalente:</t>
        </is>
      </c>
      <c r="E48" s="120" t="n"/>
      <c r="F48" s="120" t="inlineStr">
        <is>
          <t xml:space="preserve">  </t>
        </is>
      </c>
      <c r="G48" s="120" t="inlineStr">
        <is>
          <t xml:space="preserve">  </t>
        </is>
      </c>
      <c r="H48" s="120" t="n"/>
      <c r="I48" s="120" t="n"/>
      <c r="J48" s="120" t="n"/>
      <c r="K48" s="120" t="n"/>
      <c r="L48" s="120" t="n"/>
      <c r="M48" s="97" t="n"/>
      <c r="N48" s="98" t="n"/>
    </row>
    <row r="49" ht="38.25" customFormat="1" customHeight="1" s="94">
      <c r="B49" s="117" t="inlineStr">
        <is>
          <t>IV</t>
        </is>
      </c>
      <c r="C49" s="117" t="inlineStr">
        <is>
          <t>Questão</t>
        </is>
      </c>
      <c r="D49" s="40" t="inlineStr">
        <is>
          <t>7.2.1 foi formalmente aprovado pela alta direção da pessoa jurídica? Se sim, anexar documento ou registro que comprove a aprovação do código pela alta direção da entidade.</t>
        </is>
      </c>
      <c r="E49" s="120" t="inlineStr">
        <is>
          <t>Sim, Não</t>
        </is>
      </c>
      <c r="F49" s="120" t="inlineStr">
        <is>
          <t>QN3</t>
        </is>
      </c>
      <c r="G49" s="120" t="n">
        <v>5</v>
      </c>
      <c r="H49" s="120" t="inlineStr">
        <is>
          <t>Sim</t>
        </is>
      </c>
      <c r="I49" s="120" t="n"/>
      <c r="J49" s="120">
        <f>IF(H49="Sim",G49,
IF(H49="Parcialmente",G49/2,
IF(OR(H49="Não",H49="Não se aplica"),0,"")))
+IF(OR(H49="Sim",H49="Parcialmente"),Tabela1[[#This Row],[Pont. Resdist.]],0)</f>
        <v/>
      </c>
      <c r="K49" s="154" t="inlineStr">
        <is>
          <t>Cód_Etica.pdf (Doc 12.1 — assinatura digital 11/08/2025)</t>
        </is>
      </c>
      <c r="L49" s="154" t="inlineStr">
        <is>
          <t>ATENDIDA (mantida da 1ª análise). O Código de Ética foi assinado digitalmente em 11/08/2025, o que configura aprovação formal pela liderança da empresa. Confirmada na reavaliação; a documentação complementar não a contradiz.</t>
        </is>
      </c>
      <c r="M49" s="97" t="n"/>
      <c r="N49" s="98" t="n"/>
    </row>
    <row r="50" ht="51" customFormat="1" customHeight="1" s="94">
      <c r="B50" s="124" t="inlineStr">
        <is>
          <t>IV</t>
        </is>
      </c>
      <c r="C50" s="124" t="inlineStr">
        <is>
          <t>Questão</t>
        </is>
      </c>
      <c r="D50" s="125" t="inlineStr">
        <is>
          <t>7.2.2 inclui expressamente a ética e/ou a integridade entre os princípios ou valores da pessoa jurídica?  Se sim, indicar o dispositivo do código que atenda ao requisito.</t>
        </is>
      </c>
      <c r="E50" s="120" t="inlineStr">
        <is>
          <t>Sim, Não</t>
        </is>
      </c>
      <c r="F50" s="120" t="inlineStr">
        <is>
          <t>QN3</t>
        </is>
      </c>
      <c r="G50" s="120" t="n">
        <v>5</v>
      </c>
      <c r="H50" s="120" t="inlineStr">
        <is>
          <t>Sim</t>
        </is>
      </c>
      <c r="I50" s="120" t="n"/>
      <c r="J50" s="120">
        <f>IF(H50="Sim",G50,
IF(H50="Parcialmente",G50/2,
IF(OR(H50="Não",H50="Não se aplica"),0,"")))
+IF(OR(H50="Sim",H50="Parcialmente"),Tabela1[[#This Row],[Pont. Resdist.]],0)</f>
        <v/>
      </c>
      <c r="K50" s="154" t="inlineStr">
        <is>
          <t>Cód_Etica.pdf (Doc 12.1)</t>
        </is>
      </c>
      <c r="L50" s="154" t="inlineStr">
        <is>
          <t>ATENDIDA (mantida da 1ª análise). O Código de Ética trata explicitamente de ética e integridade como princípios norteadores da empresa, estabelecendo valores de transparência, honestidade e responsabilidade. Confirmada na reavaliação; a documentação complementar não a contradiz.</t>
        </is>
      </c>
      <c r="M50" s="97" t="n"/>
      <c r="N50" s="98" t="n"/>
    </row>
    <row r="51" ht="63.75" customFormat="1" customHeight="1" s="94">
      <c r="B51" s="117" t="inlineStr">
        <is>
          <t>IV</t>
        </is>
      </c>
      <c r="C51" s="117" t="inlineStr">
        <is>
          <t>Questão</t>
        </is>
      </c>
      <c r="D51" s="40" t="inlineStr">
        <is>
          <t>7.2.3 está alinhado com a legislação anticorrupção brasileira, contendo vedações expressas à prática de atos de corrupção e fraude e prevenção de conflito de interesses? Se sim, indicar o(s) dispositivo(s) do código que atenda(m) ao requisito.</t>
        </is>
      </c>
      <c r="E51" s="120" t="inlineStr">
        <is>
          <t>Sim, Não, Parcialmente</t>
        </is>
      </c>
      <c r="F51" s="120" t="inlineStr">
        <is>
          <t>QN3</t>
        </is>
      </c>
      <c r="G51" s="120" t="n">
        <v>5</v>
      </c>
      <c r="H51" s="120" t="inlineStr">
        <is>
          <t>Sim</t>
        </is>
      </c>
      <c r="I51" s="120" t="n"/>
      <c r="J51" s="120">
        <f>IF(H51="Sim",G51,
IF(H51="Parcialmente",G51/2,
IF(OR(H51="Não",H51="Não se aplica"),0,"")))
+IF(OR(H51="Sim",H51="Parcialmente"),Tabela1[[#This Row],[Pont. Resdist.]],0)</f>
        <v/>
      </c>
      <c r="K51" s="154" t="inlineStr">
        <is>
          <t>Cód_Etica.pdf (Doc 12.1, item 4.4.4)</t>
        </is>
      </c>
      <c r="L51" s="154" t="inlineStr">
        <is>
          <t>ATENDIDA (mantida da 1ª análise). O Código de Ética contém vedação expressa à prática de atos de corrupção em relação a agentes públicos (item 4.4.4 — política de tolerância zero à corrupção) e disposições sobre prevenção de conflito de interesses, alinhadas com a legislação anticorrupção brasileira. Confirmada na reavaliação; a documentação complementar não a contradiz.</t>
        </is>
      </c>
      <c r="M51" s="97" t="n"/>
      <c r="N51" s="98" t="n"/>
    </row>
    <row r="52" ht="51" customFormat="1" customHeight="1" s="94">
      <c r="B52" s="117" t="inlineStr">
        <is>
          <t>IV</t>
        </is>
      </c>
      <c r="C52" s="117" t="inlineStr">
        <is>
          <t>Questão</t>
        </is>
      </c>
      <c r="D52" s="40" t="inlineStr">
        <is>
          <t>7.2.4 expressa o compromisso da pessoa jurídica em combater o preconceito, a discriminação e o assédio de qualquer natureza em suas relações internas e externas?  Se sim, indicar o(s) dispositivo(s) do código que atenda(m) ao requisito.</t>
        </is>
      </c>
      <c r="E52" s="120" t="inlineStr">
        <is>
          <t>Sim, Não, Parcialmente</t>
        </is>
      </c>
      <c r="F52" s="120" t="inlineStr">
        <is>
          <t>QN3</t>
        </is>
      </c>
      <c r="G52" s="120" t="n">
        <v>5</v>
      </c>
      <c r="H52" s="120" t="inlineStr">
        <is>
          <t>Sim</t>
        </is>
      </c>
      <c r="I52" s="120" t="n"/>
      <c r="J52" s="120">
        <f>IF(H52="Sim",G52,
IF(H52="Parcialmente",G52/2,
IF(OR(H52="Não",H52="Não se aplica"),0,"")))
+IF(OR(H52="Sim",H52="Parcialmente"),Tabela1[[#This Row],[Pont. Resdist.]],0)</f>
        <v/>
      </c>
      <c r="K52" s="154" t="inlineStr">
        <is>
          <t>Cód_Etica.pdf (Doc 12.1); Assédio.pdf (Doc 12.4)</t>
        </is>
      </c>
      <c r="L52" s="154" t="inlineStr">
        <is>
          <t>ATENDIDA (mantida da 1ª análise). O Código de Ética inclui disposições sobre assédio moral e sexual, discriminação e combate a preconceitos, complementadas pela comunicação específica sobre o tema enviada em 26/03/2026. Confirmada na reavaliação; a documentação complementar não a contradiz.</t>
        </is>
      </c>
      <c r="M52" s="97" t="n"/>
      <c r="N52" s="98" t="n"/>
    </row>
    <row r="53" ht="63.75" customFormat="1" customHeight="1" s="94">
      <c r="B53" s="117" t="inlineStr">
        <is>
          <t>IV</t>
        </is>
      </c>
      <c r="C53" s="117" t="inlineStr">
        <is>
          <t>Questão</t>
        </is>
      </c>
      <c r="D53" s="40" t="inlineStr">
        <is>
          <t>7.2.5 estabelece as condutas permitidas e proibidas na pessoa jurídica?  Se sim, indicar o(s) dispositivo(s) do código que atenda(m) ao requisito.</t>
        </is>
      </c>
      <c r="E53" s="120" t="inlineStr">
        <is>
          <t>Sim, Não</t>
        </is>
      </c>
      <c r="F53" s="120" t="inlineStr">
        <is>
          <t>QN3</t>
        </is>
      </c>
      <c r="G53" s="120" t="n">
        <v>5</v>
      </c>
      <c r="H53" s="120" t="inlineStr">
        <is>
          <t>Sim</t>
        </is>
      </c>
      <c r="I53" s="120" t="n"/>
      <c r="J53" s="120">
        <f>IF(H53="Sim",G53,
IF(H53="Parcialmente",G53/2,
IF(OR(H53="Não",H53="Não se aplica"),0,"")))
+IF(OR(H53="Sim",H53="Parcialmente"),Tabela1[[#This Row],[Pont. Resdist.]],0)</f>
        <v/>
      </c>
      <c r="K53" s="154" t="inlineStr">
        <is>
          <t>Cód_Etica.pdf (Doc 12.1)</t>
        </is>
      </c>
      <c r="L53" s="154" t="inlineStr">
        <is>
          <t>ATENDIDA (mantida da 1ª análise). O Código estabelece condutas permitidas e proibidas, incluindo: política de presentes e hospitalidades (brindes acima de R$ 100 requerem aprovação do Compliance Officer; refeições com agentes públicos limitadas a R$ 250/dia), vedações de conflito de interesses e proibição de atos corruptos. Confirmada na reavaliação; a documentação complementar não a contradiz.</t>
        </is>
      </c>
      <c r="M53" s="97" t="n"/>
      <c r="N53" s="98" t="n"/>
    </row>
    <row r="54" ht="51" customFormat="1" customHeight="1" s="94">
      <c r="B54" s="117" t="inlineStr">
        <is>
          <t>IV</t>
        </is>
      </c>
      <c r="C54" s="117" t="inlineStr">
        <is>
          <t>Questão</t>
        </is>
      </c>
      <c r="D54" s="40" t="inlineStr">
        <is>
          <t>7.2.6 menciona a possibilidade de aplicação de sanções para aqueles que cometerem violações éticas/legais, inclusive para os membros da alta direção da pessoa jurídica? Se sim, indicar o(s) dispositivo(s) do código que atenda(m) ao requisito.</t>
        </is>
      </c>
      <c r="E54" s="120" t="inlineStr">
        <is>
          <t>Sim, Não, Parcialmente</t>
        </is>
      </c>
      <c r="F54" s="120" t="inlineStr">
        <is>
          <t>QN3</t>
        </is>
      </c>
      <c r="G54" s="120" t="n">
        <v>5</v>
      </c>
      <c r="H54" s="120" t="inlineStr">
        <is>
          <t>Sim</t>
        </is>
      </c>
      <c r="I54" s="120" t="n"/>
      <c r="J54" s="120">
        <f>IF(H54="Sim",G54,
IF(H54="Parcialmente",G54/2,
IF(OR(H54="Não",H54="Não se aplica"),0,"")))
+IF(OR(H54="Sim",H54="Parcialmente"),Tabela1[[#This Row],[Pont. Resdist.]],0)</f>
        <v/>
      </c>
      <c r="K54" s="154" t="inlineStr">
        <is>
          <t>Cód_Etica.pdf (Doc 12.1 — seção de sanções)</t>
        </is>
      </c>
      <c r="L54" s="154" t="inlineStr">
        <is>
          <t>ATENDIDA (mantida da 1ª análise). O Código prevê escala de sanções disciplinares: advertência formal, suspensão, demissão por justa causa (para colaboradores); rescisão contratual e ação judicial (para terceiros). Aplica-se a todos, incluindo membros da alta direção. Confirmada na reavaliação; a documentação complementar não a contradiz.</t>
        </is>
      </c>
      <c r="M54" s="97" t="n"/>
      <c r="N54" s="98" t="n"/>
    </row>
    <row r="55" ht="165.75" customFormat="1" customHeight="1" s="94">
      <c r="B55" s="117" t="inlineStr">
        <is>
          <t>IV</t>
        </is>
      </c>
      <c r="C55" s="117" t="inlineStr">
        <is>
          <t>Questão</t>
        </is>
      </c>
      <c r="D55" s="40" t="inlineStr">
        <is>
          <t>7.3 O código de ética e conduta, ou documento equivalente, encontra-se disponível na página institucional da pessoa jurídica na internet?  Se sim, informar o link e descrever o caminho, desde a página inicial da entidade, para acesso ao documento.</t>
        </is>
      </c>
      <c r="E55" s="120" t="inlineStr">
        <is>
          <t>Sim, Não</t>
        </is>
      </c>
      <c r="F55" s="120" t="inlineStr">
        <is>
          <t>QN5</t>
        </is>
      </c>
      <c r="G55" s="120" t="n">
        <v>18</v>
      </c>
      <c r="H55" s="120" t="inlineStr">
        <is>
          <t>Não</t>
        </is>
      </c>
      <c r="I55" s="120" t="n"/>
      <c r="J55" s="120">
        <f>IF(H55="Sim",G55,
IF(H55="Parcialmente",G55/2,
IF(OR(H55="Não",H55="Não se aplica"),0,"")))
+IF(OR(H55="Sim",H55="Parcialmente"),Tabela1[[#This Row],[Pont. Resdist.]],0)</f>
        <v/>
      </c>
      <c r="K55" s="154" t="inlineStr">
        <is>
          <t>1ª análise: (sem documento)
Documentação complementar: E-mails da Diretoria (João Darous) a todos os colaboradores, 02 e 17/07/2026; Procedimento de Prevenção a Ilícitos em Licitações e Contratos Administrativos V.01.2026; Procedimento de Monitoramento Contínuo do PI V.01.2026; Política de Doações e Patrocínios V.01.2026; Procedimento de Due Diligence de Terceiros V.01.2026 e Relatórios de DD 001/002/003-2026</t>
        </is>
      </c>
      <c r="L55" s="154" t="inlineStr">
        <is>
          <t>• Análise inicial (resposta anterior: Não): Não foi apresentada evidência de que o Código de Ética esteja disponível no site institucional da empresa. Os documentos submetidos mencionam apenas o e-mail interno denuncia@jdseng.com.br, sem referência a link público de acesso ao Código. Ademais o site está apresentando problemas - Status do Site: Suspeito -  quando se busca abrir outras abas.
• Complementação (nova documentação): O Código é referenciado e complementado por novos normativos e Termos de Compromisso assinados; contudo, não foi juntada evidência (print) de sua publicação/disponibilização na página institucional. 
Além disso, o site da empresa (www.jsdeng.com.br) não funcionou no dia 11/08/2026. Segue a mensagem ao tentar visitar o site  - "FortiGuard Intrusion Prevention - Access Blocked Web Page Blocked".</t>
        </is>
      </c>
      <c r="M55" s="97" t="n"/>
      <c r="N55" s="98" t="n"/>
    </row>
    <row r="56" ht="66.75" customFormat="1" customHeight="1" s="94">
      <c r="B56" s="117" t="inlineStr">
        <is>
          <t>IV</t>
        </is>
      </c>
      <c r="C56" s="117" t="inlineStr">
        <is>
          <t>Questão</t>
        </is>
      </c>
      <c r="D56" s="40" t="inlineStr">
        <is>
          <t>7.4 A pessoa jurídica possui código de ética e conduta, ou documento equivalente, aplicável a terceiros e disponível em português? Se sim, informar o link e descrever o caminho, desde a página inicial da entidade para acesso ao documento.</t>
        </is>
      </c>
      <c r="E56" s="120" t="inlineStr">
        <is>
          <t>Sim, Não</t>
        </is>
      </c>
      <c r="F56" s="120" t="inlineStr">
        <is>
          <t>QN3</t>
        </is>
      </c>
      <c r="G56" s="120" t="n">
        <v>5</v>
      </c>
      <c r="H56" s="120" t="inlineStr">
        <is>
          <t>Sim</t>
        </is>
      </c>
      <c r="I56" s="120" t="n"/>
      <c r="J56" s="120">
        <f>IF(H56="Sim",G56,
IF(H56="Parcialmente",G56/2,
IF(OR(H56="Não",H56="Não se aplica"),0,"")))
+IF(OR(H56="Sim",H56="Parcialmente"),Tabela1[[#This Row],[Pont. Resdist.]],0)</f>
        <v/>
      </c>
      <c r="K56" s="154" t="inlineStr">
        <is>
          <t>Cód_Etica.pdf (Doc 12.1); Políticas_Internas.pdf (Doc 12.5 — Anexo I)</t>
        </is>
      </c>
      <c r="L56" s="154" t="inlineStr">
        <is>
          <t>ATENDIDA (mantida da 1ª análise). O Código de Ética menciona expressamente a extensão de seus princípios a terceiros e prestadores de serviços. As Políticas Internas incluem Termo de Ciência e Compromisso (Anexo I) a ser assinado por terceiros. Confirmada na reavaliação; a documentação complementar não a contradiz.</t>
        </is>
      </c>
      <c r="M56" s="97" t="n"/>
      <c r="N56" s="98" t="n"/>
    </row>
    <row r="57" ht="88.5" customFormat="1" customHeight="1" s="94">
      <c r="B57" s="117" t="inlineStr">
        <is>
          <t>IV</t>
        </is>
      </c>
      <c r="C57" s="117" t="inlineStr">
        <is>
          <t>Questão</t>
        </is>
      </c>
      <c r="D57" s="40" t="inlineStr">
        <is>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is>
      </c>
      <c r="E57" s="120" t="inlineStr">
        <is>
          <t>Sim, Não</t>
        </is>
      </c>
      <c r="F57" s="120" t="inlineStr">
        <is>
          <t>QN5</t>
        </is>
      </c>
      <c r="G57" s="120" t="n">
        <v>18</v>
      </c>
      <c r="H57" s="120" t="inlineStr">
        <is>
          <t>Sim</t>
        </is>
      </c>
      <c r="I57" s="120" t="n"/>
      <c r="J57" s="120">
        <f>IF(H57="Sim",G57,
IF(H57="Parcialmente",G57/2,
IF(OR(H57="Não",H57="Não se aplica"),0,"")))
+IF(OR(H57="Sim",H57="Parcialmente"),Tabela1[[#This Row],[Pont. Resdist.]],0)</f>
        <v/>
      </c>
      <c r="K57" s="154" t="inlineStr">
        <is>
          <t>Termo_Compromisso.pdf (Doc 12.8)</t>
        </is>
      </c>
      <c r="L57" s="154" t="inlineStr">
        <is>
          <t>ATENDIDA (mantida da 1ª análise). Os Termos de Compromisso foram assinados por terceiros (Daniel Fernandes de Negreiros Paiva, Engenheiro Civil, CPF 036.301.044-01, em 30/03/2026), comprovando que a empresa solicita declaração expressa de conhecimento e comprometimento dos terceiros com as políticas. Confirmada na reavaliação; a documentação complementar não a contradiz.</t>
        </is>
      </c>
      <c r="M57" s="97" t="n"/>
      <c r="N57" s="98" t="n"/>
    </row>
    <row r="58" ht="31.5" customFormat="1" customHeight="1" s="138">
      <c r="B58" s="135" t="inlineStr">
        <is>
          <t>V</t>
        </is>
      </c>
      <c r="C58" s="135" t="inlineStr">
        <is>
          <t>Área</t>
        </is>
      </c>
      <c r="D58" s="134" t="inlineStr">
        <is>
          <t>Área V - Políticas e Procedimentos de Integridade e de Prevenção de Ilícitos em Licitações e Contratos Administrativos</t>
        </is>
      </c>
      <c r="E58" s="136" t="n"/>
      <c r="F58" s="136" t="n"/>
      <c r="G58" s="136" t="n"/>
      <c r="H58" s="136" t="n"/>
      <c r="I58" s="136" t="n"/>
      <c r="J58" s="136" t="n"/>
      <c r="K58" s="136" t="n"/>
      <c r="L58" s="137" t="n"/>
      <c r="M58" s="137" t="n"/>
      <c r="N58" s="136" t="n"/>
    </row>
    <row r="59" customFormat="1" s="94">
      <c r="B59" s="117" t="inlineStr">
        <is>
          <t>V</t>
        </is>
      </c>
      <c r="C59" s="117" t="inlineStr">
        <is>
          <t>Grupo</t>
        </is>
      </c>
      <c r="D59" s="122" t="inlineStr">
        <is>
          <t>8. Políticas e procedimentos de integridade</t>
        </is>
      </c>
      <c r="E59" s="122" t="n"/>
      <c r="F59" s="122" t="n"/>
      <c r="G59" s="122" t="n"/>
      <c r="H59" s="122" t="n"/>
      <c r="I59" s="122" t="n"/>
      <c r="J59" s="122" t="n"/>
      <c r="K59" s="122" t="n"/>
      <c r="L59" s="118" t="n"/>
      <c r="M59" s="95" t="n"/>
      <c r="N59" s="96" t="n"/>
    </row>
    <row r="60" customFormat="1" s="94">
      <c r="B60" s="117" t="inlineStr">
        <is>
          <t>V</t>
        </is>
      </c>
      <c r="C60" s="117" t="inlineStr">
        <is>
          <t>Agrupadora</t>
        </is>
      </c>
      <c r="D60" s="40" t="inlineStr">
        <is>
          <t>8.1 A pessoa jurídica possui políticas e procedimentos de integridade que:</t>
        </is>
      </c>
      <c r="E60" s="120" t="n"/>
      <c r="F60" s="120" t="n"/>
      <c r="G60" s="120" t="n"/>
      <c r="H60" s="120" t="n"/>
      <c r="I60" s="120" t="n"/>
      <c r="J60" s="120" t="n"/>
      <c r="K60" s="120" t="n"/>
      <c r="L60" s="120" t="n"/>
      <c r="M60" s="97" t="n"/>
      <c r="N60" s="98" t="n"/>
    </row>
    <row r="61" ht="63.75" customFormat="1" customHeight="1" s="94">
      <c r="B61" s="117" t="inlineStr">
        <is>
          <t>V</t>
        </is>
      </c>
      <c r="C61" s="117" t="inlineStr">
        <is>
          <t>Questão</t>
        </is>
      </c>
      <c r="D61" s="121" t="inlineStr">
        <is>
          <t>8.1.1 vedam expressamente a concessão de vantagens indevidas, econômicas ou não, a agentes públicos? Se sim, anexar a política ou procedimento e indicar o(s) dispositivo(s) do documento que atenda(m) ao requisito.</t>
        </is>
      </c>
      <c r="E61" s="120" t="inlineStr">
        <is>
          <t>Sim, Não</t>
        </is>
      </c>
      <c r="F61" s="120" t="inlineStr">
        <is>
          <t>QN1</t>
        </is>
      </c>
      <c r="G61" s="120" t="n">
        <v>20</v>
      </c>
      <c r="H61" s="120" t="inlineStr">
        <is>
          <t>Sim</t>
        </is>
      </c>
      <c r="I61" s="120" t="n"/>
      <c r="J61" s="120">
        <f>IF(H61="Sim",G61,
IF(H61="Parcialmente",G61/2,
IF(OR(H61="Não",H61="Não se aplica"),0,"")))
+IF(OR(H61="Sim",H61="Parcialmente"),Tabela1[[#This Row],[Pont. Resdist.]],0)</f>
        <v/>
      </c>
      <c r="K61" s="154" t="inlineStr">
        <is>
          <t>Doc 12.1, item 4.4.4; Doc 12.5, item 8.1.3.</t>
        </is>
      </c>
      <c r="L61" s="154" t="inlineStr">
        <is>
          <t>ATENDIDA (mantida da 1ª análise). Código, item 4.4.4: "O oferecimento de brindes, presentes ou qualquer vantagem indevida a funcionários públicos é expressamente vedado." Política de Despesas §8.1.3 reforça: "para agente público, observar regra restritiva: não oferecer qualquer vantagem indevida." Confirmada na reavaliação; a documentação complementar não a contradiz. Reforçada pela documentação complementar.</t>
        </is>
      </c>
      <c r="M61" s="97" t="n"/>
      <c r="N61" s="98" t="n"/>
    </row>
    <row r="62" ht="63.75" customFormat="1" customHeight="1" s="94">
      <c r="B62" s="117" t="inlineStr">
        <is>
          <t>V</t>
        </is>
      </c>
      <c r="C62" s="117" t="inlineStr">
        <is>
          <t>Questão</t>
        </is>
      </c>
      <c r="D62" s="40" t="inlineStr">
        <is>
          <t>8.1.2 tratam do oferecimento de presentes, brindes e hospitalidades (refeições, entretenimento, viagem e hospedagem) a agentes públicos? Se sim, anexar a política ou procedimento e indicar o(s) dispositivo(s) do documento que atenda(m) ao requisito.</t>
        </is>
      </c>
      <c r="E62" s="120" t="inlineStr">
        <is>
          <t>Sim, Não</t>
        </is>
      </c>
      <c r="F62" s="120" t="inlineStr">
        <is>
          <t>QN3</t>
        </is>
      </c>
      <c r="G62" s="120" t="n">
        <v>5</v>
      </c>
      <c r="H62" s="120" t="inlineStr">
        <is>
          <t>Sim</t>
        </is>
      </c>
      <c r="I62" s="120" t="n"/>
      <c r="J62" s="120">
        <f>IF(H62="Sim",G62,
IF(H62="Parcialmente",G62/2,
IF(OR(H62="Não",H62="Não se aplica"),0,"")))
+IF(OR(H62="Sim",H62="Parcialmente"),Tabela1[[#This Row],[Pont. Resdist.]],0)</f>
        <v/>
      </c>
      <c r="K62" s="156" t="inlineStr">
        <is>
          <t>Doc 12.1, item 4.2; Doc 12.5, itens 8.1 e 8.2</t>
        </is>
      </c>
      <c r="L62" s="154" t="inlineStr">
        <is>
          <t>ATENDIDA (mantida da 1ª análise). Código Ética item 4.2 e Política de Despesas, itens 8.1, 8.2 e 8.3 tratam de presentes, brindes e hospitalidades com limites quantificados: R$100 para brindes (aprovação prévia do Compliance), R$250/dia para refeições, vedação de bebidas alcoólicas. Confirmada na reavaliação; a documentação complementar não a contradiz.</t>
        </is>
      </c>
      <c r="M62" s="97" t="n"/>
      <c r="N62" s="98" t="n"/>
    </row>
    <row r="63" ht="140.25" customFormat="1" customHeight="1" s="94">
      <c r="B63" s="117" t="inlineStr">
        <is>
          <t>V</t>
        </is>
      </c>
      <c r="C63" s="117" t="inlineStr">
        <is>
          <t>Questão</t>
        </is>
      </c>
      <c r="D63" s="40"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E63" s="120" t="inlineStr">
        <is>
          <t>Sim, Não, Parcialmente</t>
        </is>
      </c>
      <c r="F63" s="120" t="inlineStr">
        <is>
          <t>QN3</t>
        </is>
      </c>
      <c r="G63" s="120" t="n">
        <v>5</v>
      </c>
      <c r="H63" s="120" t="inlineStr">
        <is>
          <t>Sim</t>
        </is>
      </c>
      <c r="I63" s="120" t="n"/>
      <c r="J63" s="120">
        <f>IF(H63="Sim",G63,
IF(H63="Parcialmente",G63/2,
IF(OR(H63="Não",H63="Não se aplica"),0,"")))
+IF(OR(H63="Sim",H63="Parcialmente"),Tabela1[[#This Row],[Pont. Resdist.]],0)</f>
        <v/>
      </c>
      <c r="K63" s="154" t="inlineStr">
        <is>
          <t>1ª análise: Doc 12.1, item 3.3.2
Documentação complementar: Procedimento de Prevenção a Ilícitos em Licitações e Contratos Administrativos V.01.2026; Procedimento de Due Diligence de Terceiros V.01.2026 e Relatórios de DD 001/002/003-2026; Matriz de Riscos de Integridade V.01/V.02.2026 (Termo de Aprovação da Diretoria, 24/03 e 30/07/2026)</t>
        </is>
      </c>
      <c r="L63" s="154" t="inlineStr">
        <is>
          <t>ATENDIDA — superada com a documentação complementar.
• Análise inicial (resposta anterior: Parcialmente): O Código item 3.3.2 exige comunicação ao Compliance sobre relações com membros da Administração Pública. Contudo, não há previsão específica sobre contratação de ex-agentes públicos ou seus familiares como colaboradores ou fornecedores.
• Complementação (nova documentação): O Procedimento de Prevenção a Ilícitos (declaração prévia de conflito ao Compliance), o Procedimento de Due Diligence e a Matriz tratam expressamente a prevenção de conflito de interesses.</t>
        </is>
      </c>
      <c r="M63" s="97" t="n"/>
      <c r="N63" s="98" t="n"/>
    </row>
    <row r="64" ht="51" customFormat="1" customHeight="1" s="94">
      <c r="B64" s="117" t="inlineStr">
        <is>
          <t>V</t>
        </is>
      </c>
      <c r="C64" s="117" t="inlineStr">
        <is>
          <t>Questão</t>
        </is>
      </c>
      <c r="D64" s="40"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E64" s="120" t="inlineStr">
        <is>
          <t>Sim, Não, Parcialmente</t>
        </is>
      </c>
      <c r="F64" s="120" t="inlineStr">
        <is>
          <t>QN3</t>
        </is>
      </c>
      <c r="G64" s="128" t="n">
        <v>5</v>
      </c>
      <c r="H64" s="120" t="inlineStr">
        <is>
          <t>Sim</t>
        </is>
      </c>
      <c r="I64" s="128" t="n"/>
      <c r="J64" s="120">
        <f>IF(H64="Sim",G64,
IF(H64="Parcialmente",G64/2,
IF(OR(H64="Não",H64="Não se aplica"),0,"")))
+IF(OR(H64="Sim",H64="Parcialmente"),Tabela1[[#This Row],[Pont. Resdist.]],0)</f>
        <v/>
      </c>
      <c r="K64" s="156" t="inlineStr">
        <is>
          <t>Doc 12.1, item 4.4.2; Doc 12.5, item 8.3.1.</t>
        </is>
      </c>
      <c r="L64" s="156" t="inlineStr">
        <is>
          <t>ATENDIDA (mantida da 1ª análise). Código §4.4.2 exige documentação de toda comunicação com agentes públicos via ata enviada ao Compliance. Política de TI §8.3.1 determina registro formal de contatos em licitações por canal oficial. Confirmada na reavaliação; a documentação complementar não a contradiz.</t>
        </is>
      </c>
      <c r="M64" s="102" t="n"/>
      <c r="N64" s="104" t="n"/>
    </row>
    <row r="65" ht="134.25" customFormat="1" customHeight="1" s="94">
      <c r="B65" s="117" t="inlineStr">
        <is>
          <t>V</t>
        </is>
      </c>
      <c r="C65" s="117" t="inlineStr">
        <is>
          <t>Questão</t>
        </is>
      </c>
      <c r="D65" s="40" t="inlineStr">
        <is>
          <t>8.1.5 tratam da realização de doação e patrocínio, ou informam claramente que a pessoa jurídica não realiza essas atividades? Se sim, anexar política/procedimento de integridade. Indicar, no campo correspondente, o artigo, item e/ou página em que há essa previsão.</t>
        </is>
      </c>
      <c r="E65" s="120" t="inlineStr">
        <is>
          <t>Sim, Não</t>
        </is>
      </c>
      <c r="F65" s="120" t="inlineStr">
        <is>
          <t>QN3</t>
        </is>
      </c>
      <c r="G65" s="120" t="n">
        <v>5</v>
      </c>
      <c r="H65" s="120" t="inlineStr">
        <is>
          <t>Sim</t>
        </is>
      </c>
      <c r="I65" s="128" t="n"/>
      <c r="J65" s="120">
        <f>IF(H65="Sim",G65,
IF(H65="Parcialmente",G65/2,
IF(OR(H65="Não",H65="Não se aplica"),0,"")))
+IF(OR(H65="Sim",H65="Parcialmente"),Tabela1[[#This Row],[Pont. Resdist.]],0)</f>
        <v/>
      </c>
      <c r="K65" s="156" t="inlineStr">
        <is>
          <t>1ª análise: Ausência de política específica
Documentação complementar: Política de Doações e Patrocínios V.01.2026</t>
        </is>
      </c>
      <c r="L65" s="156" t="inlineStr">
        <is>
          <t>ATENDIDA — superada com a documentação complementar.
• Análise inicial (resposta anterior: Não): Não foi apresentada política específica sobre realização ou vedação de doações e patrocínios. O tema não é abordado de forma estruturada nos documentos submetidos.
• Complementação (nova documentação): A Política de Doações e Patrocínios V.01.2026 disciplina o tema, com aprovação prévia, due diligence do beneficiário e vedações (partidos, agentes públicos, espécie).</t>
        </is>
      </c>
      <c r="M65" s="97" t="n"/>
      <c r="N65" s="98" t="n"/>
    </row>
    <row r="66" ht="173.25" customFormat="1" customHeight="1" s="94">
      <c r="B66" s="117" t="inlineStr">
        <is>
          <t>V</t>
        </is>
      </c>
      <c r="C66" s="117" t="inlineStr">
        <is>
          <t>Questão</t>
        </is>
      </c>
      <c r="D66" s="40"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E66" s="120" t="inlineStr">
        <is>
          <t>Sim, Não, Parcialmente</t>
        </is>
      </c>
      <c r="F66" s="120" t="inlineStr">
        <is>
          <t>QN4</t>
        </is>
      </c>
      <c r="G66" s="120" t="n">
        <v>25</v>
      </c>
      <c r="H66" s="120" t="inlineStr">
        <is>
          <t>Sim</t>
        </is>
      </c>
      <c r="I66" s="120" t="n"/>
      <c r="J66" s="120">
        <f>IF(H66="Sim",G66,
IF(H66="Parcialmente",G66/2,
IF(OR(H66="Não",H66="Não se aplica"),0,"")))
+IF(OR(H66="Sim",H66="Parcialmente"),Tabela1[[#This Row],[Pont. Resdist.]],0)</f>
        <v/>
      </c>
      <c r="K66" s="154" t="inlineStr">
        <is>
          <t>1ª análise: Doc 12.5; Doc 12.8; Doc 12 - Rel. Conformidade
Documentação complementar: Procedimento de Prevenção a Ilícitos em Licitações e Contratos Administrativos V.01.2026</t>
        </is>
      </c>
      <c r="L66" s="154" t="inlineStr">
        <is>
          <t>ATENDIDA — superada com a documentação complementar.
• Análise inicial (resposta anterior: Parcialmente): As políticas foram aprovadas em março/2026 com vigência plena a partir de 01/04/2026. Termos de Compromisso assinados em 30/03/2026. Evidências de aplicação são incipientes dado o curto período de vigência (menos de 1 mês até a data do pedido de reabilitação). Há evidências de aplicação das políticas nos últimos 12 meses: treinamento sobre Código de Ética (26/08/2025), comunicação sobre assédio (26/03/2026), condução de due diligence em terceiro (22/09/2025) e investigação interna em 2024. Contudo, a aplicação é pontual, sem demonstrar sistematização.
• Complementação (nova documentação): O Procedimento de Prevenção a Ilícitos em Licitações e Contratos estabelece regras específicas para as interações com a Administração Pública.</t>
        </is>
      </c>
      <c r="M66" s="97" t="n"/>
      <c r="N66" s="98" t="n"/>
    </row>
    <row r="67" ht="25.5" customFormat="1" customHeight="1" s="94">
      <c r="B67" s="117" t="inlineStr">
        <is>
          <t>V</t>
        </is>
      </c>
      <c r="C67" s="117" t="inlineStr">
        <is>
          <t>Grupo</t>
        </is>
      </c>
      <c r="D67" s="122" t="inlineStr">
        <is>
          <t>9. Políticas e procedimentos específicos para prevenção de ilícitos em licitações e contratos administrativos</t>
        </is>
      </c>
      <c r="E67" s="122" t="n"/>
      <c r="F67" s="122" t="n"/>
      <c r="G67" s="122" t="n"/>
      <c r="H67" s="122" t="n"/>
      <c r="I67" s="122" t="n"/>
      <c r="J67" s="122" t="n"/>
      <c r="K67" s="122" t="n"/>
      <c r="L67" s="122" t="n"/>
      <c r="M67" s="95" t="n"/>
      <c r="N67" s="96" t="n"/>
    </row>
    <row r="68" ht="202.5" customFormat="1" customHeight="1" s="94">
      <c r="B68" s="124" t="inlineStr">
        <is>
          <t>V</t>
        </is>
      </c>
      <c r="C68" s="124" t="inlineStr">
        <is>
          <t>Questão</t>
        </is>
      </c>
      <c r="D68" s="129" t="inlineStr">
        <is>
          <t>9.1. A pessoa jurídica possui políticas ou procedimentos específicos para prevenção de ilícitos em licitações e contratos administrativos? Se sim, anexar a política ou procedimentos que atenda(m) ao requisito.</t>
        </is>
      </c>
      <c r="E68" s="126" t="inlineStr">
        <is>
          <t>Sim, Não</t>
        </is>
      </c>
      <c r="F68" s="126" t="inlineStr">
        <is>
          <t>QN1</t>
        </is>
      </c>
      <c r="G68" s="126" t="n">
        <v>20</v>
      </c>
      <c r="H68" s="120" t="inlineStr">
        <is>
          <t>Sim</t>
        </is>
      </c>
      <c r="I68" s="120" t="n"/>
      <c r="J68" s="120">
        <f>IF(H68="Sim",G68,
IF(H68="Parcialmente",G68/2,
IF(OR(H68="Não",H68="Não se aplica"),0,"")))
+IF(OR(H68="Sim",H68="Parcialmente"),Tabela1[[#This Row],[Pont. Resdist.]],0)</f>
        <v/>
      </c>
      <c r="K68" s="154" t="inlineStr">
        <is>
          <t>1ª análise: Doc 12.1, item 4.4.3 (disposições genéricas); Doc 12.5, item 8 (apenas segurança de TI)
Documentação complementar: Procedimento de Prevenção a Ilícitos em Licitações e Contratos Administrativos V.01.2026</t>
        </is>
      </c>
      <c r="L68" s="154" t="inlineStr">
        <is>
          <t>ATENDIDA — superada com a documentação complementar.
• Análise inicial (resposta anterior: Não): QUESTÃO CRÍTICA ELIMINATÓRIA. Não existe política ou procedimento específico e abrangente para prevenção de ilícitos em licitações e contratos administrativos. A Política de TI §8 trata apenas de segurança informacional (credenciais, repositório), não de conduta anticorrupção.  O Código de Ética aborda o tema de forma genérica (vedação de corrupção com agentes públicos), mas não contempla o nível de especificidade exigido por esta questão crítica, que constitui quesito de indeferimento automático do pedido de reabilitação. Esta lacuna é especialmente grave pois o ilícito original ocorreu exatamente na execução de contrato administrativo.
• Complementação (nova documentação): O Procedimento de Prevenção a Ilícitos em Licitações e Contratos Administrativos V.01.2026 institui políticas/procedimentos específicos (condutas vedadas, regras operacionais, sanções) para o ambiente em que ocorreu o ilícito original. Supre a lacuna eliminatória.</t>
        </is>
      </c>
      <c r="M68" s="97" t="n"/>
      <c r="N68" s="98" t="n"/>
    </row>
    <row r="69" customFormat="1" s="94">
      <c r="B69" s="117" t="inlineStr">
        <is>
          <t>V</t>
        </is>
      </c>
      <c r="C69" s="117" t="inlineStr">
        <is>
          <t>Agrupadora</t>
        </is>
      </c>
      <c r="D69" s="40" t="inlineStr">
        <is>
          <t>9.2 As políticas ou procedimentos:</t>
        </is>
      </c>
      <c r="E69" s="120" t="n"/>
      <c r="F69" s="120" t="inlineStr">
        <is>
          <t xml:space="preserve">  </t>
        </is>
      </c>
      <c r="G69" s="120" t="inlineStr">
        <is>
          <t xml:space="preserve">  </t>
        </is>
      </c>
      <c r="H69" s="120" t="n"/>
      <c r="I69" s="120" t="n"/>
      <c r="J69" s="120" t="n"/>
      <c r="K69" s="120" t="n"/>
      <c r="L69" s="120" t="n"/>
      <c r="M69" s="97" t="n"/>
      <c r="N69" s="98" t="n"/>
    </row>
    <row r="70" ht="117" customFormat="1" customHeight="1" s="94">
      <c r="B70" s="117" t="inlineStr">
        <is>
          <t>V</t>
        </is>
      </c>
      <c r="C70" s="117" t="inlineStr">
        <is>
          <t>Questão</t>
        </is>
      </c>
      <c r="D70" s="40" t="inlineStr">
        <is>
          <t>9.2.1 estabelecem orientações sobre a conduta esperada (o que é permitido/proibido) para seus empregados e para terceiros que atuam em seu nome? Se sim, indicar o(s) dispositivo(s) da política ou procedimentos que atenda(m) ao requisito.</t>
        </is>
      </c>
      <c r="E70" s="120" t="inlineStr">
        <is>
          <t>Sim, Não, Parcialmente</t>
        </is>
      </c>
      <c r="F70" s="120" t="inlineStr">
        <is>
          <t>QN3</t>
        </is>
      </c>
      <c r="G70" s="120" t="n">
        <v>5</v>
      </c>
      <c r="H70" s="120" t="inlineStr">
        <is>
          <t>Sim</t>
        </is>
      </c>
      <c r="I70" s="120" t="n"/>
      <c r="J70" s="120">
        <f>IF(H70="Sim",G70,
IF(H70="Parcialmente",G70/2,
IF(OR(H70="Não",H70="Não se aplica"),0,"")))
+IF(OR(H70="Sim",H70="Parcialmente"),Tabela1[[#This Row],[Pont. Resdist.]],0)</f>
        <v/>
      </c>
      <c r="K70" s="154" t="inlineStr">
        <is>
          <t>1ª análise: (sem documento)
Documentação complementar: Procedimento de Prevenção a Ilícitos em Licitações e Contratos Administrativos V.01.2026</t>
        </is>
      </c>
      <c r="L70" s="154" t="inlineStr">
        <is>
          <t>ATENDIDA — superada com a documentação complementar.
• Análise inicial (resposta anterior: Não): Ausência de política específica para licitações e contratos.
• Complementação (nova documentação): O Procedimento define expressamente a conduta esperada (o que é permitido/vedado) em licitações e contratos.</t>
        </is>
      </c>
      <c r="M70" s="97" t="n"/>
      <c r="N70" s="98" t="n"/>
    </row>
    <row r="71" ht="84" customFormat="1" customHeight="1" s="94">
      <c r="B71" s="117" t="inlineStr">
        <is>
          <t>V</t>
        </is>
      </c>
      <c r="C71" s="117" t="inlineStr">
        <is>
          <t>Questão</t>
        </is>
      </c>
      <c r="D71" s="40"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E71" s="120" t="inlineStr">
        <is>
          <t>Sim, Não, Parcialmente</t>
        </is>
      </c>
      <c r="F71" s="120" t="inlineStr">
        <is>
          <t>QN3</t>
        </is>
      </c>
      <c r="G71" s="120" t="n">
        <v>5</v>
      </c>
      <c r="H71" s="120" t="inlineStr">
        <is>
          <t>Não</t>
        </is>
      </c>
      <c r="I71" s="120" t="n"/>
      <c r="J71" s="120">
        <f>IF(H71="Sim",G71,
IF(H71="Parcialmente",G71/2,
IF(OR(H71="Não",H71="Não se aplica"),0,"")))
+IF(OR(H71="Sim",H71="Parcialmente"),Tabela1[[#This Row],[Pont. Resdist.]],0)</f>
        <v/>
      </c>
      <c r="K71" s="120" t="inlineStr">
        <is>
          <t>Ausência de documento</t>
        </is>
      </c>
      <c r="L71" s="130" t="inlineStr">
        <is>
          <t>(Mantida da 1ª análise). Não foram definidos responsáveis por autorizar participação em licitações ou gerenciar contratos administrativos.</t>
        </is>
      </c>
      <c r="M71" s="97" t="n"/>
      <c r="N71" s="98" t="n"/>
    </row>
    <row r="72" ht="71.25" customFormat="1" customHeight="1" s="94">
      <c r="B72" s="117" t="inlineStr">
        <is>
          <t>V</t>
        </is>
      </c>
      <c r="C72" s="117" t="inlineStr">
        <is>
          <t>Questão</t>
        </is>
      </c>
      <c r="D72" s="40" t="inlineStr">
        <is>
          <t>9.2.3 definem a necessidade de rotação periódica dos responsáveis por interagir com os agentes públicos em licitações e contratos administrativos? Se sim, indicar o(s) dispositivo(s) da política ou procedimentos que atenda(m) ao requisito.</t>
        </is>
      </c>
      <c r="E72" s="120" t="inlineStr">
        <is>
          <t>Sim, Não</t>
        </is>
      </c>
      <c r="F72" s="126" t="inlineStr">
        <is>
          <t>QN3</t>
        </is>
      </c>
      <c r="G72" s="120" t="n">
        <v>5</v>
      </c>
      <c r="H72" s="120" t="inlineStr">
        <is>
          <t>Não</t>
        </is>
      </c>
      <c r="I72" s="120" t="n"/>
      <c r="J72" s="120">
        <f>IF(H72="Sim",G72,
IF(H72="Parcialmente",G72/2,
IF(OR(H72="Não",H72="Não se aplica"),0,"")))
+IF(OR(H72="Sim",H72="Parcialmente"),Tabela1[[#This Row],[Pont. Resdist.]],0)</f>
        <v/>
      </c>
      <c r="K72" s="120" t="inlineStr">
        <is>
          <t>Ausência de documento</t>
        </is>
      </c>
      <c r="L72" s="130" t="inlineStr">
        <is>
          <t>(Mantida da 1ª análise). Não há previsão de rotação periódica de responsáveis por interações com agentes públicos em licitações e contratos.</t>
        </is>
      </c>
      <c r="M72" s="97" t="n"/>
      <c r="N72" s="98" t="n"/>
    </row>
    <row r="73" ht="68.25" customFormat="1" customHeight="1" s="94">
      <c r="B73" s="117" t="inlineStr">
        <is>
          <t>V</t>
        </is>
      </c>
      <c r="C73" s="117" t="inlineStr">
        <is>
          <t>Questão</t>
        </is>
      </c>
      <c r="D73" s="40" t="inlineStr">
        <is>
          <t>9.2.4 orientam a relação da pessoa jurídica com seus concorrentes, a fim de evitar práticas anticoncorrenciais que possibilitem fraude em processos licitatórios? Se sim, indicar o(s) dispositivo(s) da política ou procedimentos que atenda(m) ao requisito.</t>
        </is>
      </c>
      <c r="E73" s="120" t="inlineStr">
        <is>
          <t>Sim, Não</t>
        </is>
      </c>
      <c r="F73" s="120" t="inlineStr">
        <is>
          <t>QN3</t>
        </is>
      </c>
      <c r="G73" s="120" t="n">
        <v>5</v>
      </c>
      <c r="H73" s="120" t="inlineStr">
        <is>
          <t>Não</t>
        </is>
      </c>
      <c r="I73" s="120" t="n"/>
      <c r="J73" s="120">
        <f>IF(H73="Sim",G73,
IF(H73="Parcialmente",G73/2,
IF(OR(H73="Não",H73="Não se aplica"),0,"")))
+IF(OR(H73="Sim",H73="Parcialmente"),Tabela1[[#This Row],[Pont. Resdist.]],0)</f>
        <v/>
      </c>
      <c r="K73" s="120" t="inlineStr">
        <is>
          <t>Ausência de documento</t>
        </is>
      </c>
      <c r="L73" s="130" t="inlineStr">
        <is>
          <t>(Mantida da 1ª análise). Não foram apresentadas orientações sobre a relação com concorrentes para prevenir práticas anticoncorrenciais e fraudes em licitações.</t>
        </is>
      </c>
      <c r="M73" s="97" t="n"/>
      <c r="N73" s="98" t="n"/>
    </row>
    <row r="74" ht="89.25" customFormat="1" customHeight="1" s="94">
      <c r="B74" s="117" t="inlineStr">
        <is>
          <t>V</t>
        </is>
      </c>
      <c r="C74" s="117" t="inlineStr">
        <is>
          <t>Questão</t>
        </is>
      </c>
      <c r="D74" s="40"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E74" s="120" t="inlineStr">
        <is>
          <t>Sim, Não, Parcialmente</t>
        </is>
      </c>
      <c r="F74" s="120" t="inlineStr">
        <is>
          <t>QN4</t>
        </is>
      </c>
      <c r="G74" s="120" t="n">
        <v>25</v>
      </c>
      <c r="H74" s="120" t="inlineStr">
        <is>
          <t>Parcialmente</t>
        </is>
      </c>
      <c r="I74" s="120" t="n"/>
      <c r="J74" s="120">
        <f>IF(H74="Sim",G74,
IF(H74="Parcialmente",G74/2,
IF(OR(H74="Não",H74="Não se aplica"),0,"")))
+IF(OR(H74="Sim",H74="Parcialmente"),Tabela1[[#This Row],[Pont. Resdist.]],0)</f>
        <v/>
      </c>
      <c r="K74" s="120" t="inlineStr">
        <is>
          <t>Ausência de documento</t>
        </is>
      </c>
      <c r="L74" s="158" t="inlineStr">
        <is>
          <t>PARCIALMENTE ATENDIDA.
• Análise inicial (resposta anterior: Não): Ausência de políticas específicas para licitações impede a avaliação de sua aplicação prática. Nesse ponto, deveria haver o Tipo de Resposta "Não se Aplica".
• Complementação (nova documentação): O procedimento é recente (mar/2026); há evidências iniciais de aplicação (registros de due diligence), mas a aplicação continuada nos 12 meses ainda está em consolidação.</t>
        </is>
      </c>
      <c r="M74" s="97" t="n"/>
      <c r="N74" s="98" t="n"/>
    </row>
    <row r="75" ht="31.5" customFormat="1" customHeight="1" s="138">
      <c r="B75" s="135" t="inlineStr">
        <is>
          <t>VI</t>
        </is>
      </c>
      <c r="C75" s="135" t="inlineStr">
        <is>
          <t>Área</t>
        </is>
      </c>
      <c r="D75" s="134" t="inlineStr">
        <is>
          <t>Área VI - Treinamentos e Ações de Comunicação sobre o Programa de Integridade</t>
        </is>
      </c>
      <c r="E75" s="136" t="n"/>
      <c r="F75" s="136" t="n"/>
      <c r="G75" s="136" t="n"/>
      <c r="H75" s="136" t="n"/>
      <c r="I75" s="136" t="n"/>
      <c r="J75" s="136" t="n"/>
      <c r="K75" s="136" t="n"/>
      <c r="L75" s="136" t="n"/>
      <c r="M75" s="137" t="n"/>
      <c r="N75" s="136" t="n"/>
    </row>
    <row r="76" customFormat="1" s="94">
      <c r="B76" s="117" t="inlineStr">
        <is>
          <t>VI</t>
        </is>
      </c>
      <c r="C76" s="117" t="inlineStr">
        <is>
          <t>Grupo</t>
        </is>
      </c>
      <c r="D76" s="122" t="inlineStr">
        <is>
          <t>10. Treinamentos sobre o Programa de Integridade</t>
        </is>
      </c>
      <c r="E76" s="122" t="n"/>
      <c r="F76" s="122" t="n"/>
      <c r="G76" s="122" t="n"/>
      <c r="H76" s="122" t="n"/>
      <c r="I76" s="122" t="n"/>
      <c r="J76" s="122" t="n"/>
      <c r="K76" s="122" t="n"/>
      <c r="L76" s="118" t="n"/>
      <c r="M76" s="95" t="n"/>
      <c r="N76" s="96" t="n"/>
    </row>
    <row r="77" ht="127.5" customFormat="1" customHeight="1" s="94">
      <c r="B77" s="117" t="inlineStr">
        <is>
          <t>VI</t>
        </is>
      </c>
      <c r="C77" s="117" t="inlineStr">
        <is>
          <t>Questão</t>
        </is>
      </c>
      <c r="D77" s="121"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E77" s="128" t="inlineStr">
        <is>
          <t>Sim, Não</t>
        </is>
      </c>
      <c r="F77" s="120" t="inlineStr">
        <is>
          <t>QN1</t>
        </is>
      </c>
      <c r="G77" s="120" t="n">
        <v>20</v>
      </c>
      <c r="H77" s="120" t="inlineStr">
        <is>
          <t>Sim</t>
        </is>
      </c>
      <c r="I77" s="120" t="n"/>
      <c r="J77" s="120">
        <f>IF(H77="Sim",G77,
IF(H77="Parcialmente",G77/2,
IF(OR(H77="Não",H77="Não se aplica"),0,"")))
+IF(OR(H77="Sim",H77="Parcialmente"),Tabela1[[#This Row],[Pont. Resdist.]],0)</f>
        <v/>
      </c>
      <c r="K77" s="154" t="inlineStr">
        <is>
          <t>1ª análise: Doc 12.1 item 8 (genérico); ausência de plano de treinamento
Documentação complementar: Calendário de Treinamentos 2026/2027</t>
        </is>
      </c>
      <c r="L77" s="154" t="inlineStr">
        <is>
          <t>ATENDIDA — superada com a documentação complementar.
• Análise inicial (resposta anterior: Não): QUESTÃO CRÍTICA — RESULTADO ELIMINATÓRIO. Não foi apresentado planejamento formal de treinamentos sobre integridade com cronograma, temas, públicos-alvo, responsáveis e forma de execução. O único documento apresentado é um e-mail de convocação avulso para um treinamento específico (26/08/2025), sem demonstrar que integra planejamento estruturado.
• Complementação (nova documentação): O Calendário de Treinamentos 2026/2027 traz cronograma, temas, públicos-alvo, responsável (Compliance) e forma de execução, suprindo a lacuna eliminatória de planejamento.</t>
        </is>
      </c>
      <c r="M77" s="97" t="n"/>
      <c r="N77" s="98" t="n"/>
    </row>
    <row r="78" ht="114.75" customFormat="1" customHeight="1" s="94">
      <c r="B78" s="117" t="inlineStr">
        <is>
          <t>VI</t>
        </is>
      </c>
      <c r="C78" s="117" t="inlineStr">
        <is>
          <t>Questão</t>
        </is>
      </c>
      <c r="D78" s="40"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E78" s="128" t="inlineStr">
        <is>
          <t>Sim, Não, Parcialmente</t>
        </is>
      </c>
      <c r="F78" s="120" t="inlineStr">
        <is>
          <t>QN4</t>
        </is>
      </c>
      <c r="G78" s="128" t="n">
        <v>25</v>
      </c>
      <c r="H78" s="120" t="inlineStr">
        <is>
          <t>Parcialmente</t>
        </is>
      </c>
      <c r="I78" s="128" t="n"/>
      <c r="J78" s="120">
        <f>IF(H78="Sim",G78,
IF(H78="Parcialmente",G78/2,
IF(OR(H78="Não",H78="Não se aplica"),0,"")))
+IF(OR(H78="Sim",H78="Parcialmente"),Tabela1[[#This Row],[Pont. Resdist.]],0)</f>
        <v/>
      </c>
      <c r="K78" s="156" t="inlineStr">
        <is>
          <t>1ª análise: Doc 12.2 - Email de convocação (25/08/2025); Doc 12.3 - lista de presença e quiz
Documentação complementar: Calendário de Treinamentos 2026/2027</t>
        </is>
      </c>
      <c r="L78" s="156" t="inlineStr">
        <is>
          <t>PARCIALMENTE ATENDIDA.
• Análise inicial (resposta anterior: Não): Treinamento on-line realizado em 26/08/2025, duração de ~30 min, para ~11 colaboradores do escritório (aproximadamente 18% dos 62 colaboradores). Cobertura insuficiente para ser considerado direcionado a todos os colaboradores. Além disso, trata-se de treinamento isolado e a questão fala de "treinamentos".
• Complementação (nova documentação): Há treinamento a ser realizado (ago/2025) e novos previstos; a cobertura ampliada (meta de 70%) ainda depende da execução das ações programadas para 2026/2027.</t>
        </is>
      </c>
      <c r="M78" s="102" t="n"/>
      <c r="N78" s="104" t="n"/>
    </row>
    <row r="79" ht="127.5" customFormat="1" customHeight="1" s="94">
      <c r="B79" s="124" t="inlineStr">
        <is>
          <t>VI</t>
        </is>
      </c>
      <c r="C79" s="124" t="inlineStr">
        <is>
          <t>Questão</t>
        </is>
      </c>
      <c r="D79" s="125" t="inlineStr">
        <is>
          <t>10.3 A pessoa jurídica realizou, nos últimos 12 meses, treinamento(s) direcionado(s) a públicos específicos, e, realização de diligências para contratação e supervisão de terceiros? Se sim, anexar documentos e/ou indicar, no campo correspondente, link em que seja possível visualizar os treinamentos realizados e descrever as ocasiões, temas, carga horária e público alcançado.</t>
        </is>
      </c>
      <c r="E79" s="128" t="inlineStr">
        <is>
          <t>Sim, Não, Parcialmente</t>
        </is>
      </c>
      <c r="F79" s="120" t="inlineStr">
        <is>
          <t>QN5</t>
        </is>
      </c>
      <c r="G79" s="128" t="n">
        <v>18</v>
      </c>
      <c r="H79" s="120" t="inlineStr">
        <is>
          <t>Não</t>
        </is>
      </c>
      <c r="I79" s="128" t="n"/>
      <c r="J79" s="120">
        <f>IF(H79="Sim",G79,
IF(H79="Parcialmente",G79/2,
IF(OR(H79="Não",H79="Não se aplica"),0,"")))
+IF(OR(H79="Sim",H79="Parcialmente"),Tabela1[[#This Row],[Pont. Resdist.]],0)</f>
        <v/>
      </c>
      <c r="K79" s="156" t="inlineStr">
        <is>
          <t>1ª análise: Código de Ética
Documentação complementar: Calendário de Treinamentos 2026/2027</t>
        </is>
      </c>
      <c r="L79" s="156" t="inlineStr">
        <is>
          <t xml:space="preserve">
• Análise inicial (resposta anterior: Não): Treinamento geral sobre Código de Ética (26/08/2025). Foi identificada comunicação específica sobre assédio e discriminação para equipes de campo e de escritório (26/03/2026) - não considerada neste bloco, que trata de treinamentos. Não foram identificados treinamentos específicos sobre due diligence de terceiros, contratos públicos ou supervisão de obras.
• Complementação (nova documentação): O plano prevê treinamento específico para equipes de campo (set/2026) e gestores (nov/2026), ainda como PREVISTO; execução pendente. 
Contudo não foram realizados.</t>
        </is>
      </c>
      <c r="M79" s="102" t="n"/>
      <c r="N79" s="104" t="n"/>
    </row>
    <row r="80" ht="116.25" customFormat="1" customHeight="1" s="94">
      <c r="B80" s="117" t="inlineStr">
        <is>
          <t>VI</t>
        </is>
      </c>
      <c r="C80" s="117" t="inlineStr">
        <is>
          <t>Questão</t>
        </is>
      </c>
      <c r="D80" s="127" t="inlineStr">
        <is>
          <t>10.4 Os treinamentos relacionados ao programa de integridade realizados pela pessoa jurídica nos últimos 12 meses atingiram, em média, 70% de cada um dos públicos-alvo? Se sim, anexar documentos ou informações que demonstrem o cumprimento do requisito.</t>
        </is>
      </c>
      <c r="E80" s="128" t="inlineStr">
        <is>
          <t>Sim, Não</t>
        </is>
      </c>
      <c r="F80" s="120" t="inlineStr">
        <is>
          <t>QN3</t>
        </is>
      </c>
      <c r="G80" s="128" t="n">
        <v>5</v>
      </c>
      <c r="H80" s="120" t="inlineStr">
        <is>
          <t>Não</t>
        </is>
      </c>
      <c r="I80" s="128" t="n"/>
      <c r="J80" s="120">
        <f>IF(H80="Sim",G80,
IF(H80="Parcialmente",G80/2,
IF(OR(H80="Não",H80="Não se aplica"),0,"")))
+IF(OR(H80="Sim",H80="Parcialmente"),Tabela1[[#This Row],[Pont. Resdist.]],0)</f>
        <v/>
      </c>
      <c r="K80" s="156" t="inlineStr">
        <is>
          <t>1ª análise: Doc 12.2; Doc 12.3 - lista de presença com ~11 participantes de 62 colaboradores
Documentação complementar: Calendário de Treinamentos 2026/2027</t>
        </is>
      </c>
      <c r="L80" s="156" t="inlineStr">
        <is>
          <t xml:space="preserve">
• Análise inicial (resposta anterior: Não): A cobertura do treinamento realizado foi insuficiente: ~11 colaboradores convocados para o treinamento sobre Código de Ética representam aproximadamente 18-29% do total de colaboradores (38 CLT + 24 PJ), bem abaixo da meta mínima de 70% por público-alvo.
• Complementação (nova documentação): O plano estrutura conteúdos por público; o registro de execução e efetividade dependerá da realização das ações previstas. 
Contudo não foram realizados.</t>
        </is>
      </c>
      <c r="M80" s="102" t="n"/>
      <c r="N80" s="104" t="n"/>
    </row>
    <row r="81" customFormat="1" s="94">
      <c r="B81" s="117" t="inlineStr">
        <is>
          <t>VI</t>
        </is>
      </c>
      <c r="C81" s="117" t="inlineStr">
        <is>
          <t>Grupo</t>
        </is>
      </c>
      <c r="D81" s="122" t="inlineStr">
        <is>
          <t>11. Comunicações sobre o Programa de Integridade</t>
        </is>
      </c>
      <c r="E81" s="122" t="n"/>
      <c r="F81" s="122" t="n"/>
      <c r="G81" s="122" t="n"/>
      <c r="H81" s="122" t="n"/>
      <c r="I81" s="122" t="n"/>
      <c r="J81" s="122" t="n"/>
      <c r="K81" s="122" t="n"/>
      <c r="L81" s="122" t="n"/>
      <c r="M81" s="95" t="n"/>
      <c r="N81" s="96" t="n"/>
    </row>
    <row r="82" ht="102" customFormat="1" customHeight="1" s="94">
      <c r="B82" s="117" t="inlineStr">
        <is>
          <t>VI</t>
        </is>
      </c>
      <c r="C82" s="117" t="inlineStr">
        <is>
          <t>Questão</t>
        </is>
      </c>
      <c r="D82" s="121"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E82" s="128" t="inlineStr">
        <is>
          <t>Sim, Não</t>
        </is>
      </c>
      <c r="F82" s="120" t="inlineStr">
        <is>
          <t>QN1</t>
        </is>
      </c>
      <c r="G82" s="120" t="n">
        <v>20</v>
      </c>
      <c r="H82" s="120" t="inlineStr">
        <is>
          <t>Sim</t>
        </is>
      </c>
      <c r="I82" s="120" t="n"/>
      <c r="J82" s="120">
        <f>IF(H82="Sim",G82,
IF(H82="Parcialmente",G82/2,
IF(OR(H82="Não",H82="Não se aplica"),0,"")))
+IF(OR(H82="Sim",H82="Parcialmente"),Tabela1[[#This Row],[Pont. Resdist.]],0)</f>
        <v/>
      </c>
      <c r="K82" s="154" t="inlineStr">
        <is>
          <t>1ª análise: Ausência de plano de comunicações
Documentação complementar: Calendário de Comunicações 2026</t>
        </is>
      </c>
      <c r="L82" s="153" t="inlineStr">
        <is>
          <t>ATENDIDA — superada com a documentação complementar.
• Análise inicial (resposta anterior: Não): QUESTÃO CRÍTICA — RESULTADO ELIMINATÓRIO. Não foi apresentado planejamento formal de comunicações sobre integridade com cronograma, temas, responsáveis, públicos-alvo e meios de divulgação. As comunicações identificadas são pontuais e não decorrem de um plano estruturado de comunicação.
• Complementação (nova documentação): O Calendário de Comunicações 2026 traz cronograma, temas, responsável, públicos-alvo e meios, suprindo a lacuna eliminatória de planejamento de comunicações.</t>
        </is>
      </c>
      <c r="M82" s="97" t="n"/>
      <c r="N82" s="98" t="n"/>
    </row>
    <row r="83" ht="69.75" customFormat="1" customHeight="1" s="94">
      <c r="B83" s="117" t="inlineStr">
        <is>
          <t>VI</t>
        </is>
      </c>
      <c r="C83" s="117" t="inlineStr">
        <is>
          <t>Questão</t>
        </is>
      </c>
      <c r="D83" s="40"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E83" s="120" t="inlineStr">
        <is>
          <t>Sim, Não, Parcialmente</t>
        </is>
      </c>
      <c r="F83" s="120" t="inlineStr">
        <is>
          <t>QN4</t>
        </is>
      </c>
      <c r="G83" s="120" t="n">
        <v>25</v>
      </c>
      <c r="H83" s="120" t="inlineStr">
        <is>
          <t>Sim</t>
        </is>
      </c>
      <c r="I83" s="120" t="n"/>
      <c r="J83" s="120">
        <f>IF(H83="Sim",G83,
IF(H83="Parcialmente",G83/2,
IF(OR(H83="Não",H83="Não se aplica"),0,"")))
+IF(OR(H83="Sim",H83="Parcialmente"),Tabela1[[#This Row],[Pont. Resdist.]],0)</f>
        <v/>
      </c>
      <c r="K83" s="154" t="inlineStr">
        <is>
          <t>Doc 12.2 - Email Código de Ética (25/08/2025); Doc 12.4 - Email sobre assédio (26/03/2026)</t>
        </is>
      </c>
      <c r="L83" s="153" t="inlineStr">
        <is>
          <t>ATENDIDA (mantida da 1ª análise). Foram realizadas ações de comunicação: (i) email de lançamento do Código de Ética com convocação para treinamento (25/08/2025) e (ii) email sobre assédio e canal de denúncias com cartilha institucional, enviado em grupos segmentados para escritório e campo (26/03/2026). Confirmada na reavaliação; a documentação complementar não a contradiz.</t>
        </is>
      </c>
      <c r="M83" s="97" t="n"/>
      <c r="N83" s="98" t="n"/>
    </row>
    <row r="84" ht="114.75" customFormat="1" customHeight="1" s="94">
      <c r="B84" s="117" t="inlineStr">
        <is>
          <t>VI</t>
        </is>
      </c>
      <c r="C84" s="117" t="inlineStr">
        <is>
          <t>Questão</t>
        </is>
      </c>
      <c r="D84" s="40" t="inlineStr">
        <is>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is>
      </c>
      <c r="E84" s="120" t="inlineStr">
        <is>
          <t>Sim, Não</t>
        </is>
      </c>
      <c r="F84" s="120" t="inlineStr">
        <is>
          <t>QN3</t>
        </is>
      </c>
      <c r="G84" s="120" t="n">
        <v>5</v>
      </c>
      <c r="H84" s="120" t="inlineStr">
        <is>
          <t>não</t>
        </is>
      </c>
      <c r="I84" s="120" t="n"/>
      <c r="J84" s="120">
        <f>IF(H84="Sim",G84,
IF(H84="Parcialmente",G84/2,
IF(OR(H84="Não",H84="Não se aplica"),0,"")))
+IF(OR(H84="Sim",H84="Parcialmente"),Tabela1[[#This Row],[Pont. Resdist.]],0)</f>
        <v/>
      </c>
      <c r="K84" s="154" t="inlineStr">
        <is>
          <t>1ª análise: Doc 12.2; Doc 12.4
Documentação complementar: E-mails da Diretoria (João Darous) a todos os colaboradores, 02 e 17/07/2026; Calendário de Comunicações 2026</t>
        </is>
      </c>
      <c r="L84" s="153" t="inlineStr">
        <is>
          <t>PARCIALMENTE ATENDIDA.
• Análise inicial (resposta anterior: Não): Houve apenas 2 ações de comunicação identificadas em 7 meses (agosto/2025 e março/2026). Não configura comunicação periódica e contínua.
• Complementação (nova documentação): As comunicações da Diretoria (jul/2026) alcançaram a totalidade dos colaboradores; a abrangência recorrente ao longo do ano ainda está em execução. Com apenas essas comunicações (pontuais), não se pode concluir pela continuidade, mas por um atendimento parcial. Como não há a opção do atendimento parcial nessa questão, a avaliação considerou pela negativa.</t>
        </is>
      </c>
      <c r="M84" s="97" t="n"/>
      <c r="N84" s="98" t="n"/>
    </row>
    <row r="85" ht="15.75" customFormat="1" customHeight="1" s="138">
      <c r="B85" s="135" t="inlineStr">
        <is>
          <t>VII</t>
        </is>
      </c>
      <c r="C85" s="135" t="inlineStr">
        <is>
          <t>Área</t>
        </is>
      </c>
      <c r="D85" s="134" t="inlineStr">
        <is>
          <t>Área VII - Controles Contábeis, Financeiros e Auditoria Interna</t>
        </is>
      </c>
      <c r="E85" s="136" t="n"/>
      <c r="F85" s="136" t="n"/>
      <c r="G85" s="136" t="n"/>
      <c r="H85" s="136" t="n"/>
      <c r="I85" s="136" t="n"/>
      <c r="J85" s="136" t="n"/>
      <c r="K85" s="136" t="n"/>
      <c r="L85" s="137" t="n"/>
      <c r="M85" s="137" t="n"/>
      <c r="N85" s="136" t="n"/>
    </row>
    <row r="86" customFormat="1" s="94">
      <c r="B86" s="117" t="inlineStr">
        <is>
          <t>VII</t>
        </is>
      </c>
      <c r="C86" s="117" t="inlineStr">
        <is>
          <t>Grupo</t>
        </is>
      </c>
      <c r="D86" s="122" t="inlineStr">
        <is>
          <t>12. Controles Contábeis e Financeiros</t>
        </is>
      </c>
      <c r="E86" s="122" t="n"/>
      <c r="F86" s="122" t="n"/>
      <c r="G86" s="122" t="n"/>
      <c r="H86" s="122" t="n"/>
      <c r="I86" s="122" t="n"/>
      <c r="J86" s="122" t="n"/>
      <c r="K86" s="122" t="n"/>
      <c r="L86" s="118" t="n"/>
      <c r="M86" s="95" t="n"/>
      <c r="N86" s="96" t="n"/>
    </row>
    <row r="87" ht="165.75" customFormat="1" customHeight="1" s="94">
      <c r="B87" s="117" t="inlineStr">
        <is>
          <t>VII</t>
        </is>
      </c>
      <c r="C87" s="117" t="inlineStr">
        <is>
          <t>Questão</t>
        </is>
      </c>
      <c r="D87" s="121" t="inlineStr">
        <is>
          <t>12.1 A pessoa jurídica possui procedimentos definidos para a realização dos lançamentos contábeis e financeiros? Se sim, anexar os documentos ou informações que estabeleçam os procedimentos existentes.</t>
        </is>
      </c>
      <c r="E87" s="120" t="inlineStr">
        <is>
          <t>Sim, Não</t>
        </is>
      </c>
      <c r="F87" s="120" t="inlineStr">
        <is>
          <t>QN1</t>
        </is>
      </c>
      <c r="G87" s="120" t="n">
        <v>20</v>
      </c>
      <c r="H87" s="120" t="inlineStr">
        <is>
          <t>Sim</t>
        </is>
      </c>
      <c r="I87" s="120" t="n"/>
      <c r="J87" s="120">
        <f>IF(H87="Sim",G87,
IF(H87="Parcialmente",G87/2,
IF(OR(H87="Não",H87="Não se aplica"),0,"")))
+IF(OR(H87="Sim",H87="Parcialmente"),Tabela1[[#This Row],[Pont. Resdist.]],0)</f>
        <v/>
      </c>
      <c r="K87" s="154" t="inlineStr">
        <is>
          <t>1ª análise: Doc 12.5 - Política de Despesas, itens 5, 9 e 10
Documentação complementar: Escrituração Contábil Digital (ECD/SPED) — Livro Diário Geral</t>
        </is>
      </c>
      <c r="L87" s="154" t="inlineStr">
        <is>
          <t>ATENDIDA — superada com a documentação complementar.
• Análise inicial (resposta anterior: Não): A Política de Despesas e Benefícios V.01.2026 (Doc 12.5) estabelece procedimentos financeiros para despesas, reembolsos, adiantamentos, aprovações e prestação de contas, com segregação de funções e auditoria amostral mensal. Contudo, não inclui procedimentos específicos para lançamentos contábeis, plano de contas ou reconciliações de balanço. O julgamento correto para o item seria pelo atendimento parcial, mas se optou pelo Não tendo em vista ser questão crítica.
• Complementação (nova documentação): A Escrituração Contábil Digital (ECD/SPED) — Livro Diário Geral autenticado, com plano de contas estruturado e Balanço Patrimonial — evidencia procedimentos regulares e padronizados de lançamentos contábeis e financeiros, combinada à Política de Despesas (segregação de funções e auditoria amostral). Supre a lacuna eliminatória. (Aprimoramento recomendável: manual/política contábil interna descrevendo rotinas de lançamento e conciliações.)</t>
        </is>
      </c>
      <c r="M87" s="97" t="n"/>
      <c r="N87" s="98" t="n"/>
      <c r="P87" s="105" t="n"/>
    </row>
    <row r="88" ht="80.25" customFormat="1" customHeight="1" s="94">
      <c r="B88" s="117" t="inlineStr">
        <is>
          <t>VII</t>
        </is>
      </c>
      <c r="C88" s="117" t="inlineStr">
        <is>
          <t>Questão</t>
        </is>
      </c>
      <c r="D88" s="40" t="inlineStr">
        <is>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is>
      </c>
      <c r="E88" s="120" t="inlineStr">
        <is>
          <t>Sim, Não</t>
        </is>
      </c>
      <c r="F88" s="120" t="inlineStr">
        <is>
          <t>QN3</t>
        </is>
      </c>
      <c r="G88" s="120" t="n">
        <v>5</v>
      </c>
      <c r="H88" s="120" t="inlineStr">
        <is>
          <t>Sim</t>
        </is>
      </c>
      <c r="I88" s="120" t="n"/>
      <c r="J88" s="120">
        <f>IF(H88="Sim",G88,
IF(H88="Parcialmente",G88/2,
IF(OR(H88="Não",H88="Não se aplica"),0,"")))
+IF(OR(H88="Sim",H88="Parcialmente"),Tabela1[[#This Row],[Pont. Resdist.]],0)</f>
        <v/>
      </c>
      <c r="K88" s="154" t="inlineStr">
        <is>
          <t>Doc 12.5, item 5, item 9</t>
        </is>
      </c>
      <c r="L88" s="154" t="inlineStr">
        <is>
          <t>ATENDIDA (mantida da 1ª análise). A Política de Despesas §5 define segregação clara: Financeiro (validação de documentos e controle de pagamentos), Gestor da área/obra (validação da necessidade e centro de custo), Compliance (aprovação de exceções sensíveis). §9 estabelece fluxo de aprovação para reembolsos e adiantamentos. Confirmada na reavaliação; a documentação complementar não a contradiz.</t>
        </is>
      </c>
      <c r="M88" s="97" t="n"/>
      <c r="N88" s="98" t="n"/>
      <c r="P88" s="106" t="n"/>
    </row>
    <row r="89" ht="143.25" customFormat="1" customHeight="1" s="94">
      <c r="B89" s="117" t="inlineStr">
        <is>
          <t>VII</t>
        </is>
      </c>
      <c r="C89" s="162" t="inlineStr">
        <is>
          <t>Questão</t>
        </is>
      </c>
      <c r="D89" s="40" t="inlineStr">
        <is>
          <t>12.3 A pessoa jurídica possui mecanismos e/ou "red flags" para detectar receitas e despesas fora do padrão durante o registro de lançamentos contábeis? Se sim, anexar os documentos ou informações que estabeleçam os procedimentos existentes.</t>
        </is>
      </c>
      <c r="E89" s="120" t="inlineStr">
        <is>
          <t>Sim, Não</t>
        </is>
      </c>
      <c r="F89" s="120" t="inlineStr">
        <is>
          <t>QN3</t>
        </is>
      </c>
      <c r="G89" s="120" t="n">
        <v>5</v>
      </c>
      <c r="H89" s="120" t="inlineStr">
        <is>
          <t>Não</t>
        </is>
      </c>
      <c r="I89" s="120" t="n"/>
      <c r="J89" s="120">
        <f>IF(H89="Sim",G89,
IF(H89="Parcialmente",G89/2,
IF(OR(H89="Não",H89="Não se aplica"),0,"")))
+IF(OR(H89="Sim",H89="Parcialmente"),Tabela1[[#This Row],[Pont. Resdist.]],0)</f>
        <v/>
      </c>
      <c r="K89" s="154" t="inlineStr">
        <is>
          <t>1ª análise: (sem documento)
Documentação complementar: Matriz de Riscos de Integridade V.01/V.02.2026 (Termo de Aprovação da Diretoria, 24/03 e 30/07/2026); Escrituração Contábil Digital (ECD/SPED) — Livro Diário Geral</t>
        </is>
      </c>
      <c r="L89" s="154" t="inlineStr">
        <is>
          <t xml:space="preserve">
• Análise inicial (resposta anterior: Não): Não foram apresentados mecanismos ou red flags proativos para detecção de receitas e despesas fora do padrão durante o registro de lançamentos contábeis.
• Complementação (nova documentação): A Matriz de Riscos e os controles financeiros trazem sinalizadores de risco; contudo, não há sistema formal de "red flags" contábeis descrito. O adequado seria o julgamento parcial, como não há a opção do atendimento parcial nessa questão, a avaliação considerou pela negativa.</t>
        </is>
      </c>
      <c r="M89" s="97" t="n"/>
      <c r="N89" s="98" t="n"/>
      <c r="AB89" s="164" t="n"/>
    </row>
    <row r="90" ht="170.25" customFormat="1" customHeight="1" s="94">
      <c r="B90" s="117" t="inlineStr">
        <is>
          <t>VII</t>
        </is>
      </c>
      <c r="C90" s="162" t="inlineStr">
        <is>
          <t>Questão</t>
        </is>
      </c>
      <c r="D90" s="40" t="inlineStr">
        <is>
          <t>12.4 A pessoa jurídica possui regras que exigem a verificação do cumprimento do objeto do contrato para realização do pagamento? Se sim, anexar documentos ou informações que estabeleçam os procedimentos existentes.</t>
        </is>
      </c>
      <c r="E90" s="120" t="inlineStr">
        <is>
          <t>Sim, Não</t>
        </is>
      </c>
      <c r="F90" s="120" t="inlineStr">
        <is>
          <t>QN2</t>
        </is>
      </c>
      <c r="G90" s="120" t="n">
        <v>15</v>
      </c>
      <c r="H90" s="120" t="inlineStr">
        <is>
          <t>Não</t>
        </is>
      </c>
      <c r="I90" s="120" t="n"/>
      <c r="J90" s="120">
        <f>IF(H90="Sim",G90,
IF(H90="Parcialmente",G90/2,
IF(OR(H90="Não",H90="Não se aplica"),0,"")))
+IF(OR(H90="Sim",H90="Parcialmente"),Tabela1[[#This Row],[Pont. Resdist.]],0)</f>
        <v/>
      </c>
      <c r="K90" s="154" t="inlineStr">
        <is>
          <t>1ª análise: Doc 12.5, itens 6.4.1 e 10.3
Documentação complementar: Matriz de Riscos de Integridade V.01/V.02.2026 (Termo de Aprovação da Diretoria, 24/03 e 30/07/2026)</t>
        </is>
      </c>
      <c r="L90" s="154" t="inlineStr">
        <is>
          <t xml:space="preserve">
• Análise inicial (resposta anterior: Parcialmente): A Política de Despesas, item 6.4.1, exige que despesas de obra constem do centro de custo da obra/contrato e sejam aprovadas pelo gestor. O item 10.3 prevê auditoria amostral mensal de obras remotas. Contudo, não há procedimento específico de verificação técnica do cumprimento do objeto contratual antes do pagamento de serviços.
• Complementação (nova documentação): A Matriz de Riscos (FIN-001) exige controle mínimo de prestação de contas por obra, com checklist e evidências, condicionando novos adiantamentos à prestação anterior; contudo, ainda não há procedimento específico de verificação técnica do cumprimento do objeto como condição formal de pagamento. O adequado seria o julgamento parcial, como não há a opção do atendimento parcial nessa questão, a avaliação considerou pela negativa.</t>
        </is>
      </c>
      <c r="M90" s="97" t="n"/>
      <c r="N90" s="98" t="n"/>
      <c r="P90" s="168" t="n"/>
      <c r="AB90" s="164" t="n"/>
    </row>
    <row r="91" customFormat="1" s="94">
      <c r="A91" s="108" t="n"/>
      <c r="B91" s="117" t="inlineStr">
        <is>
          <t>VII</t>
        </is>
      </c>
      <c r="C91" s="117" t="inlineStr">
        <is>
          <t>Grupo</t>
        </is>
      </c>
      <c r="D91" s="122" t="inlineStr">
        <is>
          <t>13. Auditoria Interna</t>
        </is>
      </c>
      <c r="E91" s="122" t="n"/>
      <c r="F91" s="122" t="n"/>
      <c r="G91" s="122" t="n"/>
      <c r="H91" s="122" t="n"/>
      <c r="I91" s="122" t="n"/>
      <c r="J91" s="122" t="n"/>
      <c r="K91" s="122" t="n"/>
      <c r="L91" s="122" t="n"/>
      <c r="M91" s="95" t="n"/>
      <c r="N91" s="96" t="n"/>
    </row>
    <row r="92" ht="129.75" customFormat="1" customHeight="1" s="94">
      <c r="B92" s="124" t="inlineStr">
        <is>
          <t>VII</t>
        </is>
      </c>
      <c r="C92" s="163" t="inlineStr">
        <is>
          <t>Questão</t>
        </is>
      </c>
      <c r="D92" s="125" t="inlineStr">
        <is>
          <t>13.1 A pessoa jurídica possui função de auditoria interna formalmente estabelecida, seja de forma direta ou terceirizada? Se sim, anexar o estatuto ou documento que demonstre o estabelecimento da função de auditoria interna.</t>
        </is>
      </c>
      <c r="E92" s="120" t="inlineStr">
        <is>
          <t>Sim, Não, Não se aplica</t>
        </is>
      </c>
      <c r="F92" s="120" t="inlineStr">
        <is>
          <t>QN2</t>
        </is>
      </c>
      <c r="G92" s="120" t="n">
        <v>15</v>
      </c>
      <c r="H92" s="120" t="inlineStr">
        <is>
          <t>Sim</t>
        </is>
      </c>
      <c r="I92" s="120" t="n"/>
      <c r="J92" s="120">
        <f>IF(H92="Sim",G92,
IF(H92="Parcialmente",G92/2,
IF(OR(H92="Não",H92="Não se aplica"),0,"")))
+IF(OR(H92="Sim",H92="Parcialmente"),Tabela1[[#This Row],[Pont. Resdist.]],0)</f>
        <v/>
      </c>
      <c r="K92" s="154" t="inlineStr">
        <is>
          <t>1ª análise: Doc 12.1, item 2.5.5 (previsão futura não implementada)
Documentação complementar: Procedimento de Monitoramento Contínuo do PI V.01.2026; Escrituração Contábil Digital (ECD/SPED) — Livro Diário Geral</t>
        </is>
      </c>
      <c r="L92" s="154" t="inlineStr">
        <is>
          <t xml:space="preserve">
• Análise inicial (resposta anterior: Não): Não existe função de auditoria interna formalmente estabelecida. O Código de Ética, item 2.5.5, menciona futura contratação de auditoria externa independente, mas sem evidência de implementação.
• Complementação (nova documentação): Há auditoria amostral mensal (Política de Despesas) e relatórios de conformidade trimestrais/anuais (Monitoramento); porém, não foi constituída função de auditoria interna independente formalizada. A avaliação mais adequadada para responder esse item seria o atendimento parcial. Como não há essa possibilidade, optou-se pelo Sim, pois as funções estão sendo conduzidas internamente.</t>
        </is>
      </c>
      <c r="M92" s="97" t="inlineStr">
        <is>
          <t>Grupo: ESTRUTURA E ATIVIDADE ECONÔMICA
Questão: Qual o porte da pessoa jurídica?
Alternativa: Micro e Pequeno porte (de acordo com o Estatuto da Micro e Pequena pessoa jurídica)</t>
        </is>
      </c>
      <c r="N92" s="100" t="inlineStr">
        <is>
          <t>Distribuir 3,75 pontos para cada uma das questões (4): 
12.1
12.2
12.3
12.4</t>
        </is>
      </c>
      <c r="AB92" s="164" t="n"/>
    </row>
    <row r="93" ht="40.5" customFormat="1" customHeight="1" s="94">
      <c r="B93" s="117" t="inlineStr">
        <is>
          <t>VII</t>
        </is>
      </c>
      <c r="C93" s="117" t="inlineStr">
        <is>
          <t>Questão</t>
        </is>
      </c>
      <c r="D93" s="40" t="inlineStr">
        <is>
          <t>13.2 A função de auditoria interna reporta-se diretamente à alta direção ou instância de governança da pessoa jurídica? Se sim, anexar o estatuto ou outro documento que demonstre o nível de reporte da função de auditoria interna.</t>
        </is>
      </c>
      <c r="E93" s="120" t="inlineStr">
        <is>
          <t>Sim, Não, Não se aplica</t>
        </is>
      </c>
      <c r="F93" s="120" t="inlineStr">
        <is>
          <t>QN3</t>
        </is>
      </c>
      <c r="G93" s="120" t="n">
        <v>5</v>
      </c>
      <c r="H93" s="120" t="inlineStr">
        <is>
          <t>Não se aplica</t>
        </is>
      </c>
      <c r="I93" s="120" t="n"/>
      <c r="J93" s="120">
        <f>IF(H93="Sim",G93,
IF(H93="Parcialmente",G93/2,
IF(OR(H93="Não",H93="Não se aplica"),0,"")))
+IF(OR(H93="Sim",H93="Parcialmente"),Tabela1[[#This Row],[Pont. Resdist.]],0)</f>
        <v/>
      </c>
      <c r="K93" s="154" t="inlineStr">
        <is>
          <t>—</t>
        </is>
      </c>
      <c r="L93" s="154" t="inlineStr">
        <is>
          <t>NÃO SE APLICA (mantida da 1ª análise). Não aplicável — ausência de função de auditoria interna.</t>
        </is>
      </c>
      <c r="M93" s="97" t="inlineStr">
        <is>
          <t>Grupo: ESTRUTURA E ATIVIDADE ECONÔMICA
Questão: Qual o porte da pessoa jurídica?
Alternativa: Micro e Pequeno porte (de acordo com o Estatuto da Micro e Pequena pessoa jurídica)</t>
        </is>
      </c>
      <c r="N93" s="100" t="inlineStr">
        <is>
          <t>Distribuir 1,25 pontos para cada uma das questões (4): 
12.1
12.2
12.3
12.4</t>
        </is>
      </c>
    </row>
    <row r="94" ht="40.5" customFormat="1" customHeight="1" s="94">
      <c r="B94" s="117" t="inlineStr">
        <is>
          <t>VII</t>
        </is>
      </c>
      <c r="C94" s="117" t="inlineStr">
        <is>
          <t>Questão</t>
        </is>
      </c>
      <c r="D94" s="40"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E94" s="120" t="inlineStr">
        <is>
          <t>Sim, Não, Parcialmente, Não se aplica</t>
        </is>
      </c>
      <c r="F94" s="120" t="inlineStr">
        <is>
          <t>QN3</t>
        </is>
      </c>
      <c r="G94" s="120" t="n">
        <v>5</v>
      </c>
      <c r="H94" s="120" t="inlineStr">
        <is>
          <t>Não se aplica</t>
        </is>
      </c>
      <c r="I94" s="120" t="n"/>
      <c r="J94" s="120">
        <f>IF(H94="Sim",G94,
IF(H94="Parcialmente",G94/2,
IF(OR(H94="Não",H94="Não se aplica"),0,"")))
+IF(OR(H94="Sim",H94="Parcialmente"),Tabela1[[#This Row],[Pont. Resdist.]],0)</f>
        <v/>
      </c>
      <c r="K94" s="154" t="inlineStr">
        <is>
          <t>—</t>
        </is>
      </c>
      <c r="L94" s="154" t="inlineStr">
        <is>
          <t>NÃO SE APLICA (mantida da 1ª análise). Não aplicável — ausência de função de auditoria interna.</t>
        </is>
      </c>
      <c r="M94" s="97" t="inlineStr">
        <is>
          <t>Grupo: ESTRUTURA E ATIVIDADE ECONÔMICA
Questão: Qual o porte da pessoa jurídica?
Alternativa: Micro e Pequeno porte (de acordo com o Estatuto da Micro e Pequena pessoa jurídica)</t>
        </is>
      </c>
      <c r="N94" s="100" t="inlineStr">
        <is>
          <t>Distribuir 1,25 pontos para cada uma das questões (4): 
12.1
12.2
12.3
12.4</t>
        </is>
      </c>
    </row>
    <row r="95" ht="27.75" customFormat="1" customHeight="1" s="94">
      <c r="B95" s="117" t="inlineStr">
        <is>
          <t>VII</t>
        </is>
      </c>
      <c r="C95" s="117" t="inlineStr">
        <is>
          <t>Questão</t>
        </is>
      </c>
      <c r="D95" s="40" t="inlineStr">
        <is>
          <t>13.4 São produzidos relatórios periódicos de auditoria interna? Se sim, anexar o último relatório anual de atividades da unidade de auditoria interna.</t>
        </is>
      </c>
      <c r="E95" s="120" t="inlineStr">
        <is>
          <t>Sim, Não, Não se aplica</t>
        </is>
      </c>
      <c r="F95" s="120" t="inlineStr">
        <is>
          <t>QN5</t>
        </is>
      </c>
      <c r="G95" s="120" t="n">
        <v>18</v>
      </c>
      <c r="H95" s="120" t="inlineStr">
        <is>
          <t>Não se aplica</t>
        </is>
      </c>
      <c r="I95" s="120" t="n"/>
      <c r="J95" s="120">
        <f>IF(H95="Sim",G95,
IF(H95="Parcialmente",G95/2,
IF(OR(H95="Não",H95="Não se aplica"),0,"")))
+IF(OR(H95="Sim",H95="Parcialmente"),Tabela1[[#This Row],[Pont. Resdist.]],0)</f>
        <v/>
      </c>
      <c r="K95" s="154" t="inlineStr">
        <is>
          <t>—</t>
        </is>
      </c>
      <c r="L95" s="154" t="inlineStr">
        <is>
          <t>NÃO SE APLICA (mantida da 1ª análise). Não aplicável — ausência de função de auditoria interna.</t>
        </is>
      </c>
      <c r="M95" s="97" t="inlineStr">
        <is>
          <t>Grupo: ESTRUTURA E ATIVIDADE ECONÔMICA
Questão: Qual o porte da pessoa jurídica?
Alternativa: Micro e Pequeno porte (de acordo com o Estatuto da Micro e Pequena pessoa jurídica)</t>
        </is>
      </c>
      <c r="N95" s="100" t="inlineStr">
        <is>
          <t>Distribuir 4,50 pontos para cada uma das questões (4): 
12.1
12.2
12.3
12.4</t>
        </is>
      </c>
    </row>
    <row r="96" ht="51.75" customFormat="1" customHeight="1" s="94">
      <c r="B96" s="117" t="inlineStr">
        <is>
          <t>VII</t>
        </is>
      </c>
      <c r="C96" s="117" t="inlineStr">
        <is>
          <t>Questão</t>
        </is>
      </c>
      <c r="D96" s="40"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E96" s="120" t="inlineStr">
        <is>
          <t>Sim, Não, Parcialmente, Não se aplica</t>
        </is>
      </c>
      <c r="F96" s="120" t="inlineStr">
        <is>
          <t>QN5</t>
        </is>
      </c>
      <c r="G96" s="120" t="n">
        <v>18</v>
      </c>
      <c r="H96" s="120" t="inlineStr">
        <is>
          <t>Não se aplica</t>
        </is>
      </c>
      <c r="I96" s="120" t="n"/>
      <c r="J96" s="120">
        <f>IF(H96="Sim",G96,
IF(H96="Parcialmente",G96/2,
IF(OR(H96="Não",H96="Não se aplica"),0,"")))
+IF(OR(H96="Sim",H96="Parcialmente"),Tabela1[[#This Row],[Pont. Resdist.]],0)</f>
        <v/>
      </c>
      <c r="K96" s="154" t="inlineStr">
        <is>
          <t>—</t>
        </is>
      </c>
      <c r="L96" s="154" t="inlineStr">
        <is>
          <t>NÃO SE APLICA (mantida da 1ª análise). Não aplicável — ausência de função de auditoria interna.</t>
        </is>
      </c>
      <c r="M96" s="97" t="inlineStr">
        <is>
          <t>Grupo: ESTRUTURA E ATIVIDADE ECONÔMICA
Questão: Qual o porte da pessoa jurídica?
Alternativa: Micro e Pequeno porte (de acordo com o Estatuto da Micro e Pequena pessoa jurídica)</t>
        </is>
      </c>
      <c r="N96" s="100" t="inlineStr">
        <is>
          <t>Distribuir 4,50 pontos para cada uma das questões (4): 
12.1
12.2
12.3
12.4</t>
        </is>
      </c>
    </row>
    <row r="97" ht="31.5" customFormat="1" customHeight="1" s="138">
      <c r="B97" s="135" t="inlineStr">
        <is>
          <t>VIII</t>
        </is>
      </c>
      <c r="C97" s="135" t="inlineStr">
        <is>
          <t>Área</t>
        </is>
      </c>
      <c r="D97" s="134" t="inlineStr">
        <is>
          <t>Área VIII - Diligências para Contratação e Supervisão de Terceiros e para Fusões e Aquisições Societárias</t>
        </is>
      </c>
      <c r="E97" s="136" t="n"/>
      <c r="F97" s="136" t="n"/>
      <c r="G97" s="136" t="n"/>
      <c r="H97" s="136" t="n"/>
      <c r="I97" s="136" t="n"/>
      <c r="J97" s="136" t="n"/>
      <c r="K97" s="136" t="n"/>
      <c r="L97" s="137" t="n"/>
      <c r="M97" s="137" t="n"/>
      <c r="N97" s="136" t="n"/>
    </row>
    <row r="98" customFormat="1" s="94">
      <c r="B98" s="117" t="inlineStr">
        <is>
          <t>VIII</t>
        </is>
      </c>
      <c r="C98" s="117" t="inlineStr">
        <is>
          <t>Grupo</t>
        </is>
      </c>
      <c r="D98" s="122" t="inlineStr">
        <is>
          <t>14. Diligências para contratação e supervisão de terceiros</t>
        </is>
      </c>
      <c r="E98" s="122" t="n"/>
      <c r="F98" s="122" t="n"/>
      <c r="G98" s="122" t="n"/>
      <c r="H98" s="122" t="n"/>
      <c r="I98" s="122" t="n"/>
      <c r="J98" s="122" t="n"/>
      <c r="K98" s="122" t="n"/>
      <c r="L98" s="118" t="n"/>
      <c r="M98" s="95" t="n"/>
      <c r="N98" s="96" t="n"/>
      <c r="Q98" s="169" t="n"/>
    </row>
    <row r="99" ht="25.5" customFormat="1" customHeight="1" s="94">
      <c r="B99" s="117" t="inlineStr">
        <is>
          <t>VIII</t>
        </is>
      </c>
      <c r="C99" s="117" t="inlineStr">
        <is>
          <t>Agrupadora</t>
        </is>
      </c>
      <c r="D99" s="40" t="inlineStr">
        <is>
          <t>14.1 A pessoa jurídica possui políticas e procedimentos baseadas em risco para a realização de diligências, contratação e supervisão de terceiros, que:</t>
        </is>
      </c>
      <c r="E99" s="120" t="inlineStr">
        <is>
          <t xml:space="preserve">  </t>
        </is>
      </c>
      <c r="F99" s="120" t="inlineStr">
        <is>
          <t xml:space="preserve">  </t>
        </is>
      </c>
      <c r="G99" s="120" t="inlineStr">
        <is>
          <t xml:space="preserve">  </t>
        </is>
      </c>
      <c r="H99" s="120" t="n"/>
      <c r="I99" s="120" t="n"/>
      <c r="J99" s="120" t="n"/>
      <c r="K99" s="120" t="n"/>
      <c r="L99" s="40" t="n"/>
      <c r="M99" s="97" t="n"/>
      <c r="N99" s="98" t="n"/>
    </row>
    <row r="100" ht="89.25" customFormat="1" customHeight="1" s="94">
      <c r="B100" s="117" t="inlineStr">
        <is>
          <t>VIII</t>
        </is>
      </c>
      <c r="C100" s="117" t="inlineStr">
        <is>
          <t>Questão</t>
        </is>
      </c>
      <c r="D100" s="121"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E100" s="120" t="inlineStr">
        <is>
          <t>Sim, Não</t>
        </is>
      </c>
      <c r="F100" s="120" t="inlineStr">
        <is>
          <t>QN1</t>
        </is>
      </c>
      <c r="G100" s="120" t="n">
        <v>20</v>
      </c>
      <c r="H100" s="120" t="inlineStr">
        <is>
          <t>Sim</t>
        </is>
      </c>
      <c r="I100" s="120" t="n"/>
      <c r="J100" s="120">
        <f>IF(H100="Sim",G100,
IF(H100="Parcialmente",G100/2,
IF(OR(H100="Não",H100="Não se aplica"),0,"")))
+IF(OR(H100="Sim",H100="Parcialmente"),Tabela1[[#This Row],[Pont. Resdist.]],0)</f>
        <v/>
      </c>
      <c r="K100" s="154" t="inlineStr">
        <is>
          <t>Rel_Due_Diligence.pdf (Doc 12.7, 22/09/2025); Cód_Etica.pdf (Doc 12.1)</t>
        </is>
      </c>
      <c r="L100" s="154" t="inlineStr">
        <is>
          <t>ATENDIDA (mantida da 1ª análise). QUESTÃO CRÍTICA ATENDIDA. O Código de Ética e o procedimento de due diligence evidenciam que a empresa verifica o envolvimento de terceiros em casos de corrupção antes da contratação. O Relatório de Due Diligence (22/09/2025) comprova a aplicação prática para o terceiro Raphael Luiz de Abreu Lima (PMC Serviços), com verificação de processos judiciais incluindo atos ilícitos contra a Administração Pública. Confirmada na reavaliação; a documentação complementar não a contradiz. Reforçada pela documentação complementar.</t>
        </is>
      </c>
      <c r="M100" s="97" t="n"/>
      <c r="N100" s="98" t="n"/>
    </row>
    <row r="101" ht="89.25" customFormat="1" customHeight="1" s="94">
      <c r="B101" s="117" t="inlineStr">
        <is>
          <t>VIII</t>
        </is>
      </c>
      <c r="C101" s="117" t="inlineStr">
        <is>
          <t>Questão</t>
        </is>
      </c>
      <c r="D101" s="40" t="inlineStr">
        <is>
          <t>14.1.2 determinam a verificação da existência de registro do terceiro em “listas sujas” de trabalho escravo ou em condições análogas às de escravo? Se sim, anexar as políticas e/ou procedimentos, indicando o artigo, item e/ou página onde consta essa previsão.</t>
        </is>
      </c>
      <c r="E101" s="120" t="inlineStr">
        <is>
          <t>Sim, Não</t>
        </is>
      </c>
      <c r="F101" s="120" t="inlineStr">
        <is>
          <t>QN3</t>
        </is>
      </c>
      <c r="G101" s="120" t="n">
        <v>5</v>
      </c>
      <c r="H101" s="120" t="inlineStr">
        <is>
          <t>Sim</t>
        </is>
      </c>
      <c r="I101" s="120" t="n"/>
      <c r="J101" s="120">
        <f>IF(H101="Sim",G101,
IF(H101="Parcialmente",G101/2,
IF(OR(H101="Não",H101="Não se aplica"),0,"")))
+IF(OR(H101="Sim",H101="Parcialmente"),Tabela1[[#This Row],[Pont. Resdist.]],0)</f>
        <v/>
      </c>
      <c r="K101" s="154" t="inlineStr">
        <is>
          <t>1ª análise: Doc 12.7 - ausência de verificação em lista de trabalho escravo
Documentação complementar: Procedimento de Due Diligence de Terceiros V.01.2026 e Relatórios de DD 001/002/003-2026</t>
        </is>
      </c>
      <c r="L101" s="154" t="inlineStr">
        <is>
          <t>ATENDIDA — superada com a documentação complementar.
• Análise inicial (resposta anterior: Não): Não há verificação em listas de trabalho escravo (MTE/SRTE) nas diligências realizadas. O Relatório de Due Diligence não menciona consulta a esse registro.
• Complementação (nova documentação): O Procedimento de Due Diligence (item 4.2) exige consulta a CEIS, CNEP, CEPIM, inidôneos do TCU/TCEs e CNJ, verificando registros do terceiro.</t>
        </is>
      </c>
      <c r="M101" s="97" t="n"/>
      <c r="N101" s="98" t="n"/>
    </row>
    <row r="102" ht="114.75" customFormat="1" customHeight="1" s="94">
      <c r="B102" s="117" t="inlineStr">
        <is>
          <t>VIII</t>
        </is>
      </c>
      <c r="C102" s="117" t="inlineStr">
        <is>
          <t>Questão</t>
        </is>
      </c>
      <c r="D102" s="40" t="inlineStr">
        <is>
          <t>14.1.3 determinam a verificação de possível envolvimento do terceiro em crimes ambientais ou em práticas nocivas ao meio ambiente?  Se sim, anexar as políticas e/ou procedimentos, indicando o artigo, item e/ou página onde consta essa previsão.</t>
        </is>
      </c>
      <c r="E102" s="120" t="inlineStr">
        <is>
          <t>Sim, Não, Não se aplica</t>
        </is>
      </c>
      <c r="F102" s="120" t="inlineStr">
        <is>
          <t>QN3</t>
        </is>
      </c>
      <c r="G102" s="120" t="n">
        <v>5</v>
      </c>
      <c r="H102" s="120" t="inlineStr">
        <is>
          <t>Sim</t>
        </is>
      </c>
      <c r="I102" s="120" t="n"/>
      <c r="J102" s="120">
        <f>IF(H102="Sim",G102,
IF(H102="Parcialmente",G102/2,
IF(OR(H102="Não",H102="Não se aplica"),0,"")))
+IF(OR(H102="Sim",H102="Parcialmente"),Tabela1[[#This Row],[Pont. Resdist.]],0)</f>
        <v/>
      </c>
      <c r="K102" s="154" t="inlineStr">
        <is>
          <t>1ª análise: Doc 12.7 - ausência de verificação ambiental
Documentação complementar: Procedimento de Due Diligence de Terceiros V.01.2026 e Relatórios de DD 001/002/003-2026</t>
        </is>
      </c>
      <c r="L102" s="154" t="inlineStr">
        <is>
          <t>ATENDIDA — superada com a documentação complementar.
• Análise inicial (resposta anterior: Não): Não há verificação de crimes ambientais ou histórico ambiental dos terceiros nas diligências realizadas.
• Complementação (nova documentação): O Procedimento exige verificação de trabalho escravo (lista suja/MTE) e socioambiental (IBAMA/órgãos estaduais), com vedação de contratação em caso de registro.</t>
        </is>
      </c>
      <c r="M102" s="97" t="inlineStr">
        <is>
          <t>Grupo: PRÁTICAS SOCIOAMBIENTAIS
Questão: A atividade da pessoa jurídica envolve potencial de dano ao meio ambiente?
Alternativa: NÃO</t>
        </is>
      </c>
      <c r="N102" s="100" t="inlineStr">
        <is>
          <t xml:space="preserve">Distribuir pontos para cada uma das questões (7): 
14.1.1 = 0,72
14.1.2 = 0,71
14.1.4 = 0,71
14.2 = 0,72
15.1.1 = 0,71
15.1.2 = 0,71
15.2 = 0,72
</t>
        </is>
      </c>
    </row>
    <row r="103" ht="77.25" customFormat="1" customHeight="1" s="94">
      <c r="B103" s="117" t="inlineStr">
        <is>
          <t>VIII</t>
        </is>
      </c>
      <c r="C103" s="117" t="inlineStr">
        <is>
          <t>Questão</t>
        </is>
      </c>
      <c r="D103" s="40" t="inlineStr">
        <is>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is>
      </c>
      <c r="E103" s="120" t="inlineStr">
        <is>
          <t>Sim, Não</t>
        </is>
      </c>
      <c r="F103" s="120" t="inlineStr">
        <is>
          <t>QN3</t>
        </is>
      </c>
      <c r="G103" s="120" t="n">
        <v>5</v>
      </c>
      <c r="H103" s="120" t="inlineStr">
        <is>
          <t>Sim</t>
        </is>
      </c>
      <c r="I103" s="120" t="n"/>
      <c r="J103" s="120">
        <f>IF(H103="Sim",G103,
IF(H103="Parcialmente",G103/2,
IF(OR(H103="Não",H103="Não se aplica"),0,"")))
+IF(OR(H103="Sim",H103="Parcialmente"),Tabela1[[#This Row],[Pont. Resdist.]],0)</f>
        <v/>
      </c>
      <c r="K103" s="154" t="inlineStr">
        <is>
          <t>Doc 12.7; Doc 12.8</t>
        </is>
      </c>
      <c r="L103" s="154" t="inlineStr">
        <is>
          <t>ATENDIDA (mantida da 1ª análise). O Relatório de Due Diligence (Doc 12.7) conclui com recomendações específicas de mitigação: inclusão de cláusulas contratuais, exigência de certidões, monitoramento contínuo e possibilidade de rescisão por fato desabonador. Confirmada na reavaliação; a documentação complementar não a contradiz.</t>
        </is>
      </c>
      <c r="M103" s="97" t="n"/>
      <c r="N103" s="98" t="n"/>
    </row>
    <row r="104" ht="51" customFormat="1" customHeight="1" s="94">
      <c r="B104" s="117" t="inlineStr">
        <is>
          <t>VIII</t>
        </is>
      </c>
      <c r="C104" s="117" t="inlineStr">
        <is>
          <t>Questão</t>
        </is>
      </c>
      <c r="D104" s="40" t="inlineStr">
        <is>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is>
      </c>
      <c r="E104" s="120" t="inlineStr">
        <is>
          <t>Sim, Não</t>
        </is>
      </c>
      <c r="F104" s="120" t="inlineStr">
        <is>
          <t>QN5</t>
        </is>
      </c>
      <c r="G104" s="120" t="n">
        <v>18</v>
      </c>
      <c r="H104" s="120" t="inlineStr">
        <is>
          <t>Sim</t>
        </is>
      </c>
      <c r="I104" s="120" t="n"/>
      <c r="J104" s="120">
        <f>IF(H104="Sim",G104,
IF(H104="Parcialmente",G104/2,
IF(OR(H104="Não",H104="Não se aplica"),0,"")))
+IF(OR(H104="Sim",H104="Parcialmente"),Tabela1[[#This Row],[Pont. Resdist.]],0)</f>
        <v/>
      </c>
      <c r="K104" s="154" t="inlineStr">
        <is>
          <t>Doc 12.7 (22/09/2025); Doc 12.8 (30/03/2026)</t>
        </is>
      </c>
      <c r="L104" s="154" t="inlineStr">
        <is>
          <t>ATENDIDA (mantida da 1ª análise). Due diligence sobre Raphael Luiz de Abreu Lima / PMC Serviços realizada em 22/09/2025 (dentro dos últimos 12 meses). Termos de Compromisso assinados em 30/03/2026. Confirmada na reavaliação; a documentação complementar não a contradiz.</t>
        </is>
      </c>
      <c r="M104" s="97" t="n"/>
      <c r="N104" s="98" t="n"/>
    </row>
    <row r="105" customFormat="1" s="94">
      <c r="B105" s="117" t="inlineStr">
        <is>
          <t>VIII</t>
        </is>
      </c>
      <c r="C105" s="117" t="inlineStr">
        <is>
          <t>Grupo</t>
        </is>
      </c>
      <c r="D105" s="122" t="inlineStr">
        <is>
          <t>15. Cláusulas contratuais</t>
        </is>
      </c>
      <c r="E105" s="122" t="n"/>
      <c r="F105" s="122" t="n"/>
      <c r="G105" s="122" t="n"/>
      <c r="H105" s="157" t="n"/>
      <c r="I105" s="122" t="n"/>
      <c r="J105" s="122" t="n"/>
      <c r="K105" s="122" t="n"/>
      <c r="L105" s="122" t="n"/>
      <c r="M105" s="95" t="n"/>
      <c r="N105" s="96" t="n"/>
    </row>
    <row r="106" ht="25.5" customFormat="1" customHeight="1" s="94">
      <c r="B106" s="117" t="inlineStr">
        <is>
          <t>VIII</t>
        </is>
      </c>
      <c r="C106" s="117" t="inlineStr">
        <is>
          <t>Agrupadora</t>
        </is>
      </c>
      <c r="D106" s="127" t="inlineStr">
        <is>
          <t>15.1 As políticas e procedimentos sobre contratação de terceiros estabeleçam a inclusão de cláusulas, nos contratos relevantes celebrados com terceiros, que:</t>
        </is>
      </c>
      <c r="E106" s="130" t="inlineStr">
        <is>
          <t xml:space="preserve">  </t>
        </is>
      </c>
      <c r="F106" s="130" t="inlineStr">
        <is>
          <t xml:space="preserve">  </t>
        </is>
      </c>
      <c r="G106" s="130" t="inlineStr">
        <is>
          <t xml:space="preserve">  </t>
        </is>
      </c>
      <c r="H106" s="120" t="n"/>
      <c r="I106" s="130" t="n"/>
      <c r="J106" s="130" t="n"/>
      <c r="K106" s="130" t="n"/>
      <c r="L106" s="130" t="n"/>
      <c r="M106" s="97" t="n"/>
      <c r="N106" s="98" t="n"/>
    </row>
    <row r="107" ht="51" customFormat="1" customHeight="1" s="94">
      <c r="B107" s="117" t="inlineStr">
        <is>
          <t>VIII</t>
        </is>
      </c>
      <c r="C107" s="117" t="inlineStr">
        <is>
          <t>Questão</t>
        </is>
      </c>
      <c r="D107" s="40" t="inlineStr">
        <is>
          <t>15.1.1 estabelecem a vedação de práticas de fraude e corrupção e exigem a observância do cumprimento de normas éticas, trabalhistas e sociais? Se sim, anexar as políticas e/ou procedimentos, indicando o artigo, item e/ou página onde consta essa previsão.</t>
        </is>
      </c>
      <c r="E107" s="120" t="inlineStr">
        <is>
          <t>Sim, Não</t>
        </is>
      </c>
      <c r="F107" s="120" t="inlineStr">
        <is>
          <t>QN3</t>
        </is>
      </c>
      <c r="G107" s="120" t="n">
        <v>5</v>
      </c>
      <c r="H107" s="120" t="inlineStr">
        <is>
          <t>Sim</t>
        </is>
      </c>
      <c r="I107" s="120" t="n"/>
      <c r="J107" s="120">
        <f>IF(H107="Sim",G107,
IF(H107="Parcialmente",G107/2,
IF(OR(H107="Não",H107="Não se aplica"),0,"")))
+IF(OR(H107="Sim",H107="Parcialmente"),Tabela1[[#This Row],[Pont. Resdist.]],0)</f>
        <v/>
      </c>
      <c r="K107" s="154" t="inlineStr">
        <is>
          <t>Doc 12.8; Doc 12.1, item 5.2.4</t>
        </is>
      </c>
      <c r="L107" s="154" t="inlineStr">
        <is>
          <t>ATENDIDA (mantida da 1ª análise). Os Termos de Compromisso (Doc 12.8) incluem ciência e adesão ao Código de Ética, que veda fraude e corrupção (itwm 4.3) e exige observância de normas éticas. O Código, item 5.2.4, prevê rescisão contratual em caso de infração. Confirmada na reavaliação; a documentação complementar não a contradiz.</t>
        </is>
      </c>
      <c r="M107" s="97" t="n"/>
      <c r="N107" s="98" t="n"/>
      <c r="P107" s="169" t="n"/>
    </row>
    <row r="108" ht="51" customFormat="1" customHeight="1" s="94">
      <c r="B108" s="117" t="inlineStr">
        <is>
          <t>VIII</t>
        </is>
      </c>
      <c r="C108" s="117" t="inlineStr">
        <is>
          <t>Questão</t>
        </is>
      </c>
      <c r="D108" s="40" t="inlineStr">
        <is>
          <t>15.1.2 preveem a aplicação de penalidades e/ou de rescisão contratual em caso de descumprimento de normas éticas e prática de fraude e corrupção? Se sim, anexar as políticas e/ou procedimentos, indicando o artigo, item e/ou página onde consta essa previsão.</t>
        </is>
      </c>
      <c r="E108" s="120" t="inlineStr">
        <is>
          <t>Sim, Não</t>
        </is>
      </c>
      <c r="F108" s="120" t="inlineStr">
        <is>
          <t>QN3</t>
        </is>
      </c>
      <c r="G108" s="120" t="n">
        <v>5</v>
      </c>
      <c r="H108" s="120" t="inlineStr">
        <is>
          <t>Sim</t>
        </is>
      </c>
      <c r="I108" s="120" t="n"/>
      <c r="J108" s="120">
        <f>IF(H108="Sim",G108,
IF(H108="Parcialmente",G108/2,
IF(OR(H108="Não",H108="Não se aplica"),0,"")))
+IF(OR(H108="Sim",H108="Parcialmente"),Tabela1[[#This Row],[Pont. Resdist.]],0)</f>
        <v/>
      </c>
      <c r="K108" s="154" t="inlineStr">
        <is>
          <t>Doc 12.1, item 5.2.4; Doc 12.8</t>
        </is>
      </c>
      <c r="L108" s="154" t="inlineStr">
        <is>
          <t>ATENDIDA (mantida da 1ª análise). O Código de Ética, item 5.2.4, prevê expressamente rescisão de contrato com terceiros em caso de descumprimento do Código. Os Termos de Compromisso formalizam essa previsão. Confirmada na reavaliação; a documentação complementar não a contradiz.</t>
        </is>
      </c>
      <c r="M108" s="97" t="n"/>
      <c r="N108" s="98" t="n"/>
      <c r="P108" s="169" t="n"/>
    </row>
    <row r="109" ht="114" customFormat="1" customHeight="1" s="94">
      <c r="B109" s="124" t="inlineStr">
        <is>
          <t>VIII</t>
        </is>
      </c>
      <c r="C109" s="124" t="inlineStr">
        <is>
          <t>Questão</t>
        </is>
      </c>
      <c r="D109" s="125"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E109" s="120" t="inlineStr">
        <is>
          <t>Sim, Não, Parcialmente</t>
        </is>
      </c>
      <c r="F109" s="120" t="inlineStr">
        <is>
          <t>QN5</t>
        </is>
      </c>
      <c r="G109" s="120" t="n">
        <v>18</v>
      </c>
      <c r="H109" s="120" t="inlineStr">
        <is>
          <t>Sim</t>
        </is>
      </c>
      <c r="I109" s="120" t="n"/>
      <c r="J109" s="120">
        <f>IF(H109="Sim",G109,
IF(H109="Parcialmente",G109/2,
IF(OR(H109="Não",H109="Não se aplica"),0,"")))
+IF(OR(H109="Sim",H109="Parcialmente"),Tabela1[[#This Row],[Pont. Resdist.]],0)</f>
        <v/>
      </c>
      <c r="K109" s="154" t="inlineStr">
        <is>
          <t>1ª análise: Doc 12.8 - Termos de Compromisso (30/03/2026)
Documentação complementar: Procedimento de Due Diligence de Terceiros V.01.2026 e Relatórios de DD 001/002/003-2026</t>
        </is>
      </c>
      <c r="L109" s="154" t="inlineStr">
        <is>
          <t>ATENDIDA — superada com a documentação complementar.
• Análise inicial (resposta anterior: Não): Não foram apresentados contratos formais com cláusulas anticorrupção específicas. Termos de Compromisso com Código de Ética e Políticas Internas assinados por colaboradores, terceiros e prestadores em 30/03/2026, dentro dos últimos 12 meses, não configuram evidências para esta questão.
• Complementação (nova documentação): O Anexo III do Procedimento traz cláusulas-padrão de integridade e anticorrupção, penalidades e rescisão, obrigatórias nos contratos relevantes com terceiros.</t>
        </is>
      </c>
      <c r="M109" s="97" t="n"/>
      <c r="N109" s="98" t="n"/>
    </row>
    <row r="110" customFormat="1" s="94">
      <c r="B110" s="117" t="inlineStr">
        <is>
          <t>VIII</t>
        </is>
      </c>
      <c r="C110" s="117" t="inlineStr">
        <is>
          <t>Grupo</t>
        </is>
      </c>
      <c r="D110" s="122" t="inlineStr">
        <is>
          <t>16. Diligências prévias a fusões, aquisições e outras operações societárias</t>
        </is>
      </c>
      <c r="E110" s="122" t="n"/>
      <c r="F110" s="122" t="n"/>
      <c r="G110" s="122" t="n"/>
      <c r="H110" s="157" t="n"/>
      <c r="I110" s="122" t="n"/>
      <c r="J110" s="122" t="n"/>
      <c r="K110" s="122" t="n"/>
      <c r="L110" s="122" t="n"/>
      <c r="M110" s="95" t="n"/>
      <c r="N110" s="96" t="n"/>
    </row>
    <row r="111" ht="66" customFormat="1" customHeight="1" s="94">
      <c r="B111" s="117" t="inlineStr">
        <is>
          <t>VIII</t>
        </is>
      </c>
      <c r="C111" s="117" t="inlineStr">
        <is>
          <t>Questão</t>
        </is>
      </c>
      <c r="D111" s="40"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E111" s="120" t="inlineStr">
        <is>
          <t>Sim, Não, Parcialmente, Não se aplica</t>
        </is>
      </c>
      <c r="F111" s="120" t="inlineStr">
        <is>
          <t>QN2</t>
        </is>
      </c>
      <c r="G111" s="120" t="n">
        <v>15</v>
      </c>
      <c r="H111" s="120" t="inlineStr">
        <is>
          <t>Não se aplica</t>
        </is>
      </c>
      <c r="I111" s="120" t="n"/>
      <c r="J111" s="120">
        <f>IF(H111="Sim",G111,
IF(H111="Parcialmente",G111/2,
IF(OR(H111="Não",H111="Não se aplica"),0,"")))
+IF(OR(H111="Sim",H111="Parcialmente"),Tabela1[[#This Row],[Pont. Resdist.]],0)</f>
        <v/>
      </c>
      <c r="K111" s="154" t="inlineStr">
        <is>
          <t>—</t>
        </is>
      </c>
      <c r="L111" s="158" t="inlineStr">
        <is>
          <t>NÃO SE APLICA (mantida da 1ª análise). A empresa não realizou fusões, aquisições ou outras operações societárias nos últimos 24 meses.</t>
        </is>
      </c>
      <c r="M111" s="97" t="inlineStr">
        <is>
          <t>Grupo: ESTRUTURA E ATIVIDADE ECONÔMICA
Questão: Realizou, nos últimos 24 meses, operações societárias envolvendo outras pessoas jurídicas (Ex.:  fusão, incorporação etc.)?
Alternativa: NÃO</t>
        </is>
      </c>
      <c r="N111" s="100" t="inlineStr">
        <is>
          <t xml:space="preserve">Distribuir pontos para cada uma das questões (7): 
14.1.1 = 2,15
14.1.2 = 2,14
14.1.4 = 2,14
14.2 =  2,14
15.1.1 = 2,14
15.1.2 = 2,14
15.2 = 2,15
</t>
        </is>
      </c>
    </row>
    <row r="112" ht="39.75" customFormat="1" customHeight="1" s="94">
      <c r="B112" s="117" t="inlineStr">
        <is>
          <t>VIII</t>
        </is>
      </c>
      <c r="C112" s="117" t="inlineStr">
        <is>
          <t>Questão</t>
        </is>
      </c>
      <c r="D112" s="40" t="inlineStr">
        <is>
          <t>16.2 A pessoa jurídica realizou diligências prévias a fusões, aquisições e outras operações societárias nos últimos 24 meses? Se sim, anexar documentos que comprovem a aplicação das políticas/procedimentos.</t>
        </is>
      </c>
      <c r="E112" s="120" t="inlineStr">
        <is>
          <t>Sim, Não, Parcialmente, Não se aplica</t>
        </is>
      </c>
      <c r="F112" s="120" t="inlineStr">
        <is>
          <t>QN5</t>
        </is>
      </c>
      <c r="G112" s="120" t="n">
        <v>18</v>
      </c>
      <c r="H112" s="120" t="inlineStr">
        <is>
          <t>Não se aplica</t>
        </is>
      </c>
      <c r="I112" s="120" t="n"/>
      <c r="J112" s="120">
        <f>IF(H112="Sim",G112,
IF(H112="Parcialmente",G112/2,
IF(OR(H112="Não",H112="Não se aplica"),0,"")))
+IF(OR(H112="Sim",H112="Parcialmente"),Tabela1[[#This Row],[Pont. Resdist.]],0)</f>
        <v/>
      </c>
      <c r="K112" s="154" t="inlineStr">
        <is>
          <t>—</t>
        </is>
      </c>
      <c r="L112" s="158" t="inlineStr">
        <is>
          <t>NÃO SE APLICA (mantida da 1ª análise). Sem operações societárias nos últimos 24 meses.</t>
        </is>
      </c>
      <c r="M112" s="97" t="inlineStr">
        <is>
          <t>Grupo: ESTRUTURA E ATIVIDADE ECONÔMICA
Questão: Realizou, nos últimos 24 meses, operações societárias envolvendo outras pessoas jurídicas (Ex.:  fusão, incorporação etc.)?
Alternativa: NÃO</t>
        </is>
      </c>
      <c r="N112" s="100" t="inlineStr">
        <is>
          <t xml:space="preserve">Distribuir pontos para cada uma das questões (7): 
14.1.1 = 2,58
14.1.2 = 2,57
14.1.4 = 2,57
14.2 =  2,57
15.1.1 = 2,57
15.1.2 = 2,57
15.2 = 2,57
</t>
        </is>
      </c>
    </row>
    <row r="113" ht="15.75" customFormat="1" customHeight="1" s="138">
      <c r="B113" s="135" t="inlineStr">
        <is>
          <t>IX</t>
        </is>
      </c>
      <c r="C113" s="135" t="inlineStr">
        <is>
          <t>Área</t>
        </is>
      </c>
      <c r="D113" s="134" t="inlineStr">
        <is>
          <t>Área IX - Canais de Denúncia, Remediação e Medidas Disciplinares</t>
        </is>
      </c>
      <c r="E113" s="136" t="n"/>
      <c r="F113" s="136" t="n"/>
      <c r="G113" s="136" t="n"/>
      <c r="H113" s="136" t="n"/>
      <c r="I113" s="136" t="n"/>
      <c r="J113" s="136" t="n"/>
      <c r="K113" s="136" t="n"/>
      <c r="L113" s="137" t="n"/>
      <c r="M113" s="137" t="n"/>
      <c r="N113" s="136" t="n"/>
    </row>
    <row r="114" customFormat="1" s="94">
      <c r="B114" s="117" t="inlineStr">
        <is>
          <t>IX</t>
        </is>
      </c>
      <c r="C114" s="117" t="inlineStr">
        <is>
          <t>Grupo</t>
        </is>
      </c>
      <c r="D114" s="122" t="inlineStr">
        <is>
          <t>17. Canais disponíveis para realização de denúncias</t>
        </is>
      </c>
      <c r="E114" s="122" t="n"/>
      <c r="F114" s="122" t="n"/>
      <c r="G114" s="122" t="n"/>
      <c r="H114" s="122" t="n"/>
      <c r="I114" s="122" t="n"/>
      <c r="J114" s="122" t="n"/>
      <c r="K114" s="122" t="n"/>
      <c r="L114" s="118" t="n"/>
      <c r="M114" s="95" t="n"/>
      <c r="N114" s="96" t="n"/>
    </row>
    <row r="115" ht="156.75" customFormat="1" customHeight="1" s="94">
      <c r="B115" s="117" t="inlineStr">
        <is>
          <t>IX</t>
        </is>
      </c>
      <c r="C115" s="162" t="inlineStr">
        <is>
          <t>Questão</t>
        </is>
      </c>
      <c r="D115" s="121"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E115" s="120" t="inlineStr">
        <is>
          <t>Sim, Não</t>
        </is>
      </c>
      <c r="F115" s="120" t="inlineStr">
        <is>
          <t>QN1</t>
        </is>
      </c>
      <c r="G115" s="120" t="n">
        <v>20</v>
      </c>
      <c r="H115" s="120" t="inlineStr">
        <is>
          <t>Sim</t>
        </is>
      </c>
      <c r="I115" s="120" t="n"/>
      <c r="J115" s="120">
        <f>IF(H115="Sim",G115,
IF(H115="Parcialmente",G115/2,
IF(OR(H115="Não",H115="Não se aplica"),0,"")))
+IF(OR(H115="Sim",H115="Parcialmente"),Tabela1[[#This Row],[Pont. Resdist.]],0)</f>
        <v/>
      </c>
      <c r="K115" s="154" t="inlineStr">
        <is>
          <t>1ª análise: Doc 12.1, item 5.1; Doc 12.4; ausência de URL/link do site institucional
Documentação complementar: Teste do Canal de Ouvidoria — jdseng.com.br/ouvidoria (e-mails de 15 e 25/05/2026)</t>
        </is>
      </c>
      <c r="L115" s="159" t="inlineStr">
        <is>
          <t>ATENDIDA (acatada, com recomendação de aprimoramento).
• Análise inicial (resposta anterior: Não): o canal (denuncia@jdseng.com.br) era apenas e-mail, comunicado internamente, sem evidência de publicação no site.
• Complementação: os registros de teste comprovam canal por formulário eletrônico na página institucional (jdseng.com.br/ouvidoria), em português, recebendo denúncias — supre a lacuna. Verificou-se instabilidade de acesso ao site (mensagens 'Status do Site: Suspeito' e, em 11/08/2026, bloqueio 'FortiGuard Intrusion Prevention – Access Blocked').
• Recomendação (acatar, porém aprimorar): manter o site disponível/estável; renomear o acesso para 'Canal de Denúncias' na página principal e na página do canal; renomear o formulário para 'denúncias ou manifestações'; e mover a denúncia por e-mail para abaixo do formulário.</t>
        </is>
      </c>
      <c r="M115" s="97" t="n"/>
      <c r="N115" s="98" t="n"/>
      <c r="AB115" s="164" t="n"/>
    </row>
    <row r="116" customFormat="1" s="94">
      <c r="B116" s="117" t="inlineStr">
        <is>
          <t>IX</t>
        </is>
      </c>
      <c r="C116" s="117" t="inlineStr">
        <is>
          <t>Agrupadora</t>
        </is>
      </c>
      <c r="D116" s="40" t="inlineStr">
        <is>
          <t>17.2 O canal de denúncias da pessoa jurídica:</t>
        </is>
      </c>
      <c r="E116" s="120" t="inlineStr">
        <is>
          <t xml:space="preserve">  </t>
        </is>
      </c>
      <c r="F116" s="120" t="n"/>
      <c r="G116" s="120" t="n"/>
      <c r="H116" s="120" t="n"/>
      <c r="I116" s="120" t="n"/>
      <c r="J116" s="120" t="n"/>
      <c r="K116" s="120" t="n"/>
      <c r="L116" s="120" t="n"/>
      <c r="M116" s="97" t="n"/>
      <c r="N116" s="98" t="n"/>
    </row>
    <row r="117" ht="104.25" customFormat="1" customHeight="1" s="94">
      <c r="B117" s="117" t="inlineStr">
        <is>
          <t>IX</t>
        </is>
      </c>
      <c r="C117" s="162" t="inlineStr">
        <is>
          <t>Questão</t>
        </is>
      </c>
      <c r="D117" s="40" t="inlineStr">
        <is>
          <t>17.2.1 é operacionalizado por meio de formulário eletrônico a partir da página institucional da pessoa jurídica na internet? Se sim, informar o link e descrever o caminho, desde a página inicial da empresa, para acesso ao canal.</t>
        </is>
      </c>
      <c r="E117" s="120" t="inlineStr">
        <is>
          <t>Sim, Não</t>
        </is>
      </c>
      <c r="F117" s="120" t="inlineStr">
        <is>
          <t>QN3</t>
        </is>
      </c>
      <c r="G117" s="120" t="n">
        <v>5</v>
      </c>
      <c r="H117" s="120" t="inlineStr">
        <is>
          <t>não</t>
        </is>
      </c>
      <c r="I117" s="120" t="n"/>
      <c r="J117" s="120">
        <f>IF(H117="Sim",G117,
IF(H117="Parcialmente",G117/2,
IF(OR(H117="Não",H117="Não se aplica"),0,"")))
+IF(OR(H117="Sim",H117="Parcialmente"),Tabela1[[#This Row],[Pont. Resdist.]],0)</f>
        <v/>
      </c>
      <c r="K117" s="154" t="inlineStr">
        <is>
          <t>1ª análise: Doc 12.1 item 5.1
Documentação complementar:  a empresa apresentou um Teste do Canal de Ouvidoria — jdseng.com.br/ouvidoria (e-mails de 15 e 25/05/2026)</t>
        </is>
      </c>
      <c r="L117" s="154" t="inlineStr">
        <is>
          <t>ATENDIDA — superada com a documentação complementar.
• Análise inicial (resposta anterior: Não): O canal é por e-mail (denuncia@jdseng.com.br), sem formulário eletrônico no site institucional.
• Complementação (nova documentação): O canal é operacionalizado por formulário eletrônico acessível a partir de link no site (ouvidoria).
Entretanto, o site da empresa (www.jsdeng.com.br) não funcionou no dia 11/08/2026. Segue a mensagem ao tentar visitar o site  - "FortiGuard Intrusion Prevention - Access Blocked Web Page Blocked".</t>
        </is>
      </c>
      <c r="M117" s="97" t="n"/>
      <c r="N117" s="98" t="n"/>
    </row>
    <row r="118" ht="140.25" customFormat="1" customHeight="1" s="94">
      <c r="B118" s="117" t="inlineStr">
        <is>
          <t>IX</t>
        </is>
      </c>
      <c r="C118" s="162" t="inlineStr">
        <is>
          <t>Questão</t>
        </is>
      </c>
      <c r="D118" s="40" t="inlineStr">
        <is>
          <t>17.2.2 oferece expressamente garantias de proteção aos denunciantes de boa-fé, como anonimato e não retaliação? Se sim, anexar documentos que comprovem essa informação.</t>
        </is>
      </c>
      <c r="E118" s="120" t="inlineStr">
        <is>
          <t>Sim, Não</t>
        </is>
      </c>
      <c r="F118" s="120" t="inlineStr">
        <is>
          <t>QN3</t>
        </is>
      </c>
      <c r="G118" s="120" t="n">
        <v>5</v>
      </c>
      <c r="H118" s="120" t="inlineStr">
        <is>
          <t>não</t>
        </is>
      </c>
      <c r="I118" s="120" t="n"/>
      <c r="J118" s="120">
        <f>IF(H118="Sim",G118,
IF(H118="Parcialmente",G118/2,
IF(OR(H118="Não",H118="Não se aplica"),0,"")))
+IF(OR(H118="Sim",H118="Parcialmente"),Tabela1[[#This Row],[Pont. Resdist.]],0)</f>
        <v/>
      </c>
      <c r="K118" s="154" t="inlineStr">
        <is>
          <t>1ª análise: Doc 12.1, item5.1; Doc 12.4 - cartilha
Documentação complementar: A empresa apresentou um Teste do Canal de Ouvidoria — jdseng.com.br/ouvidoria (e-mails de 15 e 25/05/2026); E-mails da Diretoria (João Darous) a todos os colaboradores, 02 e 17/07/2026</t>
        </is>
      </c>
      <c r="L118" s="154" t="inlineStr">
        <is>
          <t>ATENDIDA — superada com a documentação complementar.
• Análise inicial (resposta anterior: Não): O Código de ética, item 5.1, assegura expressamente anonimato ("canal de denúncia anônimo e seguro") e proteção contra retaliação. A cartilha (Doc 12.4) reitera: "não sendo admitida qualquer forma de retaliação ao denunciante de boa-fé." Contudo, o simples fato de o Canal ser um e-mail, prejudica a questão do anonimato.
• Complementação (nova documentação): O formulário oferece opção de anonimato; as políticas e comunicações asseguram sigilo e vedação de retaliação.
Entretanto, o site da empresa (www.jsdeng.com.br) não funcionou no dia 11/08/2026. Segue a mensagem ao tentar visitar o site  - "FortiGuard Intrusion Prevention - Access Blocked Web Page Blocked".</t>
        </is>
      </c>
      <c r="M118" s="97" t="n"/>
      <c r="N118" s="98" t="n"/>
    </row>
    <row r="119" ht="102" customFormat="1" customHeight="1" s="94">
      <c r="B119" s="117" t="inlineStr">
        <is>
          <t>IX</t>
        </is>
      </c>
      <c r="C119" s="117" t="inlineStr">
        <is>
          <t>Questão</t>
        </is>
      </c>
      <c r="D119" s="40" t="inlineStr">
        <is>
          <t>17.2.3 permite o acompanhamento da apuração da denúncia pelo denunciante? Se sim, anexar documentos que comprovem essa informação.</t>
        </is>
      </c>
      <c r="E119" s="120" t="inlineStr">
        <is>
          <t>Sim, Não</t>
        </is>
      </c>
      <c r="F119" s="120" t="inlineStr">
        <is>
          <t>QN3</t>
        </is>
      </c>
      <c r="G119" s="120" t="n">
        <v>5</v>
      </c>
      <c r="H119" s="120" t="inlineStr">
        <is>
          <t>Não</t>
        </is>
      </c>
      <c r="I119" s="120" t="n"/>
      <c r="J119" s="120">
        <f>IF(H119="Sim",G119,
IF(H119="Parcialmente",G119/2,
IF(OR(H119="Não",H119="Não se aplica"),0,"")))
+IF(OR(H119="Sim",H119="Parcialmente"),Tabela1[[#This Row],[Pont. Resdist.]],0)</f>
        <v/>
      </c>
      <c r="K119" s="154" t="inlineStr">
        <is>
          <t>1ª análise: Doc 12.1, item 5.1 (previsão); ausência de evidência de sistema de acompanhamento
Documentação complementar: Teste do Canal de Ouvidoria — jdseng.com.br/ouvidoria (e-mails de 15 e 25/05/2026)</t>
        </is>
      </c>
      <c r="L119" s="154" t="inlineStr">
        <is>
          <t>NÃO ATENDIDA.
• Análise inicial (resposta anterior: Não): O Código de ética, item 5.1, prevê geração de número de protocolo para acompanhamento. Contudo, não há evidência de sistema implementado que permita efetivo acompanhamento autônomo pelo denunciante, reforçado pelo fato de o Canal ser um e-mail. Como também a empresa não se apresentou um caso concreto, não se pode saber se há o acompanhamento da denúncia.
• Complementação (nova documentação): Não foi evidenciado mecanismo de acompanhamento da apuração pelo denunciante (protocolo/número de acompanhamento).</t>
        </is>
      </c>
      <c r="M119" s="97" t="n"/>
      <c r="N119" s="98" t="n"/>
    </row>
    <row r="120" ht="114.75" customFormat="1" customHeight="1" s="94">
      <c r="B120" s="117" t="inlineStr">
        <is>
          <t>IX</t>
        </is>
      </c>
      <c r="C120" s="117" t="inlineStr">
        <is>
          <t>Questão</t>
        </is>
      </c>
      <c r="D120" s="40" t="inlineStr">
        <is>
          <t>17.3 O canal de denúncias funcionou quando testado pelo avaliador?</t>
        </is>
      </c>
      <c r="E120" s="120" t="inlineStr">
        <is>
          <t>Sim, Não</t>
        </is>
      </c>
      <c r="F120" s="120" t="inlineStr">
        <is>
          <t>QN4</t>
        </is>
      </c>
      <c r="G120" s="120" t="n">
        <v>25</v>
      </c>
      <c r="H120" s="120" t="inlineStr">
        <is>
          <t>não</t>
        </is>
      </c>
      <c r="I120" s="120" t="n"/>
      <c r="J120" s="120">
        <f>IF(H120="Sim",G120,
IF(H120="Parcialmente",G120/2,
IF(OR(H120="Não",H120="Não se aplica"),0,"")))
+IF(OR(H120="Sim",H120="Parcialmente"),Tabela1[[#This Row],[Pont. Resdist.]],0)</f>
        <v/>
      </c>
      <c r="K120" s="154" t="inlineStr">
        <is>
          <t>1ª análise: Ausência de URL do site; canal apenas comunicado internamente
Documentação complementar: A empresa apresentou o Teste do Canal de Ouvidoria — jdseng.com.br/ouvidoria (e-mails de 15 e 25/05/2026)</t>
        </is>
      </c>
      <c r="L120" s="154" t="inlineStr">
        <is>
          <t>ATENDIDA — superada com a documentação complementar.
• Análise inicial (resposta anterior: Não): O canal de denúncias (e-mail) não está publicado no site institucional (página principal - https://jdseng.com.br/), impossibilitando o teste funcional pelo avaliador externo. E também o site da empresa apresentou o Status Suspeito quando se tentou abrir outra aba (no caso a Ouvidoria).
• Complementação (nova documentação): Os e-mails recebidos em 15 e 25/05/2026 comprovam que o canal funcionou quando testado. Entretanto, o site da empresa (www.jsdeng.com.br) não funcionou no dia 11/08/2026. Segue a mensagem ao tentar visitar o site  - "FortiGuard Intrusion Prevention - Access Blocked Web Page Blocked".</t>
        </is>
      </c>
      <c r="M120" s="97" t="n"/>
      <c r="N120" s="98" t="n"/>
    </row>
    <row r="121" customFormat="1" s="94">
      <c r="B121" s="117" t="inlineStr">
        <is>
          <t>IX</t>
        </is>
      </c>
      <c r="C121" s="117" t="inlineStr">
        <is>
          <t>Grupo</t>
        </is>
      </c>
      <c r="D121" s="122" t="inlineStr">
        <is>
          <t>18. Tratamento e apuração de denúncias</t>
        </is>
      </c>
      <c r="E121" s="122" t="n"/>
      <c r="F121" s="122" t="n"/>
      <c r="G121" s="122" t="n"/>
      <c r="H121" s="157" t="n"/>
      <c r="I121" s="122" t="n"/>
      <c r="J121" s="122" t="n"/>
      <c r="K121" s="122" t="n"/>
      <c r="L121" s="122" t="n"/>
      <c r="M121" s="95" t="n"/>
      <c r="N121" s="96" t="n"/>
    </row>
    <row r="122" ht="63.75" customFormat="1" customHeight="1" s="94">
      <c r="B122" s="117" t="inlineStr">
        <is>
          <t>IX</t>
        </is>
      </c>
      <c r="C122" s="117" t="inlineStr">
        <is>
          <t>Questão</t>
        </is>
      </c>
      <c r="D122" s="40"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E122" s="120" t="inlineStr">
        <is>
          <t>Sim, Não, Parcialmente</t>
        </is>
      </c>
      <c r="F122" s="120" t="inlineStr">
        <is>
          <t>QN2</t>
        </is>
      </c>
      <c r="G122" s="120" t="n">
        <v>15</v>
      </c>
      <c r="H122" s="120" t="inlineStr">
        <is>
          <t>Sim</t>
        </is>
      </c>
      <c r="I122" s="120" t="n"/>
      <c r="J122" s="120">
        <f>IF(H122="Sim",G122,
IF(H122="Parcialmente",G122/2,
IF(OR(H122="Não",H122="Não se aplica"),0,"")))
+IF(OR(H122="Sim",H122="Parcialmente"),Tabela1[[#This Row],[Pont. Resdist.]],0)</f>
        <v/>
      </c>
      <c r="K122" s="154" t="inlineStr">
        <is>
          <t>Doc 12.1 Anexo II - Código de Investigações Internas</t>
        </is>
      </c>
      <c r="L122" s="154" t="inlineStr">
        <is>
          <t>ATENDIDA (mantida da 1ª análise). O Código de Investigações Internas (Anexo II do Doc 12.1) estabelece fluxo detalhado com 5 etapas (análise preliminar, coleta, análise crítica, conclusão, relatório), competências e princípios norteadores (legalidade, imparcialidade, confidencialidade, proteção do denunciante). Confirmada na reavaliação; a documentação complementar não a contradiz.</t>
        </is>
      </c>
      <c r="M122" s="97" t="n"/>
      <c r="N122" s="98" t="n"/>
    </row>
    <row r="123" customFormat="1" s="94">
      <c r="B123" s="117" t="inlineStr">
        <is>
          <t>IX</t>
        </is>
      </c>
      <c r="C123" s="117" t="inlineStr">
        <is>
          <t>Agrupadora</t>
        </is>
      </c>
      <c r="D123" s="40" t="inlineStr">
        <is>
          <t>18.2 As políticas e procedimentos definem:</t>
        </is>
      </c>
      <c r="E123" s="120" t="inlineStr">
        <is>
          <t xml:space="preserve">  </t>
        </is>
      </c>
      <c r="F123" s="120" t="inlineStr">
        <is>
          <t xml:space="preserve">  </t>
        </is>
      </c>
      <c r="G123" s="120" t="inlineStr">
        <is>
          <t xml:space="preserve">  </t>
        </is>
      </c>
      <c r="H123" s="120" t="n"/>
      <c r="I123" s="120" t="n"/>
      <c r="J123" s="120" t="n"/>
      <c r="K123" s="120" t="n"/>
      <c r="L123" s="120" t="n"/>
      <c r="M123" s="97" t="n"/>
      <c r="N123" s="98" t="n"/>
    </row>
    <row r="124" ht="114.75" customFormat="1" customHeight="1" s="94">
      <c r="B124" s="117" t="inlineStr">
        <is>
          <t>IX</t>
        </is>
      </c>
      <c r="C124" s="117" t="inlineStr">
        <is>
          <t>Questão</t>
        </is>
      </c>
      <c r="D124" s="40" t="inlineStr">
        <is>
          <t>18.2.1 salvaguardas e prerrogativas de acesso a documentos, sistemas e pessoas por parte dos responsáveis pela apuração? Se sim, anexar a política ou procedimentos e indicar o(s) dispositivo(s) do documento que atenda(m) ao requisito.</t>
        </is>
      </c>
      <c r="E124" s="120" t="inlineStr">
        <is>
          <t>Sim, Não, Parcialmente</t>
        </is>
      </c>
      <c r="F124" s="120" t="inlineStr">
        <is>
          <t>QN3</t>
        </is>
      </c>
      <c r="G124" s="120" t="n">
        <v>5</v>
      </c>
      <c r="H124" s="120" t="inlineStr">
        <is>
          <t>Sim</t>
        </is>
      </c>
      <c r="I124" s="120" t="n"/>
      <c r="J124" s="120">
        <f>IF(H124="Sim",G124,
IF(H124="Parcialmente",G124/2,
IF(OR(H124="Não",H124="Não se aplica"),0,"")))
+IF(OR(H124="Sim",H124="Parcialmente"),Tabela1[[#This Row],[Pont. Resdist.]],0)</f>
        <v/>
      </c>
      <c r="K124" s="154" t="inlineStr">
        <is>
          <t>1ª análise: Doc 12.1 Anexo II itens 4.2 e 5.2.
Documentação complementar: Termo de Designação do Oficial de Compliance, 07/07/2026; Procedimento de Due Diligence de Terceiros V.01.2026 e Relatórios de DD 001/002/003-2026</t>
        </is>
      </c>
      <c r="L124" s="154" t="inlineStr">
        <is>
          <t>ATENDIDA — superada com a documentação complementar.
• Análise inicial (resposta anterior: Parcialmente): O Código de Investigações Internas, item 5.2.2, exige preservação da integridade das evidências e confidencialidade. O item 4.2.4 determina comunicação imediata de conflitos de interesse. Entretanto, o  Código de Investigações Internas  não detalha expressamente o nível de acesso formal a sistemas informatizados, documentos e pessoas.
• Complementação (nova documentação): O Termo de Designação (livre acesso a documentos/sistemas/pessoas) e o Código de Investigações asseguram as salvaguardas e prerrogativas de acesso.</t>
        </is>
      </c>
      <c r="M124" s="97" t="n"/>
      <c r="N124" s="98" t="n"/>
    </row>
    <row r="125" ht="114.75" customFormat="1" customHeight="1" s="94">
      <c r="B125" s="117" t="inlineStr">
        <is>
          <t>IX</t>
        </is>
      </c>
      <c r="C125" s="117" t="inlineStr">
        <is>
          <t>Questão</t>
        </is>
      </c>
      <c r="D125" s="40" t="inlineStr">
        <is>
          <t>18.2.2 fluxo específico para apuração de denúncias envolvendo membros da alta direção? Se sim, anexar a política ou procedimentos e indicar o(s) dispositivo(s) do documento que atenda(m) ao requisito.</t>
        </is>
      </c>
      <c r="E125" s="120" t="inlineStr">
        <is>
          <t>Sim, Não</t>
        </is>
      </c>
      <c r="F125" s="120" t="inlineStr">
        <is>
          <t>QN3</t>
        </is>
      </c>
      <c r="G125" s="120" t="n">
        <v>5</v>
      </c>
      <c r="H125" s="120" t="inlineStr">
        <is>
          <t>não</t>
        </is>
      </c>
      <c r="I125" s="120" t="n"/>
      <c r="J125" s="120">
        <f>IF(H125="Sim",G125,
IF(H125="Parcialmente",G125/2,
IF(OR(H125="Não",H125="Não se aplica"),0,"")))
+IF(OR(H125="Sim",H125="Parcialmente"),Tabela1[[#This Row],[Pont. Resdist.]],0)</f>
        <v/>
      </c>
      <c r="K125" s="154" t="inlineStr">
        <is>
          <t>1ª análise: Doc 12.1 Anexo II - ausência de previsão específica
Documentação complementar: Termo de Designação do Oficial de Compliance, 07/07/2026; Procedimento de Due Diligence de Terceiros V.01.2026 e Relatórios de DD 001/002/003-2026</t>
        </is>
      </c>
      <c r="L125" s="154" t="inlineStr">
        <is>
          <t>PARCIALMENTE ATENDIDA.
• Análise inicial (resposta anterior: Não): O Código de Investigações Internas não prevê fluxo específico para denúncias envolvendo membros da alta direção.
• Complementação (nova documentação): Há previsão de apuração por assessoria jurídica externa sob supervisão do Compliance; contudo, fluxo específico e detalhado para denúncias envolvendo a alta direção não está plenamente formalizado. O adequado seria  a avaliação do item pelo atendimento parcial. A avaliação optou pelo não atendimento, pois fluxo específico e detalhado para denúncias envolvendo a alta direção não está plenamente formalizado.</t>
        </is>
      </c>
      <c r="M125" s="97" t="n"/>
      <c r="N125" s="98" t="n"/>
      <c r="AB125" s="164" t="n"/>
    </row>
    <row r="126" ht="80.25" customFormat="1" customHeight="1" s="94">
      <c r="B126" s="117" t="inlineStr">
        <is>
          <t>IX</t>
        </is>
      </c>
      <c r="C126" s="117" t="inlineStr">
        <is>
          <t>Questão</t>
        </is>
      </c>
      <c r="D126" s="127" t="inlineStr">
        <is>
          <t>18.3 A pessoa jurídica realizou o tratamento das denúncias recebidas nos últimos 24 meses? Se sim, anexar documentos que demonstrem o tratamento do universo de denúncias recebidas no período.</t>
        </is>
      </c>
      <c r="E126" s="128" t="inlineStr">
        <is>
          <t>Sim, Não, Não se aplica</t>
        </is>
      </c>
      <c r="F126" s="120" t="inlineStr">
        <is>
          <t>QN5</t>
        </is>
      </c>
      <c r="G126" s="120" t="n">
        <v>18</v>
      </c>
      <c r="H126" s="128" t="inlineStr">
        <is>
          <t>Sim</t>
        </is>
      </c>
      <c r="I126" s="120" t="n"/>
      <c r="J126" s="120">
        <f>IF(H126="Sim",G126,
IF(H126="Parcialmente",G126/2,
IF(OR(H126="Não",H126="Não se aplica"),0,"")))
+IF(OR(H126="Sim",H126="Parcialmente"),Tabela1[[#This Row],[Pont. Resdist.]],0)</f>
        <v/>
      </c>
      <c r="K126" s="154" t="inlineStr">
        <is>
          <t>Doc 12.6 - Investigação Interna nº 01/2024</t>
        </is>
      </c>
      <c r="L126" s="154" t="inlineStr">
        <is>
          <t>ATENDIDA (mantida da 1ª análise). Investigação Interna nº 01/2024: denúncia anônima recebida em 22/07/2024, 5 entrevistas realizadas (Alexandre dos Santos Rodrigues + 4 colaboradores), Alexandre afastado de suas funções durante a apuração, relatório conclusivo elaborado. Confirmada na reavaliação; a documentação complementar não a contradiz.</t>
        </is>
      </c>
      <c r="M126" s="97" t="inlineStr">
        <is>
          <t>Grupo: PROGRAMA DE INTEGRIDADE
Questão: Recebeu alguma denúncia relacionada com atos de fraude e corrupção, atos de desrespeito à legislação ambiental, preconceito, discriminação e assédio de qualquer natureza nos últimos 24 meses?
Alternativa: NÃO</t>
        </is>
      </c>
      <c r="N126" s="100" t="inlineStr">
        <is>
          <t>Distribuir 1,50 pontos para cada uma das questões (12): 
17.1
17.2.1
17.2.2
17.2.3
17.3
18.1
18.2.1
18.2.2
19.1.1
19.1.2
19.1.3
19.1.4</t>
        </is>
      </c>
    </row>
    <row r="127" ht="25.5" customFormat="1" customHeight="1" s="94">
      <c r="B127" s="117" t="inlineStr">
        <is>
          <t>IX</t>
        </is>
      </c>
      <c r="C127" s="117" t="inlineStr">
        <is>
          <t>Grupo</t>
        </is>
      </c>
      <c r="D127" s="122" t="inlineStr">
        <is>
          <t>19. Procedimentos para interrupção de irregularidades, remediação e aplicação de medidas disciplinares</t>
        </is>
      </c>
      <c r="E127" s="122" t="n"/>
      <c r="F127" s="122" t="n"/>
      <c r="G127" s="122" t="n"/>
      <c r="H127" s="157" t="n"/>
      <c r="I127" s="122" t="n"/>
      <c r="J127" s="122" t="n"/>
      <c r="K127" s="122" t="n"/>
      <c r="L127" s="122" t="n"/>
      <c r="M127" s="95" t="n"/>
      <c r="N127" s="96" t="n"/>
    </row>
    <row r="128" ht="25.5" customFormat="1" customHeight="1" s="94">
      <c r="B128" s="117" t="inlineStr">
        <is>
          <t>IX</t>
        </is>
      </c>
      <c r="C128" s="117" t="inlineStr">
        <is>
          <t>Agrupadora</t>
        </is>
      </c>
      <c r="D128" s="40" t="inlineStr">
        <is>
          <t>19.1 As políticas e procedimentos relacionadas ao tratamento, apuração e remediação de casos de fraudes, corrupção ou violação de direitos humanos e trabalhistas definem:</t>
        </is>
      </c>
      <c r="E128" s="120" t="inlineStr">
        <is>
          <t xml:space="preserve">  </t>
        </is>
      </c>
      <c r="F128" s="120" t="inlineStr">
        <is>
          <t xml:space="preserve">  </t>
        </is>
      </c>
      <c r="G128" s="120" t="inlineStr">
        <is>
          <t xml:space="preserve">  </t>
        </is>
      </c>
      <c r="H128" s="120" t="n"/>
      <c r="I128" s="120" t="n"/>
      <c r="J128" s="120" t="n"/>
      <c r="K128" s="120" t="n"/>
      <c r="L128" s="120" t="n"/>
      <c r="M128" s="97" t="n"/>
      <c r="N128" s="98" t="n"/>
    </row>
    <row r="129" ht="51" customFormat="1" customHeight="1" s="94">
      <c r="B129" s="117" t="inlineStr">
        <is>
          <t>IX</t>
        </is>
      </c>
      <c r="C129" s="117" t="inlineStr">
        <is>
          <t>Questão</t>
        </is>
      </c>
      <c r="D129" s="40" t="inlineStr">
        <is>
          <t>19.1.1 as medidas disciplinares aplicáveis aos casos de infrações relacionadas a fraudes, corrupção ou violação de direitos humanos e trabalhistas? Se sim, anexar a política ou procedimentos e indicar o(s) dispositivo(s) do documento que atenda(m) ao requisito.</t>
        </is>
      </c>
      <c r="E129" s="120" t="inlineStr">
        <is>
          <t>Sim, Não</t>
        </is>
      </c>
      <c r="F129" s="120" t="inlineStr">
        <is>
          <t>QN3</t>
        </is>
      </c>
      <c r="G129" s="120" t="n">
        <v>5</v>
      </c>
      <c r="H129" s="120" t="inlineStr">
        <is>
          <t>Sim</t>
        </is>
      </c>
      <c r="I129" s="120" t="n"/>
      <c r="J129" s="120">
        <f>IF(H129="Sim",G129,
IF(H129="Parcialmente",G129/2,
IF(OR(H129="Não",H129="Não se aplica"),0,"")))
+IF(OR(H129="Sim",H129="Parcialmente"),Tabela1[[#This Row],[Pont. Resdist.]],0)</f>
        <v/>
      </c>
      <c r="K129" s="154" t="inlineStr">
        <is>
          <t>Doc 12.1, item 5.2</t>
        </is>
      </c>
      <c r="L129" s="154" t="inlineStr">
        <is>
          <t>ATENDIDA (mantida da 1ª análise). O Código §5.2 lista as medidas disciplinares: advertência verbal ou escrita, suspensão temporária, demissão por justa causa, rescisão de contrato com terceiros e ação legal com comunicação às autoridades. Confirmada na reavaliação; a documentação complementar não a contradiz.</t>
        </is>
      </c>
      <c r="M129" s="97" t="n"/>
      <c r="N129" s="98" t="n"/>
    </row>
    <row r="130" ht="102" customFormat="1" customHeight="1" s="94">
      <c r="B130" s="117" t="inlineStr">
        <is>
          <t>IX</t>
        </is>
      </c>
      <c r="C130" s="117" t="inlineStr">
        <is>
          <t>Questão</t>
        </is>
      </c>
      <c r="D130" s="40" t="inlineStr">
        <is>
          <t>19.1.2 a correlação entre as medidas disciplinares e os tipos de infração cometidas e as alçadas para sua aplicação? Se sim, anexar a política ou procedimentos e indicar o(s) dispositivo(s) do documento que atenda(m) ao requisito.</t>
        </is>
      </c>
      <c r="E130" s="120" t="inlineStr">
        <is>
          <t>Sim, Não</t>
        </is>
      </c>
      <c r="F130" s="120" t="inlineStr">
        <is>
          <t>QN3</t>
        </is>
      </c>
      <c r="G130" s="120" t="n">
        <v>5</v>
      </c>
      <c r="H130" s="120" t="inlineStr">
        <is>
          <t>Parcialmente</t>
        </is>
      </c>
      <c r="I130" s="120" t="n"/>
      <c r="J130" s="120">
        <f>IF(H130="Sim",G130,
IF(H130="Parcialmente",G130/2,
IF(OR(H130="Não",H130="Não se aplica"),0,"")))
+IF(OR(H130="Sim",H130="Parcialmente"),Tabela1[[#This Row],[Pont. Resdist.]],0)</f>
        <v/>
      </c>
      <c r="K130" s="154" t="inlineStr">
        <is>
          <t>1ª análise: Doc 12.1, item 5.2
Documentação complementar: Procedimento de Prevenção a Ilícitos em Licitações e Contratos Administrativos V.01.2026; Procedimento de Due Diligence de Terceiros V.01.2026 e Relatórios de DD 001/002/003-2026</t>
        </is>
      </c>
      <c r="L130" s="154" t="inlineStr">
        <is>
          <t>PARCIALMENTE ATENDIDA.
• Análise inicial (resposta anterior: Não): O Código define escala geral de sanções, mas não estabelece correlação expressa entre tipos específicos de infração e a sanção correspondente, nem define as alçadas de autorização para aplicação de cada medida disciplinar.
• Complementação (nova documentação): Os normativos preveem medidas disciplinares e rescisão; a correlação detalhada entre infrações e sanções ainda é genérica.</t>
        </is>
      </c>
      <c r="M130" s="97" t="n"/>
      <c r="N130" s="98" t="n"/>
    </row>
    <row r="131" ht="130.5" customFormat="1" customHeight="1" s="94">
      <c r="B131" s="117" t="inlineStr">
        <is>
          <t>IX</t>
        </is>
      </c>
      <c r="C131" s="117" t="inlineStr">
        <is>
          <t>Questão</t>
        </is>
      </c>
      <c r="D131" s="40" t="inlineStr">
        <is>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is>
      </c>
      <c r="E131" s="120" t="inlineStr">
        <is>
          <t>Sim, Não</t>
        </is>
      </c>
      <c r="F131" s="120" t="inlineStr">
        <is>
          <t>QN3</t>
        </is>
      </c>
      <c r="G131" s="120" t="n">
        <v>5</v>
      </c>
      <c r="H131" s="120" t="inlineStr">
        <is>
          <t>Parcialmente</t>
        </is>
      </c>
      <c r="I131" s="120" t="n"/>
      <c r="J131" s="120">
        <f>IF(H131="Sim",G131,
IF(H131="Parcialmente",G131/2,
IF(OR(H131="Não",H131="Não se aplica"),0,"")))
+IF(OR(H131="Sim",H131="Parcialmente"),Tabela1[[#This Row],[Pont. Resdist.]],0)</f>
        <v/>
      </c>
      <c r="K131" s="154" t="inlineStr">
        <is>
          <t>1ª análise: Doc 12.1, Anexo II item 5.1; Doc 12.6 (afastamento de Alexandre)
Documentação complementar: Procedimento de Due Diligence de Terceiros V.01.2026 e Relatórios de DD 001/002/003-2026</t>
        </is>
      </c>
      <c r="L131" s="154" t="inlineStr">
        <is>
          <t>PARCIALMENTE ATENDIDA.
• Análise inicial (resposta anterior: Não): O Código de Investigações Internas item 5.1 prevê análise preliminar com definição do escopo. O afastamento de Alexandre (Doc 12.6) demonstra afastamento cautelar na prática. Contudo, o afastamento cautelar de membros da alta direção suspeitos não está explicitamente previsto.
• Complementação (nova documentação): Há previsão de pronta interrupção/afastamento (Código de Investigações e precedente da Investigação nº 01/2024); a formalização de gatilhos específicos ainda está em consolidação.</t>
        </is>
      </c>
      <c r="M131" s="97" t="n"/>
      <c r="N131" s="98" t="n"/>
    </row>
    <row r="132" ht="51" customFormat="1" customHeight="1" s="94">
      <c r="B132" s="117" t="inlineStr">
        <is>
          <t>IX</t>
        </is>
      </c>
      <c r="C132" s="117" t="inlineStr">
        <is>
          <t>Questão</t>
        </is>
      </c>
      <c r="D132" s="40" t="inlineStr">
        <is>
          <t>19.1.4 os procedimentos aplicáveis para encaminhamento de denúncias às autoridades competentes? Se sim, anexar a política ou procedimentos e indicar o(s) dispositivo(s) do documento que atenda(m) ao requisito.</t>
        </is>
      </c>
      <c r="E132" s="120" t="inlineStr">
        <is>
          <t>Sim, Não</t>
        </is>
      </c>
      <c r="F132" s="120" t="inlineStr">
        <is>
          <t>QN3</t>
        </is>
      </c>
      <c r="G132" s="120" t="n">
        <v>5</v>
      </c>
      <c r="H132" s="120" t="inlineStr">
        <is>
          <t>Sim</t>
        </is>
      </c>
      <c r="I132" s="120" t="n"/>
      <c r="J132" s="120">
        <f>IF(H132="Sim",G132,
IF(H132="Parcialmente",G132/2,
IF(OR(H132="Não",H132="Não se aplica"),0,"")))
+IF(OR(H132="Sim",H132="Parcialmente"),Tabela1[[#This Row],[Pont. Resdist.]],0)</f>
        <v/>
      </c>
      <c r="K132" s="154" t="inlineStr">
        <is>
          <t>Doc 12.1, item 5.2.5</t>
        </is>
      </c>
      <c r="L132" s="154" t="inlineStr">
        <is>
          <t>ATENDIDA (mantida da 1ª análise). O Código de Ética item 5.2.5 prevê expressamente: "Se a infração constituir crime, a empresa poderá reportar o caso aos órgãos competentes para que sejam tomadas as providências cabíveis." Confirmada na reavaliação; a documentação complementar não a contradiz.</t>
        </is>
      </c>
      <c r="M132" s="97" t="n"/>
      <c r="N132" s="98" t="n"/>
    </row>
    <row r="133" ht="65.25" customFormat="1" customHeight="1" s="94">
      <c r="B133" s="117" t="inlineStr">
        <is>
          <t>IX</t>
        </is>
      </c>
      <c r="C133" s="117" t="inlineStr">
        <is>
          <t>Questão</t>
        </is>
      </c>
      <c r="D133" s="40"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E133" s="120" t="inlineStr">
        <is>
          <t>Sim, Não, Não se aplica</t>
        </is>
      </c>
      <c r="F133" s="120" t="inlineStr">
        <is>
          <t>QN5</t>
        </is>
      </c>
      <c r="G133" s="120" t="n">
        <v>18</v>
      </c>
      <c r="H133" s="120" t="inlineStr">
        <is>
          <t>Sim</t>
        </is>
      </c>
      <c r="I133" s="120" t="n"/>
      <c r="J133" s="120">
        <f>IF(H133="Sim",G133,
IF(H133="Parcialmente",G133/2,
IF(OR(H133="Não",H133="Não se aplica"),0,"")))
+IF(OR(H133="Sim",H133="Parcialmente"),Tabela1[[#This Row],[Pont. Resdist.]],0)</f>
        <v/>
      </c>
      <c r="K133" s="154" t="inlineStr">
        <is>
          <t>Doc 12.6 - Investigação Interna nº 01/2024</t>
        </is>
      </c>
      <c r="L133" s="154" t="inlineStr">
        <is>
          <t>ATENDIDA (mantida da 1ª análise). Investigação Interna nº 01/2024 concluída com 5 entrevistas conduzidas, Alexandre dos Santos afastado de suas funções e relatório conclusivo elaborado. Processo de remediação efetivamente aplicado. Confirmada na reavaliação; a documentação complementar não a contradiz.</t>
        </is>
      </c>
      <c r="M133" s="97" t="inlineStr">
        <is>
          <t>Grupo: PROGRAMA DE INTEGRIDADE
Questão: Recebeu alguma denúncia relacionada com atos de fraude e corrupção, atos de desrespeito à legislação ambiental, preconceito, discriminação e assédio de qualquer natureza nos últimos 24 meses?
Alternativa: NÃO</t>
        </is>
      </c>
      <c r="N133" s="100" t="inlineStr">
        <is>
          <t>Distribuir 1,50 pontos para cada uma das questões (12): 
17.1
17.2.1
17.2.2
17.2.3
17.3
18.1
18.2.1
18.2.2
19.1.1
19.1.2
19.1.3
19.1.4</t>
        </is>
      </c>
    </row>
    <row r="134" ht="15.75" customFormat="1" customHeight="1" s="138">
      <c r="B134" s="135" t="inlineStr">
        <is>
          <t>X</t>
        </is>
      </c>
      <c r="C134" s="135" t="inlineStr">
        <is>
          <t>Área</t>
        </is>
      </c>
      <c r="D134" s="134" t="inlineStr">
        <is>
          <t>Área X - Monitoramento do Programa de Integridade</t>
        </is>
      </c>
      <c r="E134" s="136" t="n"/>
      <c r="F134" s="136" t="n"/>
      <c r="G134" s="136" t="n"/>
      <c r="H134" s="136" t="n"/>
      <c r="I134" s="136" t="n"/>
      <c r="J134" s="136" t="n"/>
      <c r="K134" s="136" t="n"/>
      <c r="L134" s="137" t="n"/>
      <c r="M134" s="137" t="n"/>
      <c r="N134" s="136" t="n"/>
    </row>
    <row r="135" customFormat="1" s="94">
      <c r="B135" s="117" t="inlineStr">
        <is>
          <t>X</t>
        </is>
      </c>
      <c r="C135" s="117" t="inlineStr">
        <is>
          <t>Grupo</t>
        </is>
      </c>
      <c r="D135" s="122" t="inlineStr">
        <is>
          <t>20. Monitoramento contínuo do programa de integridade</t>
        </is>
      </c>
      <c r="E135" s="122" t="n"/>
      <c r="F135" s="122" t="n"/>
      <c r="G135" s="122" t="n"/>
      <c r="H135" s="122" t="n"/>
      <c r="I135" s="122" t="n"/>
      <c r="J135" s="122" t="n"/>
      <c r="K135" s="122" t="n"/>
      <c r="L135" s="118" t="n"/>
      <c r="M135" s="95" t="n"/>
      <c r="N135" s="96" t="n"/>
    </row>
    <row r="136" ht="99.75" customFormat="1" customHeight="1" s="94">
      <c r="B136" s="117" t="inlineStr">
        <is>
          <t>X</t>
        </is>
      </c>
      <c r="C136" s="117" t="inlineStr">
        <is>
          <t>Questão</t>
        </is>
      </c>
      <c r="D136" s="121" t="inlineStr">
        <is>
          <t>20.1 A pessoa jurídica possui política ou procedimentos que estabelecem o monitoramento contínuo do programa de integridade? Se sim, anexar a política ou procedimentos e indicar o(s) dispositivo(s) do documento que atenda(m) ao requisito.</t>
        </is>
      </c>
      <c r="E136" s="120" t="inlineStr">
        <is>
          <t>Sim, Não</t>
        </is>
      </c>
      <c r="F136" s="120" t="inlineStr">
        <is>
          <t>QN1</t>
        </is>
      </c>
      <c r="G136" s="120" t="n">
        <v>20</v>
      </c>
      <c r="H136" s="2" t="inlineStr">
        <is>
          <t>Sim</t>
        </is>
      </c>
      <c r="I136" s="120" t="n"/>
      <c r="J136" s="120">
        <f>IF(H136="Sim",G136,
IF(H136="Parcialmente",G136/2,
IF(OR(H136="Não",H136="Não se aplica"),0,"")))
+IF(OR(H136="Sim",H136="Parcialmente"),Tabela1[[#This Row],[Pont. Resdist.]],0)</f>
        <v/>
      </c>
      <c r="K136" s="154" t="inlineStr">
        <is>
          <t>1ª análise: Ausência de documento de monitoramento
Documentação complementar: Procedimento de Monitoramento Contínuo do PI V.01.2026</t>
        </is>
      </c>
      <c r="L136" s="154" t="inlineStr">
        <is>
          <t>ATENDIDA — superada com a documentação complementar.
• Análise inicial (resposta anterior: Não): QUESTÃO CRÍTICA ELIMINATÓRIA. Não foi apresentada política ou procedimento de monitoramento contínuo do programa de integridade. O Relatório de Conformidade (Doc 12) não é política ou procedimento.
• Complementação (nova documentação): O Procedimento de Monitoramento Contínuo V.01.2026 estabelece responsabilidades, periodicidade (mensal/trimestral/anual) e indicadores mínimos. Supre a lacuna eliminatória.</t>
        </is>
      </c>
      <c r="M136" s="97" t="n"/>
      <c r="N136" s="98" t="n"/>
    </row>
    <row r="137" ht="25.5" customFormat="1" customHeight="1" s="94">
      <c r="B137" s="117" t="inlineStr">
        <is>
          <t>X</t>
        </is>
      </c>
      <c r="C137" s="117" t="inlineStr">
        <is>
          <t>Agrupadora</t>
        </is>
      </c>
      <c r="D137" s="40" t="inlineStr">
        <is>
          <t>20.2 A política ou procedimentos que estabelecem o monitoramento contínuo do programa de integridade definem:</t>
        </is>
      </c>
      <c r="E137" s="120" t="inlineStr">
        <is>
          <t xml:space="preserve">  </t>
        </is>
      </c>
      <c r="F137" s="120" t="inlineStr">
        <is>
          <t xml:space="preserve">  </t>
        </is>
      </c>
      <c r="G137" s="120" t="inlineStr">
        <is>
          <t xml:space="preserve">  </t>
        </is>
      </c>
      <c r="H137" s="120" t="n"/>
      <c r="I137" s="120" t="n"/>
      <c r="J137" s="120" t="n"/>
      <c r="K137" s="120" t="n"/>
      <c r="L137" s="120" t="n"/>
      <c r="M137" s="97" t="n"/>
      <c r="N137" s="98" t="n"/>
    </row>
    <row r="138" ht="72.75" customFormat="1" customHeight="1" s="94">
      <c r="B138" s="117" t="inlineStr">
        <is>
          <t>X</t>
        </is>
      </c>
      <c r="C138" s="117" t="inlineStr">
        <is>
          <t>Questão</t>
        </is>
      </c>
      <c r="D138" s="40" t="inlineStr">
        <is>
          <t>20.2.1 os responsáveis pelo monitoramento? Se sim, anexar a política ou procedimentos e indicar o(s) dispositivo(s) do documento que atenda(m) ao requisito.</t>
        </is>
      </c>
      <c r="E138" s="120" t="inlineStr">
        <is>
          <t>Sim, Não</t>
        </is>
      </c>
      <c r="F138" s="120" t="inlineStr">
        <is>
          <t>QN3</t>
        </is>
      </c>
      <c r="G138" s="120" t="n">
        <v>5</v>
      </c>
      <c r="H138" s="120" t="inlineStr">
        <is>
          <t>Sim</t>
        </is>
      </c>
      <c r="I138" s="120" t="n"/>
      <c r="J138" s="120">
        <f>IF(H138="Sim",G138,
IF(H138="Parcialmente",G138/2,
IF(OR(H138="Não",H138="Não se aplica"),0,"")))
+IF(OR(H138="Sim",H138="Parcialmente"),Tabela1[[#This Row],[Pont. Resdist.]],0)</f>
        <v/>
      </c>
      <c r="K138" s="154" t="inlineStr">
        <is>
          <t>1ª análise: (sem documento)
Documentação complementar: Procedimento de Monitoramento Contínuo do PI V.01.2026</t>
        </is>
      </c>
      <c r="L138" s="154" t="inlineStr">
        <is>
          <t>ATENDIDA — superada com a documentação complementar.
• Análise inicial (resposta anterior: Não): Ausência de política de monitoramento contínuo.
• Complementação (nova documentação): O monitoramento é conduzido pelo Oficial de Compliance, com autonomia e reporte à Diretoria.</t>
        </is>
      </c>
      <c r="M138" s="97" t="n"/>
      <c r="N138" s="98" t="n"/>
    </row>
    <row r="139" ht="102" customFormat="1" customHeight="1" s="94">
      <c r="B139" s="117" t="inlineStr">
        <is>
          <t>X</t>
        </is>
      </c>
      <c r="C139" s="117" t="inlineStr">
        <is>
          <t>Questão</t>
        </is>
      </c>
      <c r="D139" s="40" t="inlineStr">
        <is>
          <t>20.2.2 a periodicidade para realização do monitoramento? Se sim, anexar a política ou procedimentos e indicar o(s) dispositivo(s) do documento que atenda(m) ao requisito.</t>
        </is>
      </c>
      <c r="E139" s="120" t="inlineStr">
        <is>
          <t>Sim, Não</t>
        </is>
      </c>
      <c r="F139" s="120" t="inlineStr">
        <is>
          <t>QN3</t>
        </is>
      </c>
      <c r="G139" s="120" t="n">
        <v>5</v>
      </c>
      <c r="H139" s="120" t="inlineStr">
        <is>
          <t>Sim</t>
        </is>
      </c>
      <c r="I139" s="120" t="n"/>
      <c r="J139" s="120">
        <f>IF(H139="Sim",G139,
IF(H139="Parcialmente",G139/2,
IF(OR(H139="Não",H139="Não se aplica"),0,"")))
+IF(OR(H139="Sim",H139="Parcialmente"),Tabela1[[#This Row],[Pont. Resdist.]],0)</f>
        <v/>
      </c>
      <c r="K139" s="154" t="inlineStr">
        <is>
          <t>1ª análise: (sem documento)
Documentação complementar: Procedimento de Monitoramento Contínuo do PI V.01.2026</t>
        </is>
      </c>
      <c r="L139" s="154" t="inlineStr">
        <is>
          <t>ATENDIDA — superada com a documentação complementar.
• Análise inicial (resposta anterior: Não): Ausência de periodicidade definida para monitoramento.
• Complementação (nova documentação): Define periodicidade mensal, trimestral e anual das atividades de monitoramento.</t>
        </is>
      </c>
      <c r="M139" s="97" t="n"/>
      <c r="N139" s="98" t="n"/>
    </row>
    <row r="140" ht="72.75" customFormat="1" customHeight="1" s="94">
      <c r="B140" s="117" t="inlineStr">
        <is>
          <t>X</t>
        </is>
      </c>
      <c r="C140" s="117" t="inlineStr">
        <is>
          <t>Questão</t>
        </is>
      </c>
      <c r="D140" s="40" t="inlineStr">
        <is>
          <t>20.2.3 as instâncias para as quais serão submetidos os dados e as informações apurados no monitoramento? Se sim, anexar a política ou procedimentos e indicar o(s) dispositivo(s) do documento que atenda(m) ao requisito.</t>
        </is>
      </c>
      <c r="E140" s="120" t="inlineStr">
        <is>
          <t>Sim, Não</t>
        </is>
      </c>
      <c r="F140" s="120" t="inlineStr">
        <is>
          <t>QN3</t>
        </is>
      </c>
      <c r="G140" s="120" t="n">
        <v>5</v>
      </c>
      <c r="H140" s="120" t="inlineStr">
        <is>
          <t>Sim</t>
        </is>
      </c>
      <c r="I140" s="120" t="n"/>
      <c r="J140" s="120">
        <f>IF(H140="Sim",G140,
IF(H140="Parcialmente",G140/2,
IF(OR(H140="Não",H140="Não se aplica"),0,"")))
+IF(OR(H140="Sim",H140="Parcialmente"),Tabela1[[#This Row],[Pont. Resdist.]],0)</f>
        <v/>
      </c>
      <c r="K140" s="154" t="inlineStr">
        <is>
          <t>1ª análise: (sem documento)
Documentação complementar: Procedimento de Monitoramento Contínuo do PI V.01.2026</t>
        </is>
      </c>
      <c r="L140" s="154" t="inlineStr">
        <is>
          <t>ATENDIDA — superada com a documentação complementar.
• Análise inicial (resposta anterior: Não): Ausência de instâncias definidas para receber dados do monitoramento.
• Complementação (nova documentação): Os dados são submetidos à Diretoria Executiva.</t>
        </is>
      </c>
      <c r="M140" s="97" t="n"/>
      <c r="N140" s="98" t="n"/>
    </row>
    <row r="141" customFormat="1" s="94">
      <c r="B141" s="117" t="inlineStr">
        <is>
          <t>X</t>
        </is>
      </c>
      <c r="C141" s="117" t="inlineStr">
        <is>
          <t>Agrupadora</t>
        </is>
      </c>
      <c r="D141" s="40" t="inlineStr">
        <is>
          <t>20.3 A pessoa jurídica realiza um monitoramento contínuo do programa de integridade por meio de:</t>
        </is>
      </c>
      <c r="E141" s="120" t="inlineStr">
        <is>
          <t xml:space="preserve">  </t>
        </is>
      </c>
      <c r="F141" s="120" t="inlineStr">
        <is>
          <t xml:space="preserve">  </t>
        </is>
      </c>
      <c r="G141" s="120" t="inlineStr">
        <is>
          <t xml:space="preserve">  </t>
        </is>
      </c>
      <c r="H141" s="120" t="n"/>
      <c r="I141" s="120" t="n"/>
      <c r="J141" s="120" t="n"/>
      <c r="K141" s="120" t="n"/>
      <c r="L141" s="120" t="n"/>
      <c r="M141" s="97" t="n"/>
      <c r="N141" s="98" t="n"/>
    </row>
    <row r="142" ht="111" customFormat="1" customHeight="1" s="94">
      <c r="B142" s="117" t="inlineStr">
        <is>
          <t>X</t>
        </is>
      </c>
      <c r="C142" s="162" t="inlineStr">
        <is>
          <t>Questão</t>
        </is>
      </c>
      <c r="D142" s="40" t="inlineStr">
        <is>
          <t>20.3.1 utilização de indicadores e estabelecimento de metas de desempenho sobre o programa de integridade, visando avaliar sua efetividade e cumprimento?  Se sim, anexar documentos que comprovem a existência das metas e a utilização dos indicadores.</t>
        </is>
      </c>
      <c r="E142" s="120" t="inlineStr">
        <is>
          <t>Sim, Não</t>
        </is>
      </c>
      <c r="F142" s="120" t="inlineStr">
        <is>
          <t>QN2</t>
        </is>
      </c>
      <c r="G142" s="120" t="n">
        <v>15</v>
      </c>
      <c r="H142" s="120" t="inlineStr">
        <is>
          <t>Sim</t>
        </is>
      </c>
      <c r="I142" s="120" t="n"/>
      <c r="J142" s="120">
        <f>IF(H142="Sim",G142,
IF(H142="Parcialmente",G142/2,
IF(OR(H142="Não",H142="Não se aplica"),0,"")))
+IF(OR(H142="Sim",H142="Parcialmente"),Tabela1[[#This Row],[Pont. Resdist.]],0)</f>
        <v/>
      </c>
      <c r="K142" s="154" t="inlineStr">
        <is>
          <t>1ª análise: (sem documento)
Documentação complementar: Procedimento de Monitoramento Contínuo do PI V.01.2026</t>
        </is>
      </c>
      <c r="L142" s="154" t="inlineStr">
        <is>
          <t>• Análise inicial (resposta anterior: Não): Não foram apresentados indicadores de desempenho ou metas sobre o programa de integridade.
• Complementação (nova documentação): O procedimento define indicadores mínimos; contudo, metas quantificadas de desempenho ainda não foram estabelecidas.
A resposta mais adequada para o item seria pelo atendimento parcial. A avalição optou pelo Sim, pois se vê o início dos trabalhos pela empresa no sentido da implantação dos procedimentos mínimos.</t>
        </is>
      </c>
      <c r="M142" s="97" t="n"/>
      <c r="N142" s="98" t="n"/>
      <c r="AB142" s="164" t="n"/>
    </row>
    <row r="143" ht="132" customFormat="1" customHeight="1" s="94">
      <c r="B143" s="124" t="inlineStr">
        <is>
          <t>X</t>
        </is>
      </c>
      <c r="C143" s="163" t="inlineStr">
        <is>
          <t>Questão</t>
        </is>
      </c>
      <c r="D143" s="125" t="inlineStr">
        <is>
          <t>20.3.2 relatórios periódicos com dados e estatísticas sobre aplicação das principais políticas e procedimentos de integridade?  Se sim, informar os tipos de relatórios produzidos, o conteúdo neles abordado e os sistemas/softwares eventualmente utilizados.</t>
        </is>
      </c>
      <c r="E143" s="126" t="inlineStr">
        <is>
          <t>Sim, Não</t>
        </is>
      </c>
      <c r="F143" s="120" t="inlineStr">
        <is>
          <t>QN2</t>
        </is>
      </c>
      <c r="G143" s="126" t="n">
        <v>15</v>
      </c>
      <c r="H143" s="126" t="inlineStr">
        <is>
          <t>Não</t>
        </is>
      </c>
      <c r="I143" s="126" t="n"/>
      <c r="J143" s="120">
        <f>IF(H143="Sim",G143,
IF(H143="Parcialmente",G143/2,
IF(OR(H143="Não",H143="Não se aplica"),0,"")))
+IF(OR(H143="Sim",H143="Parcialmente"),Tabela1[[#This Row],[Pont. Resdist.]],0)</f>
        <v/>
      </c>
      <c r="K143" s="154" t="inlineStr">
        <is>
          <t>1ª análise: (sem documento)
Documentação complementar: Procedimento de Monitoramento Contínuo do PI V.01.2026</t>
        </is>
      </c>
      <c r="L143" s="154" t="inlineStr">
        <is>
          <t>• Análise inicial (resposta anterior: Não): Não foram apresentados relatórios periódicos com dados e estatísticas de aplicação das políticas de integridade.
• Complementação (nova documentação): Estão previstos relatórios trimestrais/anuais de conformidade; a produção efetiva dos relatórios ainda está em implementação. 
A resposta mais adequada para o item seria pelo atendimento parcial. A avalição optou pelo Não, pois ainda não há relatórios produzidos, apenas previsão.</t>
        </is>
      </c>
      <c r="M143" s="97" t="n"/>
      <c r="N143" s="98" t="n"/>
      <c r="AB143" s="164" t="n"/>
    </row>
    <row r="144" ht="54" customFormat="1" customHeight="1" s="94">
      <c r="B144" s="117" t="inlineStr">
        <is>
          <t>X</t>
        </is>
      </c>
      <c r="C144" s="117" t="inlineStr">
        <is>
          <t>Questão</t>
        </is>
      </c>
      <c r="D144" s="40"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E144" s="120" t="inlineStr">
        <is>
          <t>Sim, Não, Não se aplica</t>
        </is>
      </c>
      <c r="F144" s="120" t="inlineStr">
        <is>
          <t>QN5</t>
        </is>
      </c>
      <c r="G144" s="120" t="n">
        <v>18</v>
      </c>
      <c r="H144" s="120" t="inlineStr">
        <is>
          <t>não</t>
        </is>
      </c>
      <c r="I144" s="120" t="n"/>
      <c r="J144" s="120">
        <f>IF(H144="Sim",G144,
IF(H144="Parcialmente",G144/2,
IF(OR(H144="Não",H144="Não se aplica"),0,"")))
+IF(OR(H144="Sim",H144="Parcialmente"),Tabela1[[#This Row],[Pont. Resdist.]],0)</f>
        <v/>
      </c>
      <c r="K144" s="154" t="inlineStr">
        <is>
          <t>—</t>
        </is>
      </c>
      <c r="L144" s="154" t="inlineStr">
        <is>
          <t>Ausência de monitoramento contínuo estabelecido.</t>
        </is>
      </c>
      <c r="M144" s="99" t="inlineStr">
        <is>
          <t>Grupo: PROGRAMA DE INTEGRIDADE
Questão: Quando entende que seu programa de integridade foi formalmente instituído?
Alternativa: Em até 1 ano</t>
        </is>
      </c>
      <c r="N144" s="100" t="inlineStr">
        <is>
          <t>Distribuir 3,00 pontos para cada uma das questões (6): 
20.1
20.2.1
20.2.2
20.2.3
20.3.1
20.3.2</t>
        </is>
      </c>
    </row>
    <row r="145" ht="15.75" customFormat="1" customHeight="1" s="138">
      <c r="B145" s="135" t="inlineStr">
        <is>
          <t>XI</t>
        </is>
      </c>
      <c r="C145" s="135" t="inlineStr">
        <is>
          <t>Área</t>
        </is>
      </c>
      <c r="D145" s="134" t="inlineStr">
        <is>
          <t>Área XI - Responsabilidade Socioambiental e Transparência</t>
        </is>
      </c>
      <c r="E145" s="136" t="n"/>
      <c r="F145" s="136" t="n"/>
      <c r="G145" s="136" t="n"/>
      <c r="H145" s="136" t="n"/>
      <c r="I145" s="136" t="n"/>
      <c r="J145" s="136" t="n"/>
      <c r="K145" s="136" t="n"/>
      <c r="L145" s="137" t="n"/>
      <c r="M145" s="137" t="n"/>
      <c r="N145" s="136" t="n"/>
    </row>
    <row r="146" customFormat="1" s="94">
      <c r="B146" s="117" t="inlineStr">
        <is>
          <t>XI</t>
        </is>
      </c>
      <c r="C146" s="117" t="inlineStr">
        <is>
          <t>Grupo</t>
        </is>
      </c>
      <c r="D146" s="131" t="inlineStr">
        <is>
          <t>21. Responsabilidade Ambiental</t>
        </is>
      </c>
      <c r="E146" s="132" t="n"/>
      <c r="F146" s="132" t="n"/>
      <c r="G146" s="132" t="n"/>
      <c r="H146" s="132" t="n"/>
      <c r="I146" s="132" t="n"/>
      <c r="J146" s="132" t="n"/>
      <c r="K146" s="132" t="n"/>
      <c r="L146" s="118" t="n"/>
      <c r="M146" s="95" t="n"/>
      <c r="N146" s="96" t="n"/>
    </row>
    <row r="147" ht="52.5" customFormat="1" customHeight="1" s="94">
      <c r="B147" s="117" t="inlineStr">
        <is>
          <t>XI</t>
        </is>
      </c>
      <c r="C147" s="117" t="inlineStr">
        <is>
          <t>Questão</t>
        </is>
      </c>
      <c r="D147" s="40"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E147" s="120" t="inlineStr">
        <is>
          <t>Sim, Não, Parcialmente, Não se aplica</t>
        </is>
      </c>
      <c r="F147" s="120" t="inlineStr">
        <is>
          <t>QN3</t>
        </is>
      </c>
      <c r="G147" s="120" t="n">
        <v>5</v>
      </c>
      <c r="H147" s="120" t="inlineStr">
        <is>
          <t>Sim</t>
        </is>
      </c>
      <c r="I147" s="120" t="n"/>
      <c r="J147" s="120">
        <f>IF(H147="Sim",G147,
IF(H147="Parcialmente",G147/2,
IF(OR(H147="Não",H147="Não se aplica"),0,"")))
+IF(OR(H147="Sim",H147="Parcialmente"),Tabela1[[#This Row],[Pont. Resdist.]],0)</f>
        <v/>
      </c>
      <c r="K147" s="120" t="inlineStr">
        <is>
          <t>Relatorio_Perfil.pdf (Doc 10, PGR-NR1, STARMED, 10/07/2025, folhas 132-141)</t>
        </is>
      </c>
      <c r="L147" s="154" t="inlineStr">
        <is>
          <t>ATENDIDA (mantida da 1ª análise). A empresa possui PGR - Programa de Gerenciamento de Riscos (NR-1), elaborado pela STARMED em 10/07/2025 (Rev. 05), que constitui política e procedimento formal sobre questões de segurança e saúde ocupacional. O PGR contempla gestão de riscos físicos (ruído), químicos, biológicos, ergonômicos e de acidente para todos os GHEs da empresa (administrativo, campo, manutenção e transporte). Limitação: o documento não aborda diretamente gestão ambiental de resíduos, emissões e impactos, focando exclusivamente em SST. Confirmada na reavaliação; a documentação complementar não a contradiz.</t>
        </is>
      </c>
      <c r="M147" s="97" t="inlineStr">
        <is>
          <t>Grupo: PRÁTICAS SOCIOAMBIENTAIS
Questão: A atividade da pessoa jurídica envolve potencial de dano ao meio ambiente?
Alternativa: NÃO</t>
        </is>
      </c>
      <c r="N147" s="100" t="inlineStr">
        <is>
          <t>Distribuir pontos para cada uma das questões (9): 
22.1 = 0,55
22.2 = 0,55
23.1 = 0,55
23.2.1 = 0,55
23.2.2 = 0,55
23.2.3 - 0,55
23.2.4 = 0,55
23.2.5 = 0,55
23.3 = 0,60</t>
        </is>
      </c>
    </row>
    <row r="148" ht="39" customFormat="1" customHeight="1" s="94">
      <c r="B148" s="117" t="inlineStr">
        <is>
          <t>XI</t>
        </is>
      </c>
      <c r="C148" s="117" t="inlineStr">
        <is>
          <t>Questão</t>
        </is>
      </c>
      <c r="D148" s="40" t="inlineStr">
        <is>
          <t>21.2 A pessoa jurídica observa a legislação ambiental e mantém atualizadas as licenças ambientais exigidas para o exercício de suas atividades? Se sim, anexar documentos que comprovem o atendimento ao requisito.</t>
        </is>
      </c>
      <c r="E148" s="120" t="inlineStr">
        <is>
          <t>Sim, Não, Parcialmente, Não se aplica</t>
        </is>
      </c>
      <c r="F148" s="120" t="inlineStr">
        <is>
          <t>QN3</t>
        </is>
      </c>
      <c r="G148" s="120" t="n">
        <v>5</v>
      </c>
      <c r="H148" s="120" t="inlineStr">
        <is>
          <t>Sim</t>
        </is>
      </c>
      <c r="I148" s="120" t="n"/>
      <c r="J148" s="120" t="n">
        <v>0</v>
      </c>
      <c r="K148" s="120" t="inlineStr">
        <is>
          <t>Relatorio_Perfil.pdf (Doc 10, PGR-NR1, STARMED, 10/07/2025); contratos ativos DNIT/GOINFRA/DER</t>
        </is>
      </c>
      <c r="L148" s="154" t="inlineStr">
        <is>
          <t>ATENDIDA (mantida da 1ª análise). A empresa observa a legislação de saúde e segurança no trabalho, com PGR (NR-1) elaborado em 10/07/2025 (Rev. 05, STARMED), demonstrando conformidade com obrigações trabalhistas. Como empresa de engenharia com contratos públicos ativos (DNIT, GOINFRA, DER/PE, DER/CE, DNIT/AL), está sujeita a rigorosa fiscalização ambiental inerente a esses contratos. Não foram apresentadas licenças ambientais específicas, mas a natureza do negócio (supervisão de obras) não exige licenças ambientais próprias — tais exigências recaem sobre os construtores. Confirmada na reavaliação; a documentação complementar não a contradiz.</t>
        </is>
      </c>
      <c r="M148" s="97" t="inlineStr">
        <is>
          <t>Grupo: PRÁTICAS SOCIOAMBIENTAIS
Questão: A atividade da pessoa jurídica envolve potencial de dano ao meio ambiente?
Alternativa: NÃO</t>
        </is>
      </c>
      <c r="N148" s="100" t="inlineStr">
        <is>
          <t>Distribuir  pontos para cada uma das questões (9): 
22.1 = 0,55
22.2 = 0,55
23.1 = 0,55
23.2.1 = 0,55
23.2.2 = 0,55
23.2.3 - 0,55
23.2.4 = 0,55
23.2.5 = 0,55
23.3 = 0,60</t>
        </is>
      </c>
    </row>
    <row r="149" customFormat="1" s="94">
      <c r="B149" s="117" t="inlineStr">
        <is>
          <t>XI</t>
        </is>
      </c>
      <c r="C149" s="117" t="inlineStr">
        <is>
          <t>Grupo</t>
        </is>
      </c>
      <c r="D149" s="131" t="inlineStr">
        <is>
          <t>22. Responsabilidade Social</t>
        </is>
      </c>
      <c r="E149" s="132" t="n"/>
      <c r="F149" s="132" t="n"/>
      <c r="G149" s="132" t="n"/>
      <c r="H149" s="132" t="n"/>
      <c r="I149" s="132" t="n"/>
      <c r="J149" s="132" t="n"/>
      <c r="K149" s="132" t="n"/>
      <c r="L149" s="132" t="n"/>
      <c r="M149" s="95" t="n"/>
      <c r="N149" s="96" t="n"/>
    </row>
    <row r="150" ht="162" customFormat="1" customHeight="1" s="94">
      <c r="B150" s="117" t="inlineStr">
        <is>
          <t>XI</t>
        </is>
      </c>
      <c r="C150" s="117" t="inlineStr">
        <is>
          <t>Questão</t>
        </is>
      </c>
      <c r="D150" s="40"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E150" s="120" t="inlineStr">
        <is>
          <t>Sim, Não, Parcialmente</t>
        </is>
      </c>
      <c r="F150" s="120" t="inlineStr">
        <is>
          <t>QN3</t>
        </is>
      </c>
      <c r="G150" s="120" t="n">
        <v>5</v>
      </c>
      <c r="H150" s="120" t="inlineStr">
        <is>
          <t>Parcialmente</t>
        </is>
      </c>
      <c r="I150" s="120" t="n"/>
      <c r="J150" s="120">
        <f>IF(H150="Sim",G150,
IF(H150="Parcialmente",G150/2,
IF(OR(H150="Não",H150="Não se aplica"),0,"")))
+IF(OR(H150="Sim",H150="Parcialmente"),Tabela1[[#This Row],[Pont. Resdist.]],0)</f>
        <v/>
      </c>
      <c r="K150" s="120" t="inlineStr">
        <is>
          <t>Relatorio_Perfil.pdf (Doc 10, PGR-NR1, folhas 132-141); Assédio.pdf (Doc 12.4, 26/03/2026)</t>
        </is>
      </c>
      <c r="L150" s="154" t="inlineStr">
        <is>
          <t>PARCIALMENTE ATENDIDA.
• Análise inicial (resposta anterior: Parcialmente): A empresa demonstra preocupação com proteção dos trabalhadores nas relações internas por meio de: (i) PGR - Programa de Gerenciamento de Riscos (NR-1, STARMED, 10/07/2025) com avaliação de riscos ocupacionais por GHE para todos os 4 setores (administrativo, campo, manutenção e transporte); e (ii) cartilha sobre assédio moral, sexual e discriminação enviada em 26/03/2026 para toda a equipe. Ausência de política formal e abrangente de direitos humanos que integre ambos os temas.
• Complementação (nova documentação): A Política de Doações/Patrocínios reforça a atuação socioambiental; demais atividades permanecem parcialmente evidenciadas.</t>
        </is>
      </c>
      <c r="M150" s="97" t="n"/>
      <c r="N150" s="98" t="n"/>
    </row>
    <row r="151" ht="126.75" customFormat="1" customHeight="1" s="94">
      <c r="B151" s="117" t="inlineStr">
        <is>
          <t>XI</t>
        </is>
      </c>
      <c r="C151" s="117" t="inlineStr">
        <is>
          <t>Questão</t>
        </is>
      </c>
      <c r="D151" s="40"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E151" s="120" t="inlineStr">
        <is>
          <t>Sim, Não, Parcialmente</t>
        </is>
      </c>
      <c r="F151" s="120" t="inlineStr">
        <is>
          <t>QN3</t>
        </is>
      </c>
      <c r="G151" s="120" t="n">
        <v>5</v>
      </c>
      <c r="H151" s="120" t="inlineStr">
        <is>
          <t>Não</t>
        </is>
      </c>
      <c r="I151" s="120" t="n"/>
      <c r="J151" s="120">
        <f>IF(H151="Sim",G151,
IF(H151="Parcialmente",G151/2,
IF(OR(H151="Não",H151="Não se aplica"),0,"")))
+IF(OR(H151="Sim",H151="Parcialmente"),Tabela1[[#This Row],[Pont. Resdist.]],0)</f>
        <v/>
      </c>
      <c r="K151" s="120" t="inlineStr">
        <is>
          <t>Ausência de documento</t>
        </is>
      </c>
      <c r="L151" s="154" t="inlineStr">
        <is>
          <t>NÃO ATENDIDA.
• Análise inicial (resposta anterior: Não): Não foram apresentadas políticas ou atividades voltadas à proteção e promoção de direitos humanos no ambiente externo à organização.
• Complementação (nova documentação): Não foram apresentadas novas evidências de políticas/atividades ambientais específicas.</t>
        </is>
      </c>
      <c r="M151" s="97" t="n"/>
      <c r="N151" s="98" t="n"/>
    </row>
    <row r="152" customFormat="1" s="94">
      <c r="B152" s="117" t="inlineStr">
        <is>
          <t>XI</t>
        </is>
      </c>
      <c r="C152" s="117" t="inlineStr">
        <is>
          <t>Grupo</t>
        </is>
      </c>
      <c r="D152" s="122" t="inlineStr">
        <is>
          <t>23. Transparência</t>
        </is>
      </c>
      <c r="E152" s="133" t="n"/>
      <c r="F152" s="133" t="n"/>
      <c r="G152" s="133" t="n"/>
      <c r="H152" s="133" t="n"/>
      <c r="I152" s="133" t="n"/>
      <c r="J152" s="133" t="n"/>
      <c r="K152" s="133" t="n"/>
      <c r="L152" s="133" t="n"/>
      <c r="M152" s="95" t="n"/>
      <c r="N152" s="96" t="n"/>
    </row>
    <row r="153" ht="214.5" customFormat="1" customHeight="1" s="94">
      <c r="B153" s="117" t="inlineStr">
        <is>
          <t>XI</t>
        </is>
      </c>
      <c r="C153" s="117" t="inlineStr">
        <is>
          <t>Questão</t>
        </is>
      </c>
      <c r="D153" s="121"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E153" s="120" t="inlineStr">
        <is>
          <t>Sim, Não</t>
        </is>
      </c>
      <c r="F153" s="120" t="inlineStr">
        <is>
          <t>QN1</t>
        </is>
      </c>
      <c r="G153" s="120" t="n">
        <v>20</v>
      </c>
      <c r="H153" s="120" t="inlineStr">
        <is>
          <t>Sim</t>
        </is>
      </c>
      <c r="I153" s="120" t="n"/>
      <c r="J153" s="120">
        <f>IF(H153="Sim",G153,
IF(H153="Parcialmente",G153/2,
IF(OR(H153="Não",H153="Não se aplica"),0,"")))
+IF(OR(H153="Sim",H153="Parcialmente"),Tabela1[[#This Row],[Pont. Resdist.]],0)</f>
        <v/>
      </c>
      <c r="K153" s="120" t="inlineStr">
        <is>
          <t>Site: www.jdseng.com.br, abas: ética e integridade; e ouvidoria.</t>
        </is>
      </c>
      <c r="L153" s="154" t="inlineStr">
        <is>
          <t xml:space="preserve">
• Análise inicial (resposta anterior: Não): QUESTÃO CRÍTICA ELIMINATÓRIA. Nenhuma evidência de comprometimento institucional com ética e integridade foi apresentada no site ou redes sociais da empresa. Nenhuma URL ou print de página foi submetido.
• Complementação (nova documentação): A empresa informou o canal de ouvidoria no site e que isso evidencia presença institucional de integridade online; porém, não foi juntada evidência (print) de manifestação institucional clara do compromisso com ética/integridade na página. Em visita ao seu site (27/08/2026)  foi verificada uma aba específica que cuida do tema ética e integridade com a indicação para o código de ética e também para a área de ouvidoria. 
No campo da ouvidoria (do site), requer aprimoramento como: renomear acesso para Canal de Denúncias na página principal e na página do canal, bem como renomear o formulário para "denúncias ou manifestações" e mover a denúncia por email para abaixo do formulário.</t>
        </is>
      </c>
      <c r="M153" s="97" t="n"/>
      <c r="N153" s="98" t="n"/>
      <c r="AB153" s="164" t="n"/>
    </row>
    <row r="154" ht="25.5" customFormat="1" customHeight="1" s="94">
      <c r="B154" s="117" t="inlineStr">
        <is>
          <t>XI</t>
        </is>
      </c>
      <c r="C154" s="117" t="inlineStr">
        <is>
          <t>Agrupadora</t>
        </is>
      </c>
      <c r="D154" s="40" t="inlineStr">
        <is>
          <t>23.2 A pessoa jurídica disponibiliza em seu site institucional, em português, informações completas e atualizadas sobre:</t>
        </is>
      </c>
      <c r="E154" s="120" t="inlineStr">
        <is>
          <t xml:space="preserve">  </t>
        </is>
      </c>
      <c r="F154" s="120" t="inlineStr">
        <is>
          <t xml:space="preserve">  </t>
        </is>
      </c>
      <c r="G154" s="120" t="inlineStr">
        <is>
          <t xml:space="preserve">  </t>
        </is>
      </c>
      <c r="H154" s="120" t="n"/>
      <c r="I154" s="120" t="n"/>
      <c r="J154" s="120" t="n"/>
      <c r="K154" s="120" t="n"/>
      <c r="L154" s="120" t="n"/>
      <c r="M154" s="97" t="n"/>
      <c r="N154" s="98" t="n"/>
    </row>
    <row r="155" ht="166.5" customFormat="1" customHeight="1" s="94">
      <c r="B155" s="117" t="inlineStr">
        <is>
          <t>XI</t>
        </is>
      </c>
      <c r="C155" s="117" t="inlineStr">
        <is>
          <t>Questão</t>
        </is>
      </c>
      <c r="D155" s="40" t="inlineStr">
        <is>
          <t>23.2.1 principais atividades exercidas? Se sim, indicar o link e descrever o caminho, desde a página inicial da entidade, em que tal informação é disponibilizada.</t>
        </is>
      </c>
      <c r="E155" s="120" t="inlineStr">
        <is>
          <t>Sim, Não</t>
        </is>
      </c>
      <c r="F155" s="120" t="inlineStr">
        <is>
          <t>QN3</t>
        </is>
      </c>
      <c r="G155" s="120" t="n">
        <v>5</v>
      </c>
      <c r="H155" s="120" t="inlineStr">
        <is>
          <t>Sim</t>
        </is>
      </c>
      <c r="I155" s="120" t="n"/>
      <c r="J155" s="120">
        <f>IF(H155="Sim",G155,
IF(H155="Parcialmente",G155/2,
IF(OR(H155="Não",H155="Não se aplica"),0,"")))
+IF(OR(H155="Sim",H155="Parcialmente"),Tabela1[[#This Row],[Pont. Resdist.]],0)</f>
        <v/>
      </c>
      <c r="K155" s="120" t="inlineStr">
        <is>
          <t>Ausência de URL</t>
        </is>
      </c>
      <c r="L155" s="154" t="inlineStr">
        <is>
          <t>NÃO ATENDIDA.
• Análise inicial (resposta anterior: Não): Por meio do site (https://jdseng.com.br/) na página inicial verifica-se que a empresa tem como atividades - Supervisão de obras; Elaboração de projetos; Gestão ambiental. Entretanto ao clicar em cada atividade, aparece a seguinte mensagem:  Status do Site: Suspeito. Dessa forma, verifica-se que o site não direciona para as informações completas e atualizadas de cada atividade. Obs.: Data de acesso ao site - 27/05/2026.
• Complementação (nova documentação): Não foi juntada evidência do conteúdo do site quanto às atividades da empresa. Além disso, o site da empresa (www.jsdeng.com.br) não funcionou no dia 11/08/2026. Segue a mensagem ao tentar visitar o site  - "FortiGuard Intrusion Prevention - Access Blocked Web Page Blocked".</t>
        </is>
      </c>
      <c r="M155" s="97" t="n"/>
      <c r="N155" s="98" t="n"/>
    </row>
    <row r="156" ht="120.75" customFormat="1" customHeight="1" s="94">
      <c r="B156" s="117" t="inlineStr">
        <is>
          <t>XI</t>
        </is>
      </c>
      <c r="C156" s="117" t="inlineStr">
        <is>
          <t>Questão</t>
        </is>
      </c>
      <c r="D156" s="40" t="inlineStr">
        <is>
          <t>23.2.2 identificação de seus proprietários ou principais acionistas?  Se sim, indicar o link e descrever o caminho, desde a página inicial da entidade, em que tal informação é disponibilizada.</t>
        </is>
      </c>
      <c r="E156" s="120" t="inlineStr">
        <is>
          <t>Sim, Não</t>
        </is>
      </c>
      <c r="F156" s="120" t="inlineStr">
        <is>
          <t>QN3</t>
        </is>
      </c>
      <c r="G156" s="120" t="n">
        <v>5</v>
      </c>
      <c r="H156" s="120" t="inlineStr">
        <is>
          <t>Sim</t>
        </is>
      </c>
      <c r="I156" s="120" t="n"/>
      <c r="J156" s="120">
        <f>IF(H156="Sim",G156,
IF(H156="Parcialmente",G156/2,
IF(OR(H156="Não",H156="Não se aplica"),0,"")))
+IF(OR(H156="Sim",H156="Parcialmente"),Tabela1[[#This Row],[Pont. Resdist.]],0)</f>
        <v/>
      </c>
      <c r="K156" s="120" t="inlineStr">
        <is>
          <t>Doc. 3, p.5</t>
        </is>
      </c>
      <c r="L156" s="154" t="inlineStr">
        <is>
          <t>NÃO ATENDIDA.
• Análise inicial (resposta anterior: Não): A empresa informou seu organograma por meio do DOC. 3, p. 5. Entretanto, o site da empresa está com defeito ao se tentar buscar qualquer informação, conforme registrado no item 23.2. Obs.: Data de acesso ao site - 27/05/2026.
• Complementação (nova documentação): O site da empresa (www.jsdeng.com.br) não funcionou no dia 11/08/2026. Segue a mensagem ao tentar visitar o site  - "FortiGuard Intrusion Prevention - Access Blocked Web Page Blocked".</t>
        </is>
      </c>
      <c r="M156" s="97" t="n"/>
      <c r="N156" s="98" t="n"/>
    </row>
    <row r="157" ht="114.75" customFormat="1" customHeight="1" s="94">
      <c r="B157" s="117" t="inlineStr">
        <is>
          <t>XI</t>
        </is>
      </c>
      <c r="C157" s="117" t="inlineStr">
        <is>
          <t>Questão</t>
        </is>
      </c>
      <c r="D157" s="40" t="inlineStr">
        <is>
          <t>23.2.3 identificação e função de seus principais executivos e dirigentes? Se sim, indicar o link e descrever o caminho, desde a página inicial da entidade, em que tal informação é disponibilizada.</t>
        </is>
      </c>
      <c r="E157" s="120" t="inlineStr">
        <is>
          <t>Sim, Não</t>
        </is>
      </c>
      <c r="F157" s="120" t="inlineStr">
        <is>
          <t>QN3</t>
        </is>
      </c>
      <c r="G157" s="120" t="n">
        <v>5</v>
      </c>
      <c r="H157" s="120" t="inlineStr">
        <is>
          <t>Sim</t>
        </is>
      </c>
      <c r="I157" s="120" t="n"/>
      <c r="J157" s="120">
        <f>IF(H157="Sim",G157,
IF(H157="Parcialmente",G157/2,
IF(OR(H157="Não",H157="Não se aplica"),0,"")))
+IF(OR(H157="Sim",H157="Parcialmente"),Tabela1[[#This Row],[Pont. Resdist.]],0)</f>
        <v/>
      </c>
      <c r="K157" s="120" t="inlineStr">
        <is>
          <t>Doc. 3, p.5</t>
        </is>
      </c>
      <c r="L157" s="154" t="inlineStr">
        <is>
          <t>NÃO ATENDIDA.
• Análise inicial (resposta anterior: Não): A empresa informou a identificação e função por meio do seu organograma, DOC. 3, p. 5. Entretanto, o site da empresa está com defeito ao se tentar buscar qualquer informação, conforme registrado no item 23.2. Obs.: Data de acesso ao site - 27/05/2026.
• Complementação (nova documentação): Não foi juntada evidência do conteúdo do site quanto à identificação dos principais executivos/dirigentes. Além disso, o site da empresa (www.jsdeng.com.br) não funcionou no dia 11/08/2026. Segue a mensagem ao tentar visitar o site  - "FortiGuard Intrusion Prevention - Access Blocked Web Page Blocked".</t>
        </is>
      </c>
      <c r="M157" s="97" t="n"/>
      <c r="N157" s="98" t="n"/>
    </row>
    <row r="158" ht="121.5" customFormat="1" customHeight="1" s="94">
      <c r="B158" s="117" t="inlineStr">
        <is>
          <t>XI</t>
        </is>
      </c>
      <c r="C158" s="117" t="inlineStr">
        <is>
          <t>Questão</t>
        </is>
      </c>
      <c r="D158" s="40" t="inlineStr">
        <is>
          <t>23.2.4 os patrocínios e doações realizados ou a informação explícita de que não realiza tais ações?  Se sim, indicar o link e descrever o caminho, desde a página inicial da entidade, em que tal informação é disponibilizada.</t>
        </is>
      </c>
      <c r="E158" s="120" t="inlineStr">
        <is>
          <t>Sim, Não</t>
        </is>
      </c>
      <c r="F158" s="120" t="inlineStr">
        <is>
          <t>QN3</t>
        </is>
      </c>
      <c r="G158" s="120" t="n">
        <v>5</v>
      </c>
      <c r="H158" s="120" t="inlineStr">
        <is>
          <t>Não</t>
        </is>
      </c>
      <c r="I158" s="120" t="n"/>
      <c r="J158" s="120">
        <f>IF(H158="Sim",G158,
IF(H158="Parcialmente",G158/2,
IF(OR(H158="Não",H158="Não se aplica"),0,"")))
+IF(OR(H158="Sim",H158="Parcialmente"),Tabela1[[#This Row],[Pont. Resdist.]],0)</f>
        <v/>
      </c>
      <c r="K158" s="120" t="inlineStr">
        <is>
          <t>Ausência de URL/link do site institucional</t>
        </is>
      </c>
      <c r="L158" s="154" t="inlineStr">
        <is>
          <t>PARCIALMENTE ATENDIDA.
• Análise inicial (resposta anterior: Não): O site da empresa (https://jdseng.com.br/) não indica em sua página principal patrocínios e doações. Ademais, conforme registrado o site apresentou defeitos e não abre outras abas. Obs.: Data de acesso ao site - 27/05/2026.
• Complementação (nova documentação): A Política de Doações prevê a divulgação dos patrocínios/doações na página institucional; ainda pendente a evidência da publicação. Além disso, o site da empresa (www.jsdeng.com.br) não funcionou no dia 11/08/2026. Segue a mensagem ao tentar visitar o site  - "FortiGuard Intrusion Prevention - Access Blocked Web Page Blocked".</t>
        </is>
      </c>
      <c r="M158" s="97" t="n"/>
      <c r="N158" s="98" t="n"/>
    </row>
    <row r="159" ht="102" customFormat="1" customHeight="1" s="94">
      <c r="B159" s="117" t="inlineStr">
        <is>
          <t>XI</t>
        </is>
      </c>
      <c r="C159" s="117" t="inlineStr">
        <is>
          <t>Questão</t>
        </is>
      </c>
      <c r="D159" s="123" t="inlineStr">
        <is>
          <t>23.2.5 as participações em licitações públicas e contratos firmados com a Administração Pública? Se sim, indicar o link e descrever o caminho, desde a página inicial da entidade, em que tal informação é disponibilizada.</t>
        </is>
      </c>
      <c r="E159" s="120" t="inlineStr">
        <is>
          <t>Sim, Não</t>
        </is>
      </c>
      <c r="F159" s="120" t="inlineStr">
        <is>
          <t>QN3</t>
        </is>
      </c>
      <c r="G159" s="120" t="n">
        <v>5</v>
      </c>
      <c r="H159" s="120" t="inlineStr">
        <is>
          <t>Não</t>
        </is>
      </c>
      <c r="I159" s="120" t="n"/>
      <c r="J159" s="120">
        <f>IF(H159="Sim",G159,
IF(H159="Parcialmente",G159/2,
IF(OR(H159="Não",H159="Não se aplica"),0,"")))
+IF(OR(H159="Sim",H159="Parcialmente"),Tabela1[[#This Row],[Pont. Resdist.]],0)</f>
        <v/>
      </c>
      <c r="K159" s="120" t="inlineStr">
        <is>
          <t>Ausência de URL/link do site institucional</t>
        </is>
      </c>
      <c r="L159" s="158" t="inlineStr">
        <is>
          <t>NÃO ATENDIDA.
• Análise inicial (resposta anterior: Não): O site da empresa (https://jdseng.com.br/) não indica em sua página principal as participações em licitações públicas e contratos firmados com a Administração Pública.
• Complementação (nova documentação): Não foi juntada evidência do conteúdo do site quanto a participações em licitações/contratos com o Poder Público. Além disso, o site da empresa (www.jsdeng.com.br) não funcionou no dia 11/08/2026. Segue a mensagem ao tentar visitar o site  - "FortiGuard Intrusion Prevention - Access Blocked Web Page Blocked".</t>
        </is>
      </c>
      <c r="M159" s="97" t="n"/>
      <c r="N159" s="98" t="n"/>
    </row>
    <row r="160" ht="89.25" customFormat="1" customHeight="1" s="94">
      <c r="B160" s="124" t="inlineStr">
        <is>
          <t>XI</t>
        </is>
      </c>
      <c r="C160" s="124" t="inlineStr">
        <is>
          <t>Questão</t>
        </is>
      </c>
      <c r="D160" s="125" t="inlineStr">
        <is>
          <t>23.3 Existe uma seção específica no site da pessoa jurídica que reúna as informações sobre o programa de integridade? Se sim, indicar o link e descrever o caminho, desde a página inicial da entidade, em que tal informação é disponibilizada.</t>
        </is>
      </c>
      <c r="E160" s="126" t="inlineStr">
        <is>
          <t>Sim, Não</t>
        </is>
      </c>
      <c r="F160" s="120" t="inlineStr">
        <is>
          <t>QN5</t>
        </is>
      </c>
      <c r="G160" s="126" t="n">
        <v>18</v>
      </c>
      <c r="H160" s="120" t="inlineStr">
        <is>
          <t>Não</t>
        </is>
      </c>
      <c r="I160" s="120" t="n"/>
      <c r="J160" s="120">
        <f>IF(H160="Sim",G160,
IF(H160="Parcialmente",G160/2,
IF(OR(H160="Não",H160="Não se aplica"),0,"")))
+IF(OR(H160="Sim",H160="Parcialmente"),Tabela1[[#This Row],[Pont. Resdist.]],0)</f>
        <v/>
      </c>
      <c r="K160" s="120" t="inlineStr">
        <is>
          <t>Ausência de URL/link do site institucional</t>
        </is>
      </c>
      <c r="L160" s="158" t="inlineStr">
        <is>
          <t>NÃO ATENDIDA.
• Análise inicial (resposta anterior: Não): O site da empresa (https://jdseng.com.br/) não indica em sua página principal as informações sobre o programa de integridade.
• Complementação (nova documentação): Além da ouvidoria, não foi evidenciada seção específica no site reunindo as informações de integridade. Além disso, o site da empresa (www.jsdeng.com.br) não funcionou no dia 11/08/2026. Segue a mensagem ao tentar visitar o site  - "FortiGuard Intrusion Prevention - Access Blocked Web Page Blocked".</t>
        </is>
      </c>
      <c r="M160" s="97" t="n"/>
      <c r="N160" s="98" t="n"/>
    </row>
    <row r="161" ht="31.5" customFormat="1" customHeight="1" s="138">
      <c r="B161" s="135" t="inlineStr">
        <is>
          <t>XII</t>
        </is>
      </c>
      <c r="C161" s="135" t="inlineStr">
        <is>
          <t>Área</t>
        </is>
      </c>
      <c r="D161" s="134" t="inlineStr">
        <is>
          <t>Área XII - Medidas de Remediação adotadas em face dos atos que ensejaram a aplicação da sanção</t>
        </is>
      </c>
      <c r="E161" s="136" t="n"/>
      <c r="F161" s="136" t="n"/>
      <c r="G161" s="136" t="n"/>
      <c r="H161" s="136" t="n"/>
      <c r="I161" s="136" t="n"/>
      <c r="J161" s="136" t="n"/>
      <c r="K161" s="136" t="n"/>
      <c r="L161" s="137" t="n"/>
      <c r="M161" s="137" t="n"/>
      <c r="N161" s="136" t="n"/>
    </row>
    <row r="162" customFormat="1" s="94">
      <c r="B162" s="117" t="inlineStr">
        <is>
          <t>XII</t>
        </is>
      </c>
      <c r="C162" s="117" t="inlineStr">
        <is>
          <t>Grupo</t>
        </is>
      </c>
      <c r="D162" s="131" t="inlineStr">
        <is>
          <t>24. Ações adotadas em relação aos envolvidos no ilícito</t>
        </is>
      </c>
      <c r="E162" s="132" t="n"/>
      <c r="F162" s="132" t="n"/>
      <c r="G162" s="132" t="n"/>
      <c r="H162" s="132" t="n"/>
      <c r="I162" s="132" t="n"/>
      <c r="J162" s="132" t="n"/>
      <c r="K162" s="132" t="n"/>
      <c r="L162" s="118" t="n"/>
      <c r="M162" s="95" t="n"/>
      <c r="N162" s="96" t="n"/>
      <c r="O162" s="110" t="n"/>
    </row>
    <row r="163" ht="281.25" customFormat="1" customHeight="1" s="94">
      <c r="B163" s="117" t="inlineStr">
        <is>
          <t>XII</t>
        </is>
      </c>
      <c r="C163" s="117" t="inlineStr">
        <is>
          <t>Questão</t>
        </is>
      </c>
      <c r="D163" s="121" t="inlineStr">
        <is>
          <t>24.1 A pessoa jurídica aplicou as medidas disciplinares cabíveis em face dos ilícitos que ocasionaram sua inabilitação? Se sim, anexar documentos que comprovem essa informação e descrever que medidas foram aplicadas e os profissionais ou entidades alcançados.</t>
        </is>
      </c>
      <c r="E163" s="120" t="inlineStr">
        <is>
          <t>Sim, Não</t>
        </is>
      </c>
      <c r="F163" s="126" t="inlineStr">
        <is>
          <t>QN4</t>
        </is>
      </c>
      <c r="G163" s="120" t="n">
        <v>25</v>
      </c>
      <c r="H163" s="120" t="inlineStr">
        <is>
          <t>Sim</t>
        </is>
      </c>
      <c r="I163" s="120" t="n"/>
      <c r="J163" s="120">
        <f>IF(H163="Sim",G163,
IF(H163="Parcialmente",G163/2,
IF(OR(H163="Não",H163="Não se aplica"),0,"")))
+IF(OR(H163="Sim",H163="Parcialmente"),Tabela1[[#This Row],[Pont. Resdist.]],0)</f>
        <v/>
      </c>
      <c r="K163" s="154" t="inlineStr">
        <is>
          <t>1ª análise: Doc 12 - Rel. Conformidade; Doc 12.1; ausência de documentação sobre responsabilização individual dos envolvidos no ilícito
Documentação complementar: Sentença criminal (AP 0000959-26.2017.4.01.4101, 31/07/2026) e Petição de Juntada; 13ª Alteração Contratual (JUCERJA, deferida 16/01/2026)</t>
        </is>
      </c>
      <c r="L163" s="154" t="inlineStr">
        <is>
          <t>ESSE PONTO PODE SER AUXILIADO PELO JURÍDICO DA CGU (OU POR ALGUM ENTENDIMENTO QUANDO A EMPRESA É FAMILIAR).
• Análise inicial (resposta anterior: Não): A empresa implementou o PI como medida remediadora geral. Contudo, não apresentou medidas disciplinares específicas aplicadas aos responsáveis diretos pela omissão nas medições do Contrato 679/2010. O Diretor-Presidente João Darous, gestor da empresa na época dos fatos (2010-2011), permanece no cargo sem responsabilização documentada.
• Complementação (nova documentação): Não foram aplicadas medidas disciplinares aos responsáveis pelo ilícito administrativo que ensejou a inidoneidade; o sócio-administrador João Darous permanece no cargo. 
Entretanto, a sentença criminal de 31/07/2026 absolveu João Darous por insuficiência de provas (art. 386, VII, CPP) e reconheceu prescrição (art. 288, CP) — elemento novo relevante, porém, pela independência das instâncias (art. 935 do Código Civil), a absolvição por insuficiência de provas não vincula nem exclui a responsabilidade administrativa que fundamentou a sanção, tampouco equivale a medida disciplinar. Sendo assim, como não há como provar a atuação dao Sr. João Darous pode-se considerar o questão superada.</t>
        </is>
      </c>
      <c r="M163" s="97" t="n"/>
      <c r="N163" s="98" t="n"/>
      <c r="O163" s="111" t="inlineStr">
        <is>
          <t xml:space="preserve">Lista dos envolvidos nos atos lesivos? </t>
        </is>
      </c>
      <c r="AB163" s="164" t="n"/>
    </row>
    <row r="164" customFormat="1" s="94">
      <c r="B164" s="117" t="inlineStr">
        <is>
          <t>XII</t>
        </is>
      </c>
      <c r="C164" s="117" t="inlineStr">
        <is>
          <t>Agrupadora</t>
        </is>
      </c>
      <c r="D164" s="40" t="inlineStr">
        <is>
          <t>24.2 As medidas disciplinares:</t>
        </is>
      </c>
      <c r="E164" s="120" t="inlineStr">
        <is>
          <t xml:space="preserve">  </t>
        </is>
      </c>
      <c r="F164" s="117" t="inlineStr">
        <is>
          <t xml:space="preserve">  </t>
        </is>
      </c>
      <c r="G164" s="120" t="inlineStr">
        <is>
          <t xml:space="preserve">  </t>
        </is>
      </c>
      <c r="H164" s="120" t="n"/>
      <c r="I164" s="120" t="n"/>
      <c r="J164" s="120" t="n"/>
      <c r="K164" s="120" t="n"/>
      <c r="L164" s="120" t="n"/>
      <c r="M164" s="97" t="n"/>
      <c r="N164" s="98" t="n"/>
      <c r="O164" s="110" t="n"/>
    </row>
    <row r="165" ht="141.75" customFormat="1" customHeight="1" s="94">
      <c r="B165" s="117" t="inlineStr">
        <is>
          <t>XII</t>
        </is>
      </c>
      <c r="C165" s="117" t="inlineStr">
        <is>
          <t>Questão</t>
        </is>
      </c>
      <c r="D165" s="40" t="inlineStr">
        <is>
          <t>24.2.1 foram proporcionais à gravidade do ilícito praticado? Se sim, anexar documentos que comprovem essa informação e relacionar os atos praticados e as medidas disciplinares aplicadas.</t>
        </is>
      </c>
      <c r="E165" s="120" t="inlineStr">
        <is>
          <t>Sim, Não</t>
        </is>
      </c>
      <c r="F165" s="120" t="inlineStr">
        <is>
          <t>QN3</t>
        </is>
      </c>
      <c r="G165" s="120" t="n">
        <v>5</v>
      </c>
      <c r="H165" s="120" t="inlineStr">
        <is>
          <t>Não</t>
        </is>
      </c>
      <c r="I165" s="120" t="n"/>
      <c r="J165" s="120">
        <f>IF(H165="Sim",G165,
IF(H165="Parcialmente",G165/2,
IF(OR(H165="Não",H165="Não se aplica"),0,"")))
+IF(OR(H165="Sim",H165="Parcialmente"),Tabela1[[#This Row],[Pont. Resdist.]],0)</f>
        <v/>
      </c>
      <c r="K165" s="154" t="inlineStr">
        <is>
          <t>1ª análise: (sem documento)
Documentação complementar: Sentença criminal (AP 0000959-26.2017.4.01.4101, 31/07/2026) e Petição de Juntada</t>
        </is>
      </c>
      <c r="L165" s="154" t="inlineStr">
        <is>
          <t xml:space="preserve">
• Análise inicial (resposta anterior: Não): Sem medidas disciplinares específicas aplicadas aos responsáveis pelo ilícito original (omissão na verificação das medições 10 e 11 do Contrato 679/2010, mai/jun de 2011).
• Complementação (nova documentação): Não houve aplicação de medidas disciplinares, prejudicando a análise de proporcionalidade. 
Verificar que houve uma decisão judicial absovendo o Sr. João Darous por insulficiência de provas (conforme descrito no item 24.1).</t>
        </is>
      </c>
      <c r="M165" s="97" t="n"/>
      <c r="N165" s="98" t="n"/>
      <c r="O165" s="110" t="n"/>
    </row>
    <row r="166" ht="123.75" customFormat="1" customHeight="1" s="94">
      <c r="B166" s="117" t="inlineStr">
        <is>
          <t>XII</t>
        </is>
      </c>
      <c r="C166" s="117" t="inlineStr">
        <is>
          <t>Questão</t>
        </is>
      </c>
      <c r="D166" s="40" t="inlineStr">
        <is>
          <t>24.2.2 foram aplicadas a todos os envolvidos no ilícito, incluindo conforme o caso, empregados, administradores e terceiros? Se sim, anexar documentos que comprovem essa informação e relacionar os atos praticados e as medidas disciplinares aplicadas a cada envolvido, incluindo empregados, administradores e terceiros.</t>
        </is>
      </c>
      <c r="E166" s="120" t="inlineStr">
        <is>
          <t>Sim, Não</t>
        </is>
      </c>
      <c r="F166" s="120" t="inlineStr">
        <is>
          <t>QN3</t>
        </is>
      </c>
      <c r="G166" s="120" t="n">
        <v>5</v>
      </c>
      <c r="H166" s="120" t="inlineStr">
        <is>
          <t>Não</t>
        </is>
      </c>
      <c r="I166" s="120" t="n"/>
      <c r="J166" s="120">
        <f>IF(H166="Sim",G166,
IF(H166="Parcialmente",G166/2,
IF(OR(H166="Não",H166="Não se aplica"),0,"")))
+IF(OR(H166="Sim",H166="Parcialmente"),Tabela1[[#This Row],[Pont. Resdist.]],0)</f>
        <v/>
      </c>
      <c r="K166" s="154" t="inlineStr">
        <is>
          <t>1ª análise: Doc 10 - Relatório de Perfil; Doc 01 - Estatuto Social; ausência de documentação
Documentação complementar: Sentença criminal (AP 0000959-26.2017.4.01.4101, 31/07/2026) e Petição de Juntada</t>
        </is>
      </c>
      <c r="L166" s="154" t="inlineStr">
        <is>
          <t xml:space="preserve">
• Análise inicial (resposta anterior: Não): João Darous (Diretor-Presidente na época dos fatos) permanece no cargo sem qualquer medida disciplinar ou responsabilização documentada. Ausência de providências em relação a todos os envolvidos no ilícito.
• Complementação (nova documentação): Não houve aplicação de medidas disciplinares a todos os envolvidos.
Verificar que houve uma decisão judicial absovendo o Sr. João Darous por insulficiência de provas (conforme descrito no item 24.1).</t>
        </is>
      </c>
      <c r="M166" s="97" t="n"/>
      <c r="N166" s="98" t="n"/>
      <c r="O166" s="110" t="n"/>
    </row>
    <row r="167" ht="27" customHeight="1">
      <c r="B167" s="117" t="inlineStr">
        <is>
          <t>XII</t>
        </is>
      </c>
      <c r="C167" s="117" t="inlineStr">
        <is>
          <t>Grupo</t>
        </is>
      </c>
      <c r="D167" s="122" t="inlineStr">
        <is>
          <t>25. Ações adotadas para o aprimorar os instrumentos de prevenção de novas irregularidades</t>
        </is>
      </c>
      <c r="E167" s="133" t="n"/>
      <c r="F167" s="133" t="n"/>
      <c r="G167" s="133" t="n"/>
      <c r="H167" s="133" t="n"/>
      <c r="I167" s="133" t="n"/>
      <c r="J167" s="133" t="n"/>
      <c r="K167" s="133" t="n"/>
      <c r="L167" s="133" t="n"/>
      <c r="M167" s="35" t="n"/>
      <c r="N167" s="33" t="n"/>
      <c r="O167" s="85" t="n"/>
    </row>
    <row r="168" ht="131.25" customFormat="1" customHeight="1" s="86">
      <c r="B168" s="117" t="inlineStr">
        <is>
          <t>XII</t>
        </is>
      </c>
      <c r="C168" s="117" t="inlineStr">
        <is>
          <t>Questão</t>
        </is>
      </c>
      <c r="D168" s="121" t="inlineStr">
        <is>
          <t>25.1 A pessoa jurídica aprimorou ou estabeleceu novos procedimentos, normativos e/ou controles internos para evitar a recorrência dos ilícitos que ocasionaram a sua inabilitação?  Se sim, anexar documentos que comprovem essa informação e descrever os principais aprimoramentos realizados no ambiente de controle da entidade.</t>
        </is>
      </c>
      <c r="E168" s="120" t="inlineStr">
        <is>
          <t>Sim, Não</t>
        </is>
      </c>
      <c r="F168" s="120" t="inlineStr">
        <is>
          <t>QN1</t>
        </is>
      </c>
      <c r="G168" s="120" t="n">
        <v>20</v>
      </c>
      <c r="H168" s="120" t="inlineStr">
        <is>
          <t>Sim</t>
        </is>
      </c>
      <c r="I168" s="120" t="n"/>
      <c r="J168" s="120">
        <f>IF(H168="Sim",G168,
IF(H168="Parcialmente",G168/2,
IF(OR(H168="Não",H168="Não se aplica"),0,"")))
+IF(OR(H168="Sim",H168="Parcialmente"),Tabela1[[#This Row],[Pont. Resdist.]],0)</f>
        <v/>
      </c>
      <c r="K168" s="154" t="inlineStr">
        <is>
          <t>Doc 12.1; Doc 12.5; Doc 12.6; Doc 12.7; Doc 12.8; Rel_Conformidade.pdf (Doc 12)</t>
        </is>
      </c>
      <c r="L168" s="154" t="inlineStr">
        <is>
          <t>ATENDIDA (mantida da 1ª análise). A empresa implementou conjunto relevante de novos controles: (i) Código de Ética e Integridade V.01.2025 (aprovado ago/2025); (ii) Oficial de Compliance designado (Yuri Renan); (iii) Política de TI e Segurança da Informação V1.2026 (vigente 01/04/2026); (iv) Política de Despesas e Benefícios V1.2026; (v) canal de denúncias interno; (vi) procedimento de due diligence de terceiros; (vii) Código de Investigações Internas. Estes representam aprimoramento significativo em relação à estrutura pré-sanção. Confirmada na reavaliação; a documentação complementar não a contradiz. Reforçada pela documentação complementar.</t>
        </is>
      </c>
      <c r="M168" s="89" t="n"/>
      <c r="N168" s="90" t="n"/>
      <c r="O168" s="91" t="n"/>
    </row>
    <row r="169" customFormat="1" s="86">
      <c r="B169" s="117" t="inlineStr">
        <is>
          <t>XII</t>
        </is>
      </c>
      <c r="C169" s="117" t="inlineStr">
        <is>
          <t>Agrupadora</t>
        </is>
      </c>
      <c r="D169" s="40" t="inlineStr">
        <is>
          <t>25.2 Os procedimentos, normativos e controles internos implementados/aprimorados:</t>
        </is>
      </c>
      <c r="E169" s="120" t="inlineStr">
        <is>
          <t xml:space="preserve">  </t>
        </is>
      </c>
      <c r="F169" s="117" t="inlineStr">
        <is>
          <t xml:space="preserve">  </t>
        </is>
      </c>
      <c r="G169" s="120" t="inlineStr">
        <is>
          <t xml:space="preserve">  </t>
        </is>
      </c>
      <c r="H169" s="120" t="n"/>
      <c r="I169" s="120" t="n"/>
      <c r="J169" s="120" t="n"/>
      <c r="K169" s="120" t="n"/>
      <c r="L169" s="120" t="n"/>
      <c r="M169" s="89" t="n"/>
      <c r="N169" s="90" t="n"/>
      <c r="O169" s="91" t="n"/>
    </row>
    <row r="170" ht="153" customFormat="1" customHeight="1" s="86">
      <c r="B170" s="117" t="inlineStr">
        <is>
          <t>XII</t>
        </is>
      </c>
      <c r="C170" s="117" t="inlineStr">
        <is>
          <t>Questão</t>
        </is>
      </c>
      <c r="D170" s="40" t="inlineStr">
        <is>
          <t>25.2.1 atacam as causas da ocorrência dos ilícitos? Se sim, anexar documentos e/ou descrever a medida em que os procedimentos, normativos e controles implementados/aprimorados atacam as causas dos ilícitos.</t>
        </is>
      </c>
      <c r="E170" s="120" t="inlineStr">
        <is>
          <t>Sim, Não, Parcialmente</t>
        </is>
      </c>
      <c r="F170" s="120" t="inlineStr">
        <is>
          <t>QN3</t>
        </is>
      </c>
      <c r="G170" s="120" t="n">
        <v>5</v>
      </c>
      <c r="H170" s="120" t="inlineStr">
        <is>
          <t>Sim</t>
        </is>
      </c>
      <c r="I170" s="120" t="n"/>
      <c r="J170" s="120">
        <f>IF(H170="Sim",G170,
IF(H170="Parcialmente",G170/2,
IF(OR(H170="Não",H170="Não se aplica"),0,"")))
+IF(OR(H170="Sim",H170="Parcialmente"),Tabela1[[#This Row],[Pont. Resdist.]],0)</f>
        <v/>
      </c>
      <c r="K170" s="154" t="inlineStr">
        <is>
          <t>1ª análise: Doc 12.1; Doc 12.5; ausência de procedimento específico de verificação de medições
Documentação complementar: Matriz de Riscos de Integridade V.01/V.02.2026 (Termo de Aprovação da Diretoria, 24/03 e 30/07/2026); Procedimento de Prevenção a Ilícitos em Licitações e Contratos Administrativos V.01.2026; Procedimento de Monitoramento Contínuo do PI V.01.2026</t>
        </is>
      </c>
      <c r="L170" s="154" t="inlineStr">
        <is>
          <t>ATENDIDA — superada com a documentação complementar.
• Análise inicial (resposta anterior: Parcialmente): Os controles implementados são gerais (anticorrupção, ética, despesas). Faltam controles técnicos específicos para o ambiente de supervisão de obras: verificação de medições físico-financeiras, rastreabilidade de medições de contratos, controles de conferência técnica versus pagamento.
• Complementação (nova documentação): Os novos controles atacam diretamente as causas do ilícito: Procedimento de Prevenção a Ilícitos em Licitações, Matriz de Riscos (riscos de supervisão/fiscalização e interação com agentes públicos) e Monitoramento Contínuo.</t>
        </is>
      </c>
      <c r="M170" s="89" t="n"/>
      <c r="N170" s="90" t="n"/>
      <c r="O170" s="91" t="n"/>
    </row>
    <row r="171" ht="153" customFormat="1" customHeight="1" s="86">
      <c r="B171" s="117" t="inlineStr">
        <is>
          <t>XII</t>
        </is>
      </c>
      <c r="C171" s="117" t="inlineStr">
        <is>
          <t>Questão</t>
        </is>
      </c>
      <c r="D171" s="40" t="inlineStr">
        <is>
          <t>25.2.2 abrangem todos os ilícitos que ocasionaram a inabilitação? Se sim, anexar documentos e/ou relacionar os procedimentos, normativos e controles implementados/aprimorados com os ilícitos que geraram a inabilitação da entidade.</t>
        </is>
      </c>
      <c r="E171" s="120" t="inlineStr">
        <is>
          <t>Sim, Não, Parcialmente</t>
        </is>
      </c>
      <c r="F171" s="120" t="inlineStr">
        <is>
          <t>QN3</t>
        </is>
      </c>
      <c r="G171" s="120" t="n">
        <v>5</v>
      </c>
      <c r="H171" s="120" t="inlineStr">
        <is>
          <t>Parcialmente</t>
        </is>
      </c>
      <c r="I171" s="120" t="n"/>
      <c r="J171" s="120">
        <f>IF(H171="Sim",G171,
IF(H171="Parcialmente",G171/2,
IF(OR(H171="Não",H171="Não se aplica"),0,"")))
+IF(OR(H171="Sim",H171="Parcialmente"),Tabela1[[#This Row],[Pont. Resdist.]],0)</f>
        <v/>
      </c>
      <c r="K171" s="154" t="inlineStr">
        <is>
          <t>1ª análise: Doc 12.1; Doc 12.5; Doc 04 - Contrato DNIT
Documentação complementar: Matriz de Riscos de Integridade V.01/V.02.2026 (Termo de Aprovação da Diretoria, 24/03 e 30/07/2026); Procedimento de Prevenção a Ilícitos em Licitações e Contratos Administrativos V.01.2026; Procedimento de Due Diligence de Terceiros V.01.2026 e Relatórios de DD 001/002/003-2026</t>
        </is>
      </c>
      <c r="L171" s="154" t="inlineStr">
        <is>
          <t>• Análise inicial (resposta anterior: Parcialmente): Os controles abrangem práticas gerais de corrupção e fraude. Contudo, não atacam especificamente o tipo de ilícito praticado: omissão na verificação de medições de serviços não executados em contrato de supervisão de obras (Contrato TT-673/2010, medições 10 e 11).
• Complementação (nova documentação): Os aprimoramentos abrangem os principais vetores do ilícito; a plena abrangência depende da consolidação da execução e da responsabilização (item 24.1).</t>
        </is>
      </c>
      <c r="M171" s="89" t="n"/>
      <c r="N171" s="90" t="n"/>
      <c r="O171" s="91" t="n"/>
    </row>
    <row r="172" ht="216.75" customFormat="1" customHeight="1" s="86">
      <c r="B172" s="117" t="inlineStr">
        <is>
          <t>XII</t>
        </is>
      </c>
      <c r="C172" s="117" t="inlineStr">
        <is>
          <t>Questão</t>
        </is>
      </c>
      <c r="D172" s="40" t="inlineStr">
        <is>
          <t>25.2.3 são adequados e suficientes para evitar a recorrência dos ilícitos que ocasionaram a inabilitação? Se sim, anexar documentos e/ou descrever a medida em que os procedimentos, normativos e controles implementados/aprimorados mitigam a possibilidade de recorrência dos ilícitos que geraram a inabilitação.</t>
        </is>
      </c>
      <c r="E172" s="120" t="inlineStr">
        <is>
          <t>Sim, Não, Parcialmente</t>
        </is>
      </c>
      <c r="F172" s="120" t="inlineStr">
        <is>
          <t>QN3</t>
        </is>
      </c>
      <c r="G172" s="120" t="n">
        <v>5</v>
      </c>
      <c r="H172" s="120" t="inlineStr">
        <is>
          <t>Parcialmente</t>
        </is>
      </c>
      <c r="I172" s="120" t="n"/>
      <c r="J172" s="120">
        <f>IF(H172="Sim",G172,
IF(H172="Parcialmente",G172/2,
IF(OR(H172="Não",H172="Não se aplica"),0,"")))
+IF(OR(H172="Sim",H172="Parcialmente"),Tabela1[[#This Row],[Pont. Resdist.]],0)</f>
        <v/>
      </c>
      <c r="K172" s="154" t="inlineStr">
        <is>
          <t>1ª análise: Análise global: ausência de política específica para licitações (9.1=NÃO), sem controles contábeis robustos (12.1=Parcialmente), sem monitoramento (20.1=NÃO)
Documentação complementar: Matriz de Riscos de Integridade V.01/V.02.2026 (Termo de Aprovação da Diretoria, 24/03 e 30/07/2026); Procedimento de Prevenção a Ilícitos em Licitações e Contratos Administrativos V.01.2026; Procedimento de Monitoramento Contínuo do PI V.01.2026; Procedimento de Due Diligence de Terceiros V.01.2026 e Relatórios de DD 001/002/003-2026</t>
        </is>
      </c>
      <c r="L172" s="154" t="inlineStr">
        <is>
          <t>• Análise inicial (resposta anterior: Parcialmente): As lacunas críticas identificadas (ausência de política para licitações, ausência de controles contábeis formais de medições, ausência de monitoramento contínuo) demonstram que os controles atuais são insuficientes para evitar a recorrência do ilícito específico (superfaturamento por omissão em supervisão de medições).
• Complementação (nova documentação): O conjunto de controles é adequado para reduzir a recorrência; a suficiência plena depende da efetividade comprovada ao longo do tempo.</t>
        </is>
      </c>
      <c r="M172" s="89" t="n"/>
      <c r="N172" s="90" t="n"/>
      <c r="O172" s="91" t="n"/>
    </row>
    <row r="173" ht="140.25" customFormat="1" customHeight="1" s="86">
      <c r="B173" s="124" t="inlineStr">
        <is>
          <t>XII</t>
        </is>
      </c>
      <c r="C173" s="124" t="inlineStr">
        <is>
          <t>Questão</t>
        </is>
      </c>
      <c r="D173" s="125" t="inlineStr">
        <is>
          <t>25.3 A pessoa jurídica efetivamente aplicou os procedimentos, normativos e/ou controles internos que foram estabelecidos ou aprimorados com vistas a evitar a recorrência dos ilícitos que ocasionaram a sua inabilitação? Se sim, anexar documentos que comprovem essa informação e descrever as situações em que os procedimentos, normativos ou controles são aplicados.</t>
        </is>
      </c>
      <c r="E173" s="126" t="inlineStr">
        <is>
          <t>Sim, Não, Parcialmente</t>
        </is>
      </c>
      <c r="F173" s="126" t="inlineStr">
        <is>
          <t>QN4</t>
        </is>
      </c>
      <c r="G173" s="126" t="n">
        <v>25</v>
      </c>
      <c r="H173" s="120" t="inlineStr">
        <is>
          <t>Parcialmente</t>
        </is>
      </c>
      <c r="I173" s="126" t="n"/>
      <c r="J173" s="120">
        <f>IF(H173="Sim",G173,
IF(H173="Parcialmente",G173/2,
IF(OR(H173="Não",H173="Não se aplica"),0,"")))
+IF(OR(H173="Sim",H173="Parcialmente"),Tabela1[[#This Row],[Pont. Resdist.]],0)</f>
        <v/>
      </c>
      <c r="K173" s="154" t="inlineStr">
        <is>
          <t>1ª análise: Doc 12.6; Doc 12.7; Doc 12.8; Doc 12.5 (vigência plena a partir de 01/04/2026)
Documentação complementar: E-mails da Diretoria (João Darous) a todos os colaboradores, 02 e 17/07/2026; Teste do Canal de Ouvidoria — jdseng.com.br/ouvidoria (e-mails de 15 e 25/05/2026); Procedimento de Due Diligence de Terceiros V.01.2026 e Relatórios de DD 001/002/003-2026</t>
        </is>
      </c>
      <c r="L173" s="154" t="inlineStr">
        <is>
          <t>• Análise inicial (resposta anterior: Parcialmente): Os Termos de Compromisso (30/03/2026), a Investigação Interna 01/2024 e a due diligence comprovam aplicação prática de alguns controles. Contudo, as principais políticas (TI e Despesas) foram aprovadas em março/2026, sem evidências robustas de aplicação contínua e sistemática no ambiente de obras.
• Complementação (nova documentação): Há evidências de aplicação efetiva de parte dos procedimentos (due diligence de terceiros, comunicações, canal testado); a aplicação integral segue em implementação.</t>
        </is>
      </c>
      <c r="M173" s="92" t="n"/>
      <c r="N173" s="93" t="n"/>
      <c r="O173" s="91" t="n"/>
    </row>
  </sheetData>
  <mergeCells count="2">
    <mergeCell ref="B2:L2"/>
    <mergeCell ref="B1:G1"/>
  </mergeCells>
  <conditionalFormatting sqref="H1 H7:H80 H82:H1048576">
    <cfRule type="cellIs" priority="7" operator="equal" dxfId="11">
      <formula>"Parcialmente"</formula>
    </cfRule>
    <cfRule type="cellIs" priority="8" operator="equal" dxfId="10">
      <formula>"Não"</formula>
    </cfRule>
    <cfRule type="cellIs" priority="9" operator="equal" dxfId="9">
      <formula>"Sim"</formula>
    </cfRule>
  </conditionalFormatting>
  <conditionalFormatting sqref="H9:H80 H82:H173">
    <cfRule type="cellIs" priority="6" operator="equal" dxfId="8">
      <formula>"Não se aplica"</formula>
    </cfRule>
  </conditionalFormatting>
  <conditionalFormatting sqref="H81">
    <cfRule type="cellIs" priority="1" operator="equal" dxfId="2">
      <formula>"Parcialmente"</formula>
    </cfRule>
    <cfRule type="cellIs" priority="2" operator="equal" dxfId="0">
      <formula>"Não"</formula>
    </cfRule>
    <cfRule type="cellIs" priority="3" operator="equal" dxfId="1">
      <formula>"Sim"</formula>
    </cfRule>
  </conditionalFormatting>
  <conditionalFormatting sqref="I1:J1 I7:J1048576">
    <cfRule type="cellIs" priority="11" operator="equal" dxfId="0">
      <formula>"Não"</formula>
    </cfRule>
    <cfRule type="cellIs" priority="12" operator="equal" dxfId="1">
      <formula>"Sim"</formula>
    </cfRule>
  </conditionalFormatting>
  <conditionalFormatting sqref="I9:J173">
    <cfRule type="cellIs" priority="10" operator="equal" dxfId="2">
      <formula>"Parcialmente"</formula>
    </cfRule>
  </conditionalFormatting>
  <dataValidations count="4">
    <dataValidation sqref="E8:E10 E12:E1048576" showDropDown="0" showInputMessage="1" showErrorMessage="1" allowBlank="1" type="list"/>
    <dataValidation sqref="C7:C8 C174:C1048576" showDropDown="0" showInputMessage="1" showErrorMessage="1" allowBlank="1" type="list">
      <formula1>"Questão, Agrupadora, Grupo"</formula1>
    </dataValidation>
    <dataValidation sqref="C9:C173" showDropDown="0" showInputMessage="1" showErrorMessage="1" allowBlank="1" type="list">
      <formula1>"Questão, Agrupadora, Grupo, Área"</formula1>
    </dataValidation>
    <dataValidation sqref="B7:B1048576" showDropDown="0" showInputMessage="1" showErrorMessage="1" allowBlank="1" type="list">
      <formula1>"I, II, III, IV, V, VI, VII, VIII, IX, X, XI, XII"</formula1>
    </dataValidation>
  </dataValidations>
  <pageMargins left="0.511811024" right="0.511811024" top="0.787401575" bottom="0.787401575" header="0.31496062" footer="0.31496062"/>
  <pageSetup orientation="landscape" paperSize="9" scale="4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9"/>
  <sheetViews>
    <sheetView workbookViewId="0">
      <selection activeCell="N6" sqref="N6"/>
    </sheetView>
  </sheetViews>
  <sheetFormatPr baseColWidth="8" defaultRowHeight="15"/>
  <cols>
    <col width="29.140625" customWidth="1" min="2" max="2"/>
    <col width="10.85546875" customWidth="1" min="3" max="13"/>
    <col width="11.85546875" customWidth="1" min="14" max="14"/>
    <col width="12.140625" customWidth="1" min="20" max="20"/>
    <col width="11.42578125" customWidth="1" min="21" max="21"/>
    <col width="11" customWidth="1" min="22" max="22"/>
  </cols>
  <sheetData>
    <row r="1" ht="39.75" customHeight="1">
      <c r="B1" s="167" t="inlineStr">
        <is>
          <t>DADOS REFERENTES AO FORMULÁRIO DE CONFORMIDADE</t>
        </is>
      </c>
    </row>
    <row r="2" ht="15.75" customHeight="1" thickBot="1"/>
    <row r="3" ht="27.75" customHeight="1">
      <c r="A3" s="15" t="n"/>
      <c r="B3" s="20" t="inlineStr">
        <is>
          <t>Áreas</t>
        </is>
      </c>
      <c r="C3" s="20" t="inlineStr">
        <is>
          <t>I</t>
        </is>
      </c>
      <c r="D3" s="20" t="inlineStr">
        <is>
          <t>II</t>
        </is>
      </c>
      <c r="E3" s="20" t="inlineStr">
        <is>
          <t>III</t>
        </is>
      </c>
      <c r="F3" s="20" t="inlineStr">
        <is>
          <t>IV</t>
        </is>
      </c>
      <c r="G3" s="20" t="inlineStr">
        <is>
          <t>V</t>
        </is>
      </c>
      <c r="H3" s="20" t="inlineStr">
        <is>
          <t>VI</t>
        </is>
      </c>
      <c r="I3" s="20" t="inlineStr">
        <is>
          <t>VII</t>
        </is>
      </c>
      <c r="J3" s="20" t="inlineStr">
        <is>
          <t>VIII</t>
        </is>
      </c>
      <c r="K3" s="20" t="inlineStr">
        <is>
          <t>IX</t>
        </is>
      </c>
      <c r="L3" s="20" t="inlineStr">
        <is>
          <t>X</t>
        </is>
      </c>
      <c r="M3" s="20" t="inlineStr">
        <is>
          <t>XI</t>
        </is>
      </c>
      <c r="N3" s="20" t="inlineStr">
        <is>
          <t>TOTAL</t>
        </is>
      </c>
      <c r="O3" s="20" t="inlineStr">
        <is>
          <t>XII</t>
        </is>
      </c>
      <c r="R3" s="22" t="inlineStr">
        <is>
          <t>Tipo</t>
        </is>
      </c>
      <c r="S3" s="23" t="inlineStr">
        <is>
          <t>Val Unit.</t>
        </is>
      </c>
      <c r="T3" s="22" t="inlineStr">
        <is>
          <t>Qtde Itens</t>
        </is>
      </c>
      <c r="U3" s="28" t="inlineStr">
        <is>
          <t>% total</t>
        </is>
      </c>
      <c r="V3" s="23" t="inlineStr">
        <is>
          <t>Pontos</t>
        </is>
      </c>
    </row>
    <row r="4" ht="27.75" customHeight="1">
      <c r="A4" s="15" t="n"/>
      <c r="B4" s="18" t="inlineStr">
        <is>
          <t>Grupos</t>
        </is>
      </c>
      <c r="C4" s="6">
        <f>COUNTIFS('Formulário de Conformidade'!$C:$C,"Grupo",'Formulário de Conformidade'!$B:$B,C3)</f>
        <v/>
      </c>
      <c r="D4" s="6">
        <f>COUNTIFS('Formulário de Conformidade'!$C:$C,"Grupo",'Formulário de Conformidade'!$B:$B,D3)</f>
        <v/>
      </c>
      <c r="E4" s="6">
        <f>COUNTIFS('Formulário de Conformidade'!$C:$C,"Grupo",'Formulário de Conformidade'!$B:$B,E3)</f>
        <v/>
      </c>
      <c r="F4" s="6">
        <f>COUNTIFS('Formulário de Conformidade'!$C:$C,"Grupo",'Formulário de Conformidade'!$B:$B,F3)</f>
        <v/>
      </c>
      <c r="G4" s="6">
        <f>COUNTIFS('Formulário de Conformidade'!$C:$C,"Grupo",'Formulário de Conformidade'!$B:$B,G3)</f>
        <v/>
      </c>
      <c r="H4" s="6">
        <f>COUNTIFS('Formulário de Conformidade'!$C:$C,"Grupo",'Formulário de Conformidade'!$B:$B,H3)</f>
        <v/>
      </c>
      <c r="I4" s="6">
        <f>COUNTIFS('Formulário de Conformidade'!$C:$C,"Grupo",'Formulário de Conformidade'!$B:$B,I3)</f>
        <v/>
      </c>
      <c r="J4" s="6">
        <f>COUNTIFS('Formulário de Conformidade'!$C:$C,"Grupo",'Formulário de Conformidade'!$B:$B,J3)</f>
        <v/>
      </c>
      <c r="K4" s="6">
        <f>COUNTIFS('Formulário de Conformidade'!$C:$C,"Grupo",'Formulário de Conformidade'!$B:$B,K3)</f>
        <v/>
      </c>
      <c r="L4" s="6">
        <f>COUNTIFS('Formulário de Conformidade'!$C:$C,"Grupo",'Formulário de Conformidade'!$B:$B,L3)</f>
        <v/>
      </c>
      <c r="M4" s="6">
        <f>COUNTIFS('Formulário de Conformidade'!$C:$C,"Grupo",'Formulário de Conformidade'!$B:$B,M3)</f>
        <v/>
      </c>
      <c r="N4" s="20">
        <f>SUM(C4:M4)</f>
        <v/>
      </c>
      <c r="O4" s="6">
        <f>COUNTIFS('Formulário de Conformidade'!$C:$C,"Grupo",'Formulário de Conformidade'!$B:$B,O3)</f>
        <v/>
      </c>
      <c r="R4" s="24" t="inlineStr">
        <is>
          <t>QN1</t>
        </is>
      </c>
      <c r="S4" s="25" t="n">
        <v>20</v>
      </c>
      <c r="T4" s="24">
        <f>COUNTIF('Formulário de Conformidade'!F1:F160, R4)</f>
        <v/>
      </c>
      <c r="U4" s="17">
        <f>T4/N5</f>
        <v/>
      </c>
      <c r="V4" s="25">
        <f>S4*T4</f>
        <v/>
      </c>
    </row>
    <row r="5" ht="27.75" customHeight="1">
      <c r="A5" s="15" t="n"/>
      <c r="B5" s="18" t="inlineStr">
        <is>
          <t>Questões</t>
        </is>
      </c>
      <c r="C5" s="6">
        <f>COUNTIFS('Formulário de Conformidade'!$C:$C,"Questão",'Formulário de Conformidade'!$B:$B,C3)</f>
        <v/>
      </c>
      <c r="D5" s="6">
        <f>COUNTIFS('Formulário de Conformidade'!$C:$C,"Questão",'Formulário de Conformidade'!$B:$B,D3)</f>
        <v/>
      </c>
      <c r="E5" s="6">
        <f>COUNTIFS('Formulário de Conformidade'!$C:$C,"Questão",'Formulário de Conformidade'!$B:$B,E3)</f>
        <v/>
      </c>
      <c r="F5" s="6">
        <f>COUNTIFS('Formulário de Conformidade'!$C:$C,"Questão",'Formulário de Conformidade'!$B:$B,F3)</f>
        <v/>
      </c>
      <c r="G5" s="6">
        <f>COUNTIFS('Formulário de Conformidade'!$C:$C,"Questão",'Formulário de Conformidade'!$B:$B,G3)</f>
        <v/>
      </c>
      <c r="H5" s="6">
        <f>COUNTIFS('Formulário de Conformidade'!$C:$C,"Questão",'Formulário de Conformidade'!$B:$B,H3)</f>
        <v/>
      </c>
      <c r="I5" s="6">
        <f>COUNTIFS('Formulário de Conformidade'!$C:$C,"Questão",'Formulário de Conformidade'!$B:$B,I3)</f>
        <v/>
      </c>
      <c r="J5" s="6">
        <f>COUNTIFS('Formulário de Conformidade'!$C:$C,"Questão",'Formulário de Conformidade'!$B:$B,J3)</f>
        <v/>
      </c>
      <c r="K5" s="6">
        <f>COUNTIFS('Formulário de Conformidade'!$C:$C,"Questão",'Formulário de Conformidade'!$B:$B,K3)</f>
        <v/>
      </c>
      <c r="L5" s="6">
        <f>COUNTIFS('Formulário de Conformidade'!$C:$C,"Questão",'Formulário de Conformidade'!$B:$B,L3)</f>
        <v/>
      </c>
      <c r="M5" s="6">
        <f>COUNTIFS('Formulário de Conformidade'!$C:$C,"Questão",'Formulário de Conformidade'!$B:$B,M3)</f>
        <v/>
      </c>
      <c r="N5" s="20">
        <f>SUM(C5:M5)</f>
        <v/>
      </c>
      <c r="O5" s="6">
        <f>COUNTIFS('Formulário de Conformidade'!$C:$C,"Questão",'Formulário de Conformidade'!$B:$B,O3)</f>
        <v/>
      </c>
      <c r="R5" s="24" t="inlineStr">
        <is>
          <t>QN2</t>
        </is>
      </c>
      <c r="S5" s="25" t="n">
        <v>15</v>
      </c>
      <c r="T5" s="24">
        <f>COUNTIF('Formulário de Conformidade'!F1:F160, R5)</f>
        <v/>
      </c>
      <c r="U5" s="17">
        <f>T5/$N5</f>
        <v/>
      </c>
      <c r="V5" s="25">
        <f>S5*T5</f>
        <v/>
      </c>
    </row>
    <row r="6" ht="27.75" customHeight="1">
      <c r="A6" s="15" t="n"/>
      <c r="B6" s="18" t="inlineStr">
        <is>
          <t>Pontuação</t>
        </is>
      </c>
      <c r="C6" s="6">
        <f>SUMIFS('Formulário de Conformidade'!$G:$G,'Formulário de Conformidade'!$C:$C,"Questão",'Formulário de Conformidade'!$B:$B,C3)</f>
        <v/>
      </c>
      <c r="D6" s="6">
        <f>SUMIFS('Formulário de Conformidade'!$G:$G,'Formulário de Conformidade'!$C:$C,"Questão",'Formulário de Conformidade'!$B:$B,D3)</f>
        <v/>
      </c>
      <c r="E6" s="6">
        <f>SUMIFS('Formulário de Conformidade'!$G:$G,'Formulário de Conformidade'!$C:$C,"Questão",'Formulário de Conformidade'!$B:$B,E3)</f>
        <v/>
      </c>
      <c r="F6" s="6">
        <f>SUMIFS('Formulário de Conformidade'!$G:$G,'Formulário de Conformidade'!$C:$C,"Questão",'Formulário de Conformidade'!$B:$B,F3)</f>
        <v/>
      </c>
      <c r="G6" s="6">
        <f>SUMIFS('Formulário de Conformidade'!$G:$G,'Formulário de Conformidade'!$C:$C,"Questão",'Formulário de Conformidade'!$B:$B,G3)</f>
        <v/>
      </c>
      <c r="H6" s="6">
        <f>SUMIFS('Formulário de Conformidade'!$G:$G,'Formulário de Conformidade'!$C:$C,"Questão",'Formulário de Conformidade'!$B:$B,H3)</f>
        <v/>
      </c>
      <c r="I6" s="6">
        <f>SUMIFS('Formulário de Conformidade'!$G:$G,'Formulário de Conformidade'!$C:$C,"Questão",'Formulário de Conformidade'!$B:$B,I3)</f>
        <v/>
      </c>
      <c r="J6" s="6">
        <f>SUMIFS('Formulário de Conformidade'!$G:$G,'Formulário de Conformidade'!$C:$C,"Questão",'Formulário de Conformidade'!$B:$B,J3)</f>
        <v/>
      </c>
      <c r="K6" s="6">
        <f>SUMIFS('Formulário de Conformidade'!$G:$G,'Formulário de Conformidade'!$C:$C,"Questão",'Formulário de Conformidade'!$B:$B,K3)</f>
        <v/>
      </c>
      <c r="L6" s="6">
        <f>SUMIFS('Formulário de Conformidade'!$G:$G,'Formulário de Conformidade'!$C:$C,"Questão",'Formulário de Conformidade'!$B:$B,L3)</f>
        <v/>
      </c>
      <c r="M6" s="6">
        <f>SUMIFS('Formulário de Conformidade'!$G:$G,'Formulário de Conformidade'!$C:$C,"Questão",'Formulário de Conformidade'!$B:$B,M3)</f>
        <v/>
      </c>
      <c r="N6" s="20">
        <f>SUM(C6:M6)</f>
        <v/>
      </c>
      <c r="O6" s="6">
        <f>SUMIFS('Formulário de Conformidade'!$G:$G,'Formulário de Conformidade'!$C:$C,"Questão",'Formulário de Conformidade'!$B:$B,O3)</f>
        <v/>
      </c>
      <c r="R6" s="24" t="inlineStr">
        <is>
          <t>QN3</t>
        </is>
      </c>
      <c r="S6" s="25" t="n">
        <v>5</v>
      </c>
      <c r="T6" s="24">
        <f>COUNTIF('Formulário de Conformidade'!F1:F160, R6)</f>
        <v/>
      </c>
      <c r="U6" s="17">
        <f>T6/$N5</f>
        <v/>
      </c>
      <c r="V6" s="25">
        <f>S6*T6</f>
        <v/>
      </c>
    </row>
    <row r="7" ht="27.75" customHeight="1">
      <c r="A7" s="15" t="n"/>
      <c r="B7" s="18" t="inlineStr">
        <is>
          <t>% Pontuação Metodologia</t>
        </is>
      </c>
      <c r="C7" s="17">
        <f>C6/$N6</f>
        <v/>
      </c>
      <c r="D7" s="17">
        <f>D6/$N6</f>
        <v/>
      </c>
      <c r="E7" s="17">
        <f>E6/$N6</f>
        <v/>
      </c>
      <c r="F7" s="17">
        <f>F6/$N6</f>
        <v/>
      </c>
      <c r="G7" s="17">
        <f>G6/$N6</f>
        <v/>
      </c>
      <c r="H7" s="17">
        <f>H6/$N6</f>
        <v/>
      </c>
      <c r="I7" s="17">
        <f>I6/$N6</f>
        <v/>
      </c>
      <c r="J7" s="17">
        <f>J6/$N6</f>
        <v/>
      </c>
      <c r="K7" s="17">
        <f>K6/$N6</f>
        <v/>
      </c>
      <c r="L7" s="17">
        <f>L6/$N6</f>
        <v/>
      </c>
      <c r="M7" s="17">
        <f>M6/$N6</f>
        <v/>
      </c>
      <c r="N7" s="21">
        <f>SUM(C7:M7)</f>
        <v/>
      </c>
      <c r="O7" s="17">
        <f>O6/$N6</f>
        <v/>
      </c>
      <c r="R7" s="24" t="inlineStr">
        <is>
          <t>QN4</t>
        </is>
      </c>
      <c r="S7" s="25" t="n">
        <v>25</v>
      </c>
      <c r="T7" s="24">
        <f>COUNTIF('Formulário de Conformidade'!F1:F160, R7)</f>
        <v/>
      </c>
      <c r="U7" s="17">
        <f>T7/$N5</f>
        <v/>
      </c>
      <c r="V7" s="25">
        <f>S7*T7</f>
        <v/>
      </c>
    </row>
    <row r="8" ht="25.5" customHeight="1" thickBot="1">
      <c r="A8" s="15" t="n"/>
      <c r="B8" s="19" t="inlineStr">
        <is>
          <t>% Pró-Ética</t>
        </is>
      </c>
      <c r="C8" s="17" t="n">
        <v>0.13</v>
      </c>
      <c r="D8" s="17" t="n">
        <v>0.13</v>
      </c>
      <c r="E8" s="17" t="n">
        <v>0.1</v>
      </c>
      <c r="F8" s="17" t="n">
        <v>0.04999999999999999</v>
      </c>
      <c r="G8" s="17" t="n">
        <v>0.13</v>
      </c>
      <c r="H8" s="17" t="n">
        <v>0.11</v>
      </c>
      <c r="I8" s="17" t="n">
        <v>0.06</v>
      </c>
      <c r="J8" s="17" t="n">
        <v>0.09</v>
      </c>
      <c r="K8" s="17" t="n">
        <v>0.09999999999999998</v>
      </c>
      <c r="L8" s="17" t="n">
        <v>0.04999999999999999</v>
      </c>
      <c r="M8" s="17" t="n">
        <v>0.04999999999999999</v>
      </c>
      <c r="N8" s="21">
        <f>SUM(C8:M8)</f>
        <v/>
      </c>
      <c r="O8" s="6" t="inlineStr">
        <is>
          <t>-</t>
        </is>
      </c>
      <c r="R8" s="26" t="inlineStr">
        <is>
          <t>QN5</t>
        </is>
      </c>
      <c r="S8" s="27" t="n">
        <v>18</v>
      </c>
      <c r="T8" s="26">
        <f>COUNTIF('Formulário de Conformidade'!F1:F160, R8)</f>
        <v/>
      </c>
      <c r="U8" s="29">
        <f>T8/$N5</f>
        <v/>
      </c>
      <c r="V8" s="27">
        <f>S8*T8</f>
        <v/>
      </c>
    </row>
    <row r="9">
      <c r="A9" s="15" t="n"/>
      <c r="B9" s="15" t="n"/>
      <c r="C9" s="15" t="n"/>
      <c r="D9" s="15" t="n"/>
      <c r="E9" s="15" t="n"/>
      <c r="F9" s="15" t="n"/>
      <c r="G9" s="15" t="n"/>
      <c r="H9" s="15" t="n"/>
      <c r="I9" s="15" t="n"/>
      <c r="J9" s="15" t="n"/>
      <c r="K9" s="15" t="n"/>
      <c r="L9" s="15" t="n"/>
      <c r="M9" s="15" t="n"/>
      <c r="N9" s="15" t="n"/>
    </row>
  </sheetData>
  <mergeCells count="1">
    <mergeCell ref="B1:O1"/>
  </mergeCells>
  <pageMargins left="0.511811024" right="0.511811024" top="0.787401575" bottom="0.787401575" header="0.31496062" footer="0.31496062"/>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3:H16"/>
  <sheetViews>
    <sheetView showGridLines="0" workbookViewId="0">
      <selection activeCell="F15" sqref="F15"/>
    </sheetView>
  </sheetViews>
  <sheetFormatPr baseColWidth="8" defaultRowHeight="15"/>
  <cols>
    <col width="106.7109375" customWidth="1" min="2" max="2"/>
    <col width="19.140625" customWidth="1" style="69" min="3" max="3"/>
    <col width="18.28515625" customWidth="1" style="69" min="4" max="6"/>
    <col hidden="1" width="11.5703125" customWidth="1" min="7" max="7"/>
    <col hidden="1" width="11" customWidth="1" min="8" max="8"/>
  </cols>
  <sheetData>
    <row r="2" ht="88.5" customHeight="1" thickBot="1"/>
    <row r="3" ht="39" customHeight="1">
      <c r="B3" s="83" t="inlineStr">
        <is>
          <t>Áreas Avaliadas</t>
        </is>
      </c>
      <c r="C3" s="82" t="inlineStr">
        <is>
          <t>Pontuação máxima</t>
        </is>
      </c>
      <c r="D3" s="77" t="inlineStr">
        <is>
          <t>Percentual mínimo</t>
        </is>
      </c>
      <c r="E3" s="76" t="inlineStr">
        <is>
          <t>Pontuação Atingida</t>
        </is>
      </c>
      <c r="F3" s="78" t="inlineStr">
        <is>
          <t>Percentual Antingido</t>
        </is>
      </c>
      <c r="G3" s="78" t="inlineStr">
        <is>
          <t>Questões QN1</t>
        </is>
      </c>
      <c r="H3" s="142" t="inlineStr">
        <is>
          <t>Questões QN4</t>
        </is>
      </c>
    </row>
    <row r="4" ht="21.75" customHeight="1">
      <c r="B4" s="84" t="inlineStr">
        <is>
          <t>Área I - Comprometimento da Alta Direção da Pessoa jurídica</t>
        </is>
      </c>
      <c r="C4" s="143" t="n">
        <v>154</v>
      </c>
      <c r="D4" s="144" t="n">
        <v>0.3</v>
      </c>
      <c r="E4" s="145">
        <f>SUM('Formulário de Conformidade'!J11:J24)</f>
        <v/>
      </c>
      <c r="F4" s="146">
        <f>E4/C4</f>
        <v/>
      </c>
      <c r="G4" s="75" t="n"/>
      <c r="H4" s="79" t="n"/>
    </row>
    <row r="5" ht="21.75" customHeight="1">
      <c r="B5" s="84" t="inlineStr">
        <is>
          <t>Área II - Instância Interna Responsável pela Aplicação do Programa de Integridade</t>
        </is>
      </c>
      <c r="C5" s="143" t="n">
        <v>108</v>
      </c>
      <c r="D5" s="144" t="n">
        <v>0.3</v>
      </c>
      <c r="E5" s="145">
        <f>SUM('Formulário de Conformidade'!J27:J33)</f>
        <v/>
      </c>
      <c r="F5" s="146">
        <f>E5/C5</f>
        <v/>
      </c>
      <c r="G5" s="75" t="n"/>
      <c r="H5" s="79" t="n"/>
    </row>
    <row r="6" ht="21.75" customHeight="1">
      <c r="B6" s="84" t="inlineStr">
        <is>
          <t>Área III - Gestão de Riscos para Integridade</t>
        </is>
      </c>
      <c r="C6" s="143" t="n">
        <v>78</v>
      </c>
      <c r="D6" s="144" t="n">
        <v>0.3</v>
      </c>
      <c r="E6" s="145">
        <f>SUM('Formulário de Conformidade'!J36:J44)</f>
        <v/>
      </c>
      <c r="F6" s="146">
        <f>E6/C6</f>
        <v/>
      </c>
      <c r="G6" s="75" t="n"/>
      <c r="H6" s="79" t="n"/>
    </row>
    <row r="7" ht="21.75" customHeight="1">
      <c r="B7" s="84" t="inlineStr">
        <is>
          <t>Área IV - Código de Ética e Conduta</t>
        </is>
      </c>
      <c r="C7" s="143" t="n">
        <v>91</v>
      </c>
      <c r="D7" s="144" t="n">
        <v>0.3</v>
      </c>
      <c r="E7" s="145">
        <f>SUM('Formulário de Conformidade'!J47:J57)</f>
        <v/>
      </c>
      <c r="F7" s="146">
        <f>E7/C7</f>
        <v/>
      </c>
      <c r="G7" s="75" t="n"/>
      <c r="H7" s="79" t="n"/>
    </row>
    <row r="8" ht="21.75" customHeight="1">
      <c r="B8" s="84" t="inlineStr">
        <is>
          <t>Área V - Políticas e Procedimentos de Integridade e de Prevenção de Ilícitos em Licitações e Contratos Administrativos</t>
        </is>
      </c>
      <c r="C8" s="143" t="n">
        <v>130</v>
      </c>
      <c r="D8" s="144" t="n">
        <v>0.3</v>
      </c>
      <c r="E8" s="145">
        <f>SUM('Formulário de Conformidade'!J61:J74)</f>
        <v/>
      </c>
      <c r="F8" s="146">
        <f>E8/C8</f>
        <v/>
      </c>
      <c r="G8" s="75" t="n"/>
      <c r="H8" s="79" t="n"/>
    </row>
    <row r="9" ht="21.75" customHeight="1">
      <c r="B9" s="84" t="inlineStr">
        <is>
          <t>Área VI - Treinamentos e Ações de Comunicação sobre o Programa de Integridade</t>
        </is>
      </c>
      <c r="C9" s="143" t="n">
        <v>118</v>
      </c>
      <c r="D9" s="144" t="n">
        <v>0.3</v>
      </c>
      <c r="E9" s="145">
        <f>SUM('Formulário de Conformidade'!J77:J84)</f>
        <v/>
      </c>
      <c r="F9" s="146">
        <f>E9/C9</f>
        <v/>
      </c>
      <c r="G9" s="75" t="n"/>
      <c r="H9" s="79" t="n"/>
    </row>
    <row r="10" ht="21.75" customHeight="1">
      <c r="B10" s="84" t="inlineStr">
        <is>
          <t>Área VII - Controles Contábeis, Financeiros e Auditoria Interna</t>
        </is>
      </c>
      <c r="C10" s="143" t="n">
        <v>106</v>
      </c>
      <c r="D10" s="144" t="n">
        <v>0.3</v>
      </c>
      <c r="E10" s="145">
        <f>SUM('Formulário de Conformidade'!J87:J96)</f>
        <v/>
      </c>
      <c r="F10" s="146">
        <f>E10/C10</f>
        <v/>
      </c>
      <c r="G10" s="75" t="n"/>
      <c r="H10" s="79" t="n"/>
    </row>
    <row r="11" ht="21.75" customHeight="1">
      <c r="B11" s="84" t="inlineStr">
        <is>
          <t>Área VIII - Diligências para Contratação e Supervisão de Terceiros e para Fusões e Aquisições Societárias</t>
        </is>
      </c>
      <c r="C11" s="143" t="n">
        <v>114</v>
      </c>
      <c r="D11" s="144" t="n">
        <v>0.3</v>
      </c>
      <c r="E11" s="145">
        <f>SUM('Formulário de Conformidade'!J99:J112)</f>
        <v/>
      </c>
      <c r="F11" s="146">
        <f>E11/C11</f>
        <v/>
      </c>
      <c r="G11" s="75" t="n"/>
      <c r="H11" s="79" t="n"/>
    </row>
    <row r="12" ht="21.75" customHeight="1">
      <c r="B12" s="84" t="inlineStr">
        <is>
          <t>Área IX - Canais de Denúncia, Remediação e Medidas Disciplinares</t>
        </is>
      </c>
      <c r="C12" s="143" t="n">
        <v>141</v>
      </c>
      <c r="D12" s="144" t="n">
        <v>0.3</v>
      </c>
      <c r="E12" s="145">
        <f>SUM('Formulário de Conformidade'!J115:J133)</f>
        <v/>
      </c>
      <c r="F12" s="146">
        <f>E12/C12</f>
        <v/>
      </c>
      <c r="G12" s="75" t="n"/>
      <c r="H12" s="79" t="n"/>
    </row>
    <row r="13" ht="21.75" customHeight="1">
      <c r="B13" s="84" t="inlineStr">
        <is>
          <t>Área X - Monitoramento do Programa de Integridade</t>
        </is>
      </c>
      <c r="C13" s="143" t="n">
        <v>83</v>
      </c>
      <c r="D13" s="144" t="n">
        <v>0.3</v>
      </c>
      <c r="E13" s="145">
        <f>SUM('Formulário de Conformidade'!J136:J144)</f>
        <v/>
      </c>
      <c r="F13" s="146">
        <f>E13/C13</f>
        <v/>
      </c>
      <c r="G13" s="75" t="n"/>
      <c r="H13" s="79" t="n"/>
    </row>
    <row r="14" ht="21.75" customHeight="1">
      <c r="B14" s="84" t="inlineStr">
        <is>
          <t>Área XI - Responsabilidade Socioambiental e Transparência</t>
        </is>
      </c>
      <c r="C14" s="143" t="n">
        <v>83</v>
      </c>
      <c r="D14" s="144" t="n">
        <v>0.3</v>
      </c>
      <c r="E14" s="145">
        <f>SUM('Formulário de Conformidade'!J147:J160)</f>
        <v/>
      </c>
      <c r="F14" s="146">
        <f>E14/C14</f>
        <v/>
      </c>
      <c r="G14" s="75" t="n"/>
      <c r="H14" s="79" t="n"/>
    </row>
    <row r="15" ht="21.75" customHeight="1">
      <c r="B15" s="84" t="inlineStr">
        <is>
          <t>Área XII - Medidas de Remediação adotadas em face dos atos que ensejaram a aplicação da sanção</t>
        </is>
      </c>
      <c r="C15" s="143" t="n">
        <v>95</v>
      </c>
      <c r="D15" s="144" t="n">
        <v>0.7</v>
      </c>
      <c r="E15" s="145">
        <f>SUM('Formulário de Conformidade'!J163:J173)</f>
        <v/>
      </c>
      <c r="F15" s="146">
        <f>E15/C15</f>
        <v/>
      </c>
      <c r="G15" s="75" t="n"/>
      <c r="H15" s="79" t="n"/>
    </row>
    <row r="16" ht="21.75" customHeight="1" thickBot="1">
      <c r="B16" s="147" t="inlineStr">
        <is>
          <t>TOTAL</t>
        </is>
      </c>
      <c r="C16" s="148">
        <f>SUM(C4:C15)</f>
        <v/>
      </c>
      <c r="D16" s="149" t="n">
        <v>0.45</v>
      </c>
      <c r="E16" s="150">
        <f>SUM(E4:E15)</f>
        <v/>
      </c>
      <c r="F16" s="151">
        <f>E16/C16</f>
        <v/>
      </c>
      <c r="G16" s="80" t="n"/>
      <c r="H16" s="81" t="n"/>
    </row>
  </sheetData>
  <conditionalFormatting sqref="F4:F15">
    <cfRule type="cellIs" priority="1" operator="greaterThan" dxfId="1">
      <formula>0.45</formula>
    </cfRule>
    <cfRule type="cellIs" priority="2" operator="lessThan" dxfId="0">
      <formula>0.45</formula>
    </cfRule>
  </conditionalFormatting>
  <pageMargins left="0.511811024" right="0.511811024" top="0.787401575" bottom="0.787401575" header="0.31496062" footer="0.31496062"/>
</worksheet>
</file>

<file path=xl/worksheets/sheet5.xml><?xml version="1.0" encoding="utf-8"?>
<worksheet xmlns="http://schemas.openxmlformats.org/spreadsheetml/2006/main">
  <sheetPr>
    <outlinePr summaryBelow="1" summaryRight="1"/>
    <pageSetUpPr/>
  </sheetPr>
  <dimension ref="A1:A1"/>
  <sheetViews>
    <sheetView topLeftCell="D1" workbookViewId="0">
      <selection activeCell="H15" sqref="H15"/>
    </sheetView>
  </sheetViews>
  <sheetFormatPr baseColWidth="8" defaultRowHeight="15"/>
  <sheetData/>
  <pageMargins left="0.511811024" right="0.511811024" top="0.787401575" bottom="0.787401575" header="0.31496062" footer="0.31496062"/>
</worksheet>
</file>

<file path=xl/worksheets/sheet6.xml><?xml version="1.0" encoding="utf-8"?>
<worksheet xmlns="http://schemas.openxmlformats.org/spreadsheetml/2006/main">
  <sheetPr>
    <outlinePr summaryBelow="1" summaryRight="1"/>
    <pageSetUpPr/>
  </sheetPr>
  <dimension ref="A1:N119"/>
  <sheetViews>
    <sheetView workbookViewId="0">
      <selection activeCell="A112" sqref="A112"/>
    </sheetView>
  </sheetViews>
  <sheetFormatPr baseColWidth="8" defaultRowHeight="15"/>
  <cols>
    <col width="104.28515625" customWidth="1" min="1" max="1"/>
    <col width="32.7109375" bestFit="1" customWidth="1" min="2" max="2"/>
    <col hidden="1" width="25.42578125" customWidth="1" min="3" max="3"/>
    <col hidden="1" width="42.140625" customWidth="1" min="4" max="4"/>
    <col hidden="1" width="33.85546875" customWidth="1" min="5" max="5"/>
    <col hidden="1" width="34.42578125" customWidth="1" min="6" max="6"/>
    <col hidden="1" width="29.42578125" customWidth="1" min="7" max="7"/>
    <col hidden="1" width="30.5703125" customWidth="1" min="8" max="8"/>
    <col width="13.7109375" bestFit="1" customWidth="1" min="9" max="9"/>
    <col width="23.7109375" bestFit="1" customWidth="1" min="10" max="10"/>
    <col width="25" bestFit="1" customWidth="1" min="11" max="11"/>
    <col width="45.42578125" bestFit="1" customWidth="1" min="12" max="12"/>
    <col width="26.85546875" bestFit="1" customWidth="1" min="13" max="13"/>
    <col width="67.140625" customWidth="1" min="14" max="14"/>
  </cols>
  <sheetData>
    <row r="1" customFormat="1" s="63">
      <c r="A1" s="62" t="inlineStr">
        <is>
          <t>DescTituloPerguntaFormularioTipoAvaliacao</t>
        </is>
      </c>
      <c r="B1" s="63" t="inlineStr">
        <is>
          <t>IdBlocoFormularioTipoAvaliacao</t>
        </is>
      </c>
      <c r="C1" s="62" t="inlineStr">
        <is>
          <t>FlgAgrupadora</t>
        </is>
      </c>
      <c r="D1" s="63" t="inlineStr">
        <is>
          <t>FlgDistribuicaoValorRespostaNaoSeAplica</t>
        </is>
      </c>
      <c r="E1" s="62" t="inlineStr">
        <is>
          <t>FlgRespostaPossivelNaoSeAplica</t>
        </is>
      </c>
      <c r="F1" s="62" t="inlineStr">
        <is>
          <t>FlgRespostaPossivelParcialmente</t>
        </is>
      </c>
      <c r="G1" s="62" t="inlineStr">
        <is>
          <t>FlgRespostaPossivelSimNao</t>
        </is>
      </c>
      <c r="H1" s="62" t="inlineStr">
        <is>
          <t>FlgSolicitantePodeResponder</t>
        </is>
      </c>
      <c r="I1" s="63" t="inlineStr">
        <is>
          <t>NumOrdem</t>
        </is>
      </c>
      <c r="J1" s="62" t="inlineStr">
        <is>
          <t>ValFixoPontuacaoItem</t>
        </is>
      </c>
      <c r="K1" s="62" t="inlineStr">
        <is>
          <t>FlgEvidenciaObrigatoria</t>
        </is>
      </c>
      <c r="L1" s="62" t="inlineStr">
        <is>
          <t>FlgMedidaMinimaAdocaoProgramaIntegridade</t>
        </is>
      </c>
      <c r="M1" s="62" t="inlineStr">
        <is>
          <t>FlgObservacaoObrigatoria</t>
        </is>
      </c>
      <c r="N1" s="62" t="inlineStr">
        <is>
          <t>TxtInformacaoAdicional</t>
        </is>
      </c>
    </row>
    <row r="2" hidden="1">
      <c r="A2" t="inlineStr">
        <is>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is>
      </c>
      <c r="B2" t="n">
        <v>293</v>
      </c>
      <c r="C2" t="b">
        <v>0</v>
      </c>
      <c r="D2" t="b">
        <v>0</v>
      </c>
      <c r="E2" t="b">
        <v>0</v>
      </c>
      <c r="F2" t="b">
        <v>0</v>
      </c>
      <c r="G2" t="b">
        <v>1</v>
      </c>
      <c r="H2" t="b">
        <v>1</v>
      </c>
      <c r="I2" t="n">
        <v>1</v>
      </c>
      <c r="J2" t="n">
        <v>15</v>
      </c>
      <c r="K2" t="b">
        <v>1</v>
      </c>
      <c r="L2" t="b">
        <v>0</v>
      </c>
      <c r="M2" t="b">
        <v>0</v>
      </c>
      <c r="N2" t="inlineStr">
        <is>
          <t>Evidências que comprovem que a pessoa jurídica possui critérios éticos, como políticas de seleção e procedimentos de contratação, para escolha de membros da alta direção.</t>
        </is>
      </c>
    </row>
    <row r="3" hidden="1">
      <c r="A3" t="inlineStr">
        <is>
          <t>1.2 A pessoa jurídica aplicou critérios de integridade para seleção dos ocupantes de cargos da alta direção contratados nos últimos 24 meses? Se sim, anexar documentos que comprovem a aplicação dos critérios de integridade para seleção.</t>
        </is>
      </c>
      <c r="B3" t="n">
        <v>293</v>
      </c>
      <c r="C3" t="b">
        <v>0</v>
      </c>
      <c r="D3" t="b">
        <v>1</v>
      </c>
      <c r="E3" t="b">
        <v>1</v>
      </c>
      <c r="F3" t="b">
        <v>0</v>
      </c>
      <c r="G3" t="b">
        <v>1</v>
      </c>
      <c r="H3" t="b">
        <v>1</v>
      </c>
      <c r="I3" t="n">
        <v>2</v>
      </c>
      <c r="J3" t="n">
        <v>18</v>
      </c>
      <c r="K3" t="b">
        <v>1</v>
      </c>
      <c r="L3" t="b">
        <v>0</v>
      </c>
      <c r="M3" t="b">
        <v>0</v>
      </c>
      <c r="N3" t="inlineStr">
        <is>
          <t>Evidências que comprovem a aplicação de critérios de integridade na escolha da alta direção, incluindo testes de integridade, background check, Know Your Employee - KYE, pesquisas em fontes abertas e análises de antecedentes sobre histórico profissional, práticas ilícitas e conduta ética.</t>
        </is>
      </c>
    </row>
    <row r="4" hidden="1">
      <c r="A4"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B4" t="n">
        <v>293</v>
      </c>
      <c r="C4" t="b">
        <v>0</v>
      </c>
      <c r="D4" t="b">
        <v>1</v>
      </c>
      <c r="E4" t="b">
        <v>1</v>
      </c>
      <c r="F4" t="b">
        <v>0</v>
      </c>
      <c r="G4" t="b">
        <v>1</v>
      </c>
      <c r="H4" t="b">
        <v>1</v>
      </c>
      <c r="I4" t="n">
        <v>3</v>
      </c>
      <c r="J4" t="n">
        <v>15</v>
      </c>
      <c r="K4" t="b">
        <v>1</v>
      </c>
      <c r="L4" t="b">
        <v>0</v>
      </c>
      <c r="M4" t="b">
        <v>0</v>
      </c>
      <c r="N4" t="inlineStr">
        <is>
          <t>Evidências da adoção de norma formal que vincula a remuneração variável da alta direção ao cumprimento de metas relacionadas aos indicadores do programa de integridade.</t>
        </is>
      </c>
    </row>
    <row r="5">
      <c r="A5"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B5" t="n">
        <v>294</v>
      </c>
      <c r="C5" t="b">
        <v>0</v>
      </c>
      <c r="D5" t="b">
        <v>0</v>
      </c>
      <c r="E5" t="b">
        <v>0</v>
      </c>
      <c r="F5" t="b">
        <v>0</v>
      </c>
      <c r="G5" t="b">
        <v>1</v>
      </c>
      <c r="H5" t="b">
        <v>1</v>
      </c>
      <c r="I5" t="n">
        <v>1</v>
      </c>
      <c r="J5" t="n">
        <v>20</v>
      </c>
      <c r="K5" t="b">
        <v>1</v>
      </c>
      <c r="L5" t="b">
        <v>1</v>
      </c>
      <c r="M5" t="b">
        <v>0</v>
      </c>
      <c r="N5" t="inlineStr">
        <is>
          <t>Evidências da participação da alta direção na aprovação de políticas do programa de integridade, como atas de reuniões, e-mails ou documentos que comprovem a criação ou atualização de políticas, estruturas e procedimentos, ou registros incluídos na própria política.</t>
        </is>
      </c>
    </row>
    <row r="6" hidden="1">
      <c r="A6"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B6" t="n">
        <v>294</v>
      </c>
      <c r="C6" t="b">
        <v>0</v>
      </c>
      <c r="D6" t="b">
        <v>1</v>
      </c>
      <c r="E6" t="b">
        <v>1</v>
      </c>
      <c r="F6" t="b">
        <v>0</v>
      </c>
      <c r="G6" t="b">
        <v>1</v>
      </c>
      <c r="H6" t="b">
        <v>1</v>
      </c>
      <c r="I6" t="n">
        <v>2</v>
      </c>
      <c r="J6" t="n">
        <v>15</v>
      </c>
      <c r="K6" t="b">
        <v>1</v>
      </c>
      <c r="L6" t="b">
        <v>0</v>
      </c>
      <c r="M6" t="b">
        <v>0</v>
      </c>
      <c r="N6" t="inlineStr">
        <is>
          <t>Evidências da existência de um órgão colegiado responsável por tratar de temas do programa de integridade, como estatutos, regimentos, políticas internas e atas, demonstrando a participação ativa dos membros da alta direção nesse colegiado.</t>
        </is>
      </c>
    </row>
    <row r="7" hidden="1">
      <c r="A7"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B7" t="n">
        <v>294</v>
      </c>
      <c r="C7" t="b">
        <v>0</v>
      </c>
      <c r="D7" t="b">
        <v>0</v>
      </c>
      <c r="E7" t="b">
        <v>0</v>
      </c>
      <c r="F7" t="b">
        <v>1</v>
      </c>
      <c r="G7" t="b">
        <v>1</v>
      </c>
      <c r="H7" t="b">
        <v>1</v>
      </c>
      <c r="I7" t="n">
        <v>3</v>
      </c>
      <c r="J7" t="n">
        <v>18</v>
      </c>
      <c r="K7" t="b">
        <v>1</v>
      </c>
      <c r="L7" t="b">
        <v>0</v>
      </c>
      <c r="M7" t="b">
        <v>0</v>
      </c>
      <c r="N7" t="inlineStr">
        <is>
          <t>Evidências que comprovem a supervisão da alta direção na implantação e aplicação do programa de integridade, como atas de reuniões, e-mails, apresentações feitas em reuniões, registros de frequência das ações de supervisão, relatórios assinados e documentos que demonstrem o acompanhamento das atividades do programa.</t>
        </is>
      </c>
    </row>
    <row r="8">
      <c r="A8" t="inlineStr">
        <is>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is>
      </c>
      <c r="B8" t="n">
        <v>295</v>
      </c>
      <c r="C8" t="b">
        <v>0</v>
      </c>
      <c r="D8" t="b">
        <v>0</v>
      </c>
      <c r="E8" t="b">
        <v>0</v>
      </c>
      <c r="F8" t="b">
        <v>0</v>
      </c>
      <c r="G8" t="b">
        <v>1</v>
      </c>
      <c r="H8" t="b">
        <v>1</v>
      </c>
      <c r="I8" t="n">
        <v>1</v>
      </c>
      <c r="J8" t="n">
        <v>20</v>
      </c>
      <c r="K8" t="b">
        <v>1</v>
      </c>
      <c r="L8" t="b">
        <v>0</v>
      </c>
      <c r="M8" t="b">
        <v>0</v>
      </c>
      <c r="N8" t="inlineStr">
        <is>
          <t>Evidências de que a alta direção, de forma individualizada, reforça seu compromisso com a ética e a integridade, por meio de comunicados estratégicos em canais como e-mails, redes sociais, intranet, vídeos institucionais e comunicados internos e externos, demonstrando apoio ao programa de integridade.</t>
        </is>
      </c>
    </row>
    <row r="9" hidden="1">
      <c r="A9" t="inlineStr">
        <is>
          <t>3.2 As manifestações de apoio ao programa de integridade por membros da alta direção:</t>
        </is>
      </c>
      <c r="B9" t="n">
        <v>295</v>
      </c>
      <c r="C9" t="b">
        <v>1</v>
      </c>
      <c r="D9" t="b">
        <v>0</v>
      </c>
      <c r="E9" t="b">
        <v>0</v>
      </c>
      <c r="F9" t="b">
        <v>0</v>
      </c>
      <c r="G9" t="b">
        <v>0</v>
      </c>
      <c r="H9" t="b">
        <v>1</v>
      </c>
      <c r="I9" t="n">
        <v>2</v>
      </c>
      <c r="J9" t="n">
        <v>0</v>
      </c>
      <c r="K9" t="b">
        <v>0</v>
      </c>
      <c r="L9" t="b">
        <v>0</v>
      </c>
      <c r="M9" t="b">
        <v>0</v>
      </c>
      <c r="N9" t="inlineStr"/>
    </row>
    <row r="10" hidden="1">
      <c r="A10"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B10" t="n">
        <v>295</v>
      </c>
      <c r="C10" t="b">
        <v>0</v>
      </c>
      <c r="D10" t="b">
        <v>0</v>
      </c>
      <c r="E10" t="b">
        <v>0</v>
      </c>
      <c r="F10" t="b">
        <v>1</v>
      </c>
      <c r="G10" t="b">
        <v>1</v>
      </c>
      <c r="H10" t="b">
        <v>1</v>
      </c>
      <c r="I10" t="n">
        <v>3</v>
      </c>
      <c r="J10" t="n">
        <v>5</v>
      </c>
      <c r="K10" t="b">
        <v>1</v>
      </c>
      <c r="L10" t="b">
        <v>0</v>
      </c>
      <c r="M10" t="b">
        <v>0</v>
      </c>
      <c r="N10" t="inlineStr">
        <is>
          <t>Evidências de que as declarações de apoio ao programa de integridade foram feitas por diferentes membros da alta direção e de forma periódica, reforçando o compromisso da liderança com a ética e a transparência.</t>
        </is>
      </c>
    </row>
    <row r="11" hidden="1">
      <c r="A11" t="inlineStr">
        <is>
          <t>3.2.2 expressam uma mensagem de incentivo à adoção de uma conduta ética, seguindo os ditames do programa de integridade? Se sim, demonstrar a medida em que as manifestações de apoio ao programa de integridade expressaram o compromisso com os temas.</t>
        </is>
      </c>
      <c r="B11" t="n">
        <v>295</v>
      </c>
      <c r="C11" t="b">
        <v>0</v>
      </c>
      <c r="D11" t="b">
        <v>0</v>
      </c>
      <c r="E11" t="b">
        <v>0</v>
      </c>
      <c r="F11" t="b">
        <v>0</v>
      </c>
      <c r="G11" t="b">
        <v>1</v>
      </c>
      <c r="H11" t="b">
        <v>1</v>
      </c>
      <c r="I11" t="n">
        <v>4</v>
      </c>
      <c r="J11" t="n">
        <v>5</v>
      </c>
      <c r="K11" t="b">
        <v>1</v>
      </c>
      <c r="L11" t="b">
        <v>0</v>
      </c>
      <c r="M11" t="b">
        <v>0</v>
      </c>
      <c r="N11" t="inlineStr">
        <is>
          <t>Evidências de mensagens claras da alta direção aos colaboradores, sociedade, mercado e stakeholders, reforçando o compromisso da pessoa jurídica no combate ao preconceito, discriminação e assédio em qualquer forma.</t>
        </is>
      </c>
    </row>
    <row r="12" hidden="1">
      <c r="A12" t="inlineStr">
        <is>
          <t>3.2.3 expressam o compromisso da alta direção com o combate ao preconceito, à discriminação e ao assédio de qualquer natureza?  Se sim, demonstrar a medida em que as manifestações de apoio ao programa de integridade expressaram o compromisso com os temas.</t>
        </is>
      </c>
      <c r="B12" t="n">
        <v>295</v>
      </c>
      <c r="C12" t="b">
        <v>0</v>
      </c>
      <c r="D12" t="b">
        <v>0</v>
      </c>
      <c r="E12" t="b">
        <v>0</v>
      </c>
      <c r="F12" t="b">
        <v>0</v>
      </c>
      <c r="G12" t="b">
        <v>1</v>
      </c>
      <c r="H12" t="b">
        <v>1</v>
      </c>
      <c r="I12" t="n">
        <v>5</v>
      </c>
      <c r="J12" t="n">
        <v>5</v>
      </c>
      <c r="K12" t="b">
        <v>1</v>
      </c>
      <c r="L12" t="b">
        <v>0</v>
      </c>
      <c r="M12" t="b">
        <v>0</v>
      </c>
      <c r="N12" t="inlineStr">
        <is>
          <t>Evidências de mensagens claras da alta direção aos colaboradores, sociedade, mercado e stakeholders, reforçando o compromisso da pessoa jurídica no combate ao preconceito, discriminação e assédio em qualquer forma.</t>
        </is>
      </c>
    </row>
    <row r="13" hidden="1">
      <c r="A13" t="inlineStr">
        <is>
          <t>3.3 A pessoa jurídica destina recursos em seu orçamento para a manutenção das atividades relacionadas ao programa de integridade?  Se sim, anexar documentos que comprovem a destinação de recursos para o programa de integridade.</t>
        </is>
      </c>
      <c r="B13" t="n">
        <v>295</v>
      </c>
      <c r="C13" t="b">
        <v>0</v>
      </c>
      <c r="D13" t="b">
        <v>0</v>
      </c>
      <c r="E13" t="b">
        <v>0</v>
      </c>
      <c r="F13" t="b">
        <v>0</v>
      </c>
      <c r="G13" t="b">
        <v>1</v>
      </c>
      <c r="H13" t="b">
        <v>1</v>
      </c>
      <c r="I13" t="n">
        <v>6</v>
      </c>
      <c r="J13" t="n">
        <v>18</v>
      </c>
      <c r="K13" t="b">
        <v>1</v>
      </c>
      <c r="L13" t="b">
        <v>0</v>
      </c>
      <c r="M13" t="b">
        <v>0</v>
      </c>
      <c r="N13" t="inlineStr">
        <is>
          <t>Evidências que comprovem a elaboração de orçamento que destine recursos específicos para a área responsável pelo programa de integridade, antes de cada exercício, tais como: orçamento,  atas de reunião com aprovação orçamentária etc., que contemplem as despesas programadas para a área.</t>
        </is>
      </c>
    </row>
    <row r="14">
      <c r="A14"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B14" t="n">
        <v>297</v>
      </c>
      <c r="C14" t="b">
        <v>0</v>
      </c>
      <c r="D14" t="b">
        <v>0</v>
      </c>
      <c r="E14" t="b">
        <v>0</v>
      </c>
      <c r="F14" t="b">
        <v>0</v>
      </c>
      <c r="G14" t="b">
        <v>1</v>
      </c>
      <c r="H14" t="b">
        <v>1</v>
      </c>
      <c r="I14" t="n">
        <v>1</v>
      </c>
      <c r="J14" t="n">
        <v>20</v>
      </c>
      <c r="K14" t="b">
        <v>1</v>
      </c>
      <c r="L14" t="b">
        <v>1</v>
      </c>
      <c r="M14" t="b">
        <v>0</v>
      </c>
      <c r="N14" t="inlineStr">
        <is>
          <t>Evidências sobre a existência de uma instância interna (seja uma área ou pessoa designada) responsável pela implementação, fiscalização e monitoramento contínuo do programa de integridade no Brasil, tais como: políticas, regimento interno, estatuto, job description etc. Não serão considerados órgãos colegiados (comitês, conselhos etc).</t>
        </is>
      </c>
    </row>
    <row r="15" hidden="1">
      <c r="A15"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B15" t="n">
        <v>297</v>
      </c>
      <c r="C15" t="b">
        <v>0</v>
      </c>
      <c r="D15" t="b">
        <v>0</v>
      </c>
      <c r="E15" t="b">
        <v>0</v>
      </c>
      <c r="F15" t="b">
        <v>1</v>
      </c>
      <c r="G15" t="b">
        <v>1</v>
      </c>
      <c r="H15" t="b">
        <v>1</v>
      </c>
      <c r="I15" t="n">
        <v>2</v>
      </c>
      <c r="J15" t="n">
        <v>15</v>
      </c>
      <c r="K15" s="66" t="b">
        <v>0</v>
      </c>
      <c r="L15" t="b">
        <v>0</v>
      </c>
      <c r="M15" t="b">
        <v>0</v>
      </c>
      <c r="N15" t="inlineStr">
        <is>
          <t>Evidências documentais que descrevam explicitamente a área responsável pelo programa de integridade, com suas atribuições e responsabilidades detalhadas, tais como regimentos internos, estatuto social, regimentos, políticas e atas de reuniões que comprovem a criação, estrutura e funcionamento do setor, aprovado pela alta direção.</t>
        </is>
      </c>
    </row>
    <row r="16" hidden="1">
      <c r="A16"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B16" t="n">
        <v>297</v>
      </c>
      <c r="C16" t="b">
        <v>0</v>
      </c>
      <c r="D16" t="b">
        <v>1</v>
      </c>
      <c r="E16" t="b">
        <v>1</v>
      </c>
      <c r="F16" t="b">
        <v>0</v>
      </c>
      <c r="G16" t="b">
        <v>1</v>
      </c>
      <c r="H16" t="b">
        <v>1</v>
      </c>
      <c r="I16" t="n">
        <v>3</v>
      </c>
      <c r="J16" t="n">
        <v>15</v>
      </c>
      <c r="K16" t="b">
        <v>1</v>
      </c>
      <c r="L16" t="b">
        <v>0</v>
      </c>
      <c r="M16" t="b">
        <v>0</v>
      </c>
      <c r="N16" t="inlineStr">
        <is>
          <t>Evidência como política ou procedimento que formalize tal estrutura, organograma da pessoa jurídica que demonstre a posição hierárquica e as linhas de reporte da área de integridade.</t>
        </is>
      </c>
    </row>
    <row r="17" hidden="1">
      <c r="A17" t="inlineStr">
        <is>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is>
      </c>
      <c r="B17" t="n">
        <v>297</v>
      </c>
      <c r="C17" t="b">
        <v>0</v>
      </c>
      <c r="D17" t="b">
        <v>0</v>
      </c>
      <c r="E17" t="b">
        <v>0</v>
      </c>
      <c r="F17" t="b">
        <v>0</v>
      </c>
      <c r="G17" t="b">
        <v>1</v>
      </c>
      <c r="H17" t="b">
        <v>1</v>
      </c>
      <c r="I17" t="n">
        <v>4</v>
      </c>
      <c r="J17" t="n">
        <v>18</v>
      </c>
      <c r="K17" t="b">
        <v>1</v>
      </c>
      <c r="L17" t="b">
        <v>0</v>
      </c>
      <c r="M17" t="b">
        <v>0</v>
      </c>
      <c r="N17" t="inlineStr">
        <is>
          <t>Evidências que demonstrem o quantitativo de funcionários alocados na área de integridade, exclusiva ou parcialmente, correlacionando essa estrutura às atribuições previstas para a instância responsável pelo programa de integridade.</t>
        </is>
      </c>
    </row>
    <row r="18" hidden="1">
      <c r="A18"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B18" t="n">
        <v>296</v>
      </c>
      <c r="C18" t="b">
        <v>0</v>
      </c>
      <c r="D18" t="b">
        <v>0</v>
      </c>
      <c r="E18" t="b">
        <v>0</v>
      </c>
      <c r="F18" t="b">
        <v>1</v>
      </c>
      <c r="G18" t="b">
        <v>1</v>
      </c>
      <c r="H18" t="b">
        <v>1</v>
      </c>
      <c r="I18" t="n">
        <v>1</v>
      </c>
      <c r="J18" t="n">
        <v>15</v>
      </c>
      <c r="K18" t="b">
        <v>1</v>
      </c>
      <c r="L18" t="b">
        <v>0</v>
      </c>
      <c r="M18" t="b">
        <v>0</v>
      </c>
      <c r="N18" t="inlineStr">
        <is>
          <t>Evidências como estatuto, política de integridade ou job description, que definem garantias da área responsável pelo programa de integridade, incluindo independência, acesso a informações, proteção contra punições arbitrárias e validade de decisões.</t>
        </is>
      </c>
    </row>
    <row r="19" hidden="1">
      <c r="A19" t="inlineStr">
        <is>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is>
      </c>
      <c r="B19" t="n">
        <v>296</v>
      </c>
      <c r="C19" t="b">
        <v>0</v>
      </c>
      <c r="D19" t="b">
        <v>0</v>
      </c>
      <c r="E19" t="b">
        <v>0</v>
      </c>
      <c r="F19" t="b">
        <v>0</v>
      </c>
      <c r="G19" t="b">
        <v>1</v>
      </c>
      <c r="H19" t="b">
        <v>1</v>
      </c>
      <c r="I19" t="n">
        <v>2</v>
      </c>
      <c r="J19" t="n">
        <v>25</v>
      </c>
      <c r="K19" t="b">
        <v>1</v>
      </c>
      <c r="L19" t="b">
        <v>0</v>
      </c>
      <c r="M19" t="b">
        <v>0</v>
      </c>
      <c r="N19" t="inlineStr">
        <is>
          <t>Evidências como estatuto, política de integridade ou job description, que estabelecem a atuação direta ou supervisão da instância de integridade no fluxo de investigações e apurações.</t>
        </is>
      </c>
    </row>
    <row r="20" hidden="1">
      <c r="A20"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B20" t="n">
        <v>298</v>
      </c>
      <c r="C20" t="b">
        <v>0</v>
      </c>
      <c r="D20" t="b">
        <v>0</v>
      </c>
      <c r="E20" t="b">
        <v>0</v>
      </c>
      <c r="F20" t="b">
        <v>1</v>
      </c>
      <c r="G20" t="b">
        <v>1</v>
      </c>
      <c r="H20" t="b">
        <v>1</v>
      </c>
      <c r="I20" t="n">
        <v>1</v>
      </c>
      <c r="J20" t="n">
        <v>15</v>
      </c>
      <c r="K20" t="b">
        <v>1</v>
      </c>
      <c r="L20" t="b">
        <v>0</v>
      </c>
      <c r="M20" t="b">
        <v>0</v>
      </c>
      <c r="N20" t="inlineStr">
        <is>
          <t>Evidências como normas ou planejamento da pessoa jurídica que detalham a gestão de riscos, incluindo responsáveis, fluxo de aprovação, monitoramento e revisões.</t>
        </is>
      </c>
    </row>
    <row r="21" hidden="1">
      <c r="A21" t="inlineStr">
        <is>
          <t>6.2 A política ou planejamento que trata da gestão de riscos:</t>
        </is>
      </c>
      <c r="B21" t="n">
        <v>298</v>
      </c>
      <c r="C21" t="b">
        <v>1</v>
      </c>
      <c r="D21" t="b">
        <v>0</v>
      </c>
      <c r="E21" t="b">
        <v>0</v>
      </c>
      <c r="F21" t="b">
        <v>0</v>
      </c>
      <c r="G21" t="b">
        <v>0</v>
      </c>
      <c r="H21" t="b">
        <v>1</v>
      </c>
      <c r="I21" t="n">
        <v>2</v>
      </c>
      <c r="J21" t="n">
        <v>0</v>
      </c>
      <c r="K21" t="b">
        <v>0</v>
      </c>
      <c r="L21" t="b">
        <v>0</v>
      </c>
      <c r="M21" t="b">
        <v>0</v>
      </c>
      <c r="N21" t="inlineStr"/>
    </row>
    <row r="22" hidden="1">
      <c r="A22" t="inlineStr">
        <is>
          <t>6.2.1 institui a periodicidade mínima para atualização/revisão do processo de análise de riscos? Se sim, informar o item ou página da política, metodologia ou outro documento que comprove a existência do requisito.</t>
        </is>
      </c>
      <c r="B22" t="n">
        <v>298</v>
      </c>
      <c r="C22" t="b">
        <v>0</v>
      </c>
      <c r="D22" t="b">
        <v>0</v>
      </c>
      <c r="E22" t="b">
        <v>0</v>
      </c>
      <c r="F22" t="b">
        <v>0</v>
      </c>
      <c r="G22" t="b">
        <v>1</v>
      </c>
      <c r="H22" t="b">
        <v>1</v>
      </c>
      <c r="I22" t="n">
        <v>3</v>
      </c>
      <c r="J22" t="n">
        <v>5</v>
      </c>
      <c r="K22" t="b">
        <v>1</v>
      </c>
      <c r="L22" t="b">
        <v>0</v>
      </c>
      <c r="M22" t="b">
        <v>0</v>
      </c>
      <c r="N22" t="inlineStr">
        <is>
          <t>Evidências como normas ou planejamento da pessoa jurídica que detalham revisões e a periodicidade mínima para atualização/revisão do processo de análise de riscos.</t>
        </is>
      </c>
    </row>
    <row r="23" hidden="1">
      <c r="A23" t="inlineStr">
        <is>
          <t>6.2.2 determina a área ou pessoa responsável pela gestão de riscos? Se sim, informar o item ou página da política, metodologia ou outro documento que comprove a existência do requisito.</t>
        </is>
      </c>
      <c r="B23" t="n">
        <v>298</v>
      </c>
      <c r="C23" t="b">
        <v>0</v>
      </c>
      <c r="D23" t="b">
        <v>0</v>
      </c>
      <c r="E23" t="b">
        <v>0</v>
      </c>
      <c r="F23" t="b">
        <v>0</v>
      </c>
      <c r="G23" t="b">
        <v>1</v>
      </c>
      <c r="H23" t="b">
        <v>1</v>
      </c>
      <c r="I23" t="n">
        <v>4</v>
      </c>
      <c r="J23" t="n">
        <v>5</v>
      </c>
      <c r="K23" t="b">
        <v>1</v>
      </c>
      <c r="L23" t="b">
        <v>0</v>
      </c>
      <c r="M23" t="b">
        <v>0</v>
      </c>
      <c r="N23" t="inlineStr">
        <is>
          <t>Evidências como normas ou planejamento da pessoa jurídica que determina a área ou pessoa responsável pela gestão de riscos no âmbito do processo de análise de riscos.</t>
        </is>
      </c>
    </row>
    <row r="24" hidden="1">
      <c r="A24" t="inlineStr">
        <is>
          <t>6.2.3 inclui sua revisão e aprovação pela alta direção? Se sim, informar o item ou página da política, metodologia ou outro documento que comprove a existência do requisito.</t>
        </is>
      </c>
      <c r="B24" t="n">
        <v>298</v>
      </c>
      <c r="C24" t="b">
        <v>0</v>
      </c>
      <c r="D24" t="b">
        <v>0</v>
      </c>
      <c r="E24" t="b">
        <v>0</v>
      </c>
      <c r="F24" t="b">
        <v>0</v>
      </c>
      <c r="G24" t="b">
        <v>1</v>
      </c>
      <c r="H24" t="b">
        <v>1</v>
      </c>
      <c r="I24" t="n">
        <v>5</v>
      </c>
      <c r="J24" t="n">
        <v>5</v>
      </c>
      <c r="K24" t="b">
        <v>1</v>
      </c>
      <c r="L24" t="b">
        <v>0</v>
      </c>
      <c r="M24" t="b">
        <v>0</v>
      </c>
      <c r="N24" t="inlineStr">
        <is>
          <t>Evidências como normas, atas de reunião ou planejamento da pessoa jurídica que incluem e detalham revisões e aprovação, por parte da alta direção, na gestão dos riscos.</t>
        </is>
      </c>
    </row>
    <row r="25">
      <c r="A25"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B25" t="n">
        <v>298</v>
      </c>
      <c r="C25" t="b">
        <v>0</v>
      </c>
      <c r="D25" t="b">
        <v>0</v>
      </c>
      <c r="E25" t="b">
        <v>0</v>
      </c>
      <c r="F25" t="b">
        <v>0</v>
      </c>
      <c r="G25" t="b">
        <v>1</v>
      </c>
      <c r="H25" t="b">
        <v>1</v>
      </c>
      <c r="I25" t="n">
        <v>6</v>
      </c>
      <c r="J25" t="n">
        <v>20</v>
      </c>
      <c r="K25" t="b">
        <v>1</v>
      </c>
      <c r="L25" t="b">
        <v>1</v>
      </c>
      <c r="M25" t="b">
        <v>0</v>
      </c>
      <c r="N25" t="inlineStr">
        <is>
          <t>Evidências da análise de riscos para integridade, relacionadas à corrupção e fraude, realizada pela própria pessoa jurídica ou por terceiros, como relatórios internos, matriz de risco, e relatórios de consultorias.</t>
        </is>
      </c>
    </row>
    <row r="26" hidden="1">
      <c r="A26" t="inlineStr">
        <is>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is>
      </c>
      <c r="B26" t="n">
        <v>298</v>
      </c>
      <c r="C26" t="b">
        <v>0</v>
      </c>
      <c r="D26" t="b">
        <v>0</v>
      </c>
      <c r="E26" t="b">
        <v>0</v>
      </c>
      <c r="F26" t="b">
        <v>0</v>
      </c>
      <c r="G26" t="b">
        <v>1</v>
      </c>
      <c r="H26" t="b">
        <v>1</v>
      </c>
      <c r="I26" t="n">
        <v>7</v>
      </c>
      <c r="J26" t="n">
        <v>5</v>
      </c>
      <c r="K26" t="b">
        <v>1</v>
      </c>
      <c r="L26" t="b">
        <v>0</v>
      </c>
      <c r="M26" t="b">
        <v>0</v>
      </c>
      <c r="N26" t="inlineStr">
        <is>
          <t>Evidências como matriz de riscos e relatórios, que identificam e classificam riscos de integridade relacionados à participação em licitações e na execução de contratos administrativos</t>
        </is>
      </c>
    </row>
    <row r="27" hidden="1">
      <c r="A27" t="inlineStr">
        <is>
          <t>6.3.2 A análise de riscos realizada contempla a classificação dos riscos com base em sua probabilidade e impacto?  Se sim, anexar a matriz de riscos ou documento equivalente que contenha a análise e avaliação dos riscos com base em seu impacto e probabilidade.</t>
        </is>
      </c>
      <c r="B27" t="n">
        <v>298</v>
      </c>
      <c r="C27" t="b">
        <v>0</v>
      </c>
      <c r="D27" t="b">
        <v>0</v>
      </c>
      <c r="E27" t="b">
        <v>0</v>
      </c>
      <c r="F27" t="b">
        <v>0</v>
      </c>
      <c r="G27" t="b">
        <v>1</v>
      </c>
      <c r="H27" t="b">
        <v>1</v>
      </c>
      <c r="I27" t="n">
        <v>8</v>
      </c>
      <c r="J27" t="n">
        <v>5</v>
      </c>
      <c r="K27" t="b">
        <v>1</v>
      </c>
      <c r="L27" t="b">
        <v>0</v>
      </c>
      <c r="M27" t="b">
        <v>0</v>
      </c>
      <c r="N27" t="inlineStr">
        <is>
          <t>Evidências como matriz de riscos e relatórios, que identificam e classificam riscos de integridade, avaliando sua probabilidade e impacto.</t>
        </is>
      </c>
    </row>
    <row r="28" hidden="1">
      <c r="A28"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B28" t="n">
        <v>298</v>
      </c>
      <c r="C28" t="b">
        <v>0</v>
      </c>
      <c r="D28" t="b">
        <v>0</v>
      </c>
      <c r="E28" t="b">
        <v>0</v>
      </c>
      <c r="F28" t="b">
        <v>1</v>
      </c>
      <c r="G28" t="b">
        <v>1</v>
      </c>
      <c r="H28" t="b">
        <v>1</v>
      </c>
      <c r="I28" t="n">
        <v>9</v>
      </c>
      <c r="J28" t="n">
        <v>18</v>
      </c>
      <c r="K28" t="b">
        <v>1</v>
      </c>
      <c r="L28" t="b">
        <v>0</v>
      </c>
      <c r="M28" t="b">
        <v>0</v>
      </c>
      <c r="N28" t="inlineStr">
        <is>
          <t>Evidências como matriz de riscos e relatórios, com as medidas voltadas para a mitigação dos riscos identificados.</t>
        </is>
      </c>
    </row>
    <row r="29">
      <c r="A29" t="inlineStr">
        <is>
          <t>7.1 A pessoa jurídica possui código de ética e conduta, ou documento equivalente, disponível em português? Se sim, anexar o código ou documento equivalente.</t>
        </is>
      </c>
      <c r="B29" t="n">
        <v>299</v>
      </c>
      <c r="C29" t="b">
        <v>0</v>
      </c>
      <c r="D29" t="b">
        <v>0</v>
      </c>
      <c r="E29" t="b">
        <v>0</v>
      </c>
      <c r="F29" t="b">
        <v>0</v>
      </c>
      <c r="G29" t="b">
        <v>1</v>
      </c>
      <c r="H29" t="b">
        <v>1</v>
      </c>
      <c r="I29" t="n">
        <v>1</v>
      </c>
      <c r="J29" t="n">
        <v>20</v>
      </c>
      <c r="K29" t="b">
        <v>1</v>
      </c>
      <c r="L29" t="b">
        <v>1</v>
      </c>
      <c r="M29" t="b">
        <v>0</v>
      </c>
      <c r="N29" t="inlineStr">
        <is>
          <t>Evidência baseada no Código de Ética e Conduta, ou documento equivalente, em língua portuguesa.</t>
        </is>
      </c>
    </row>
    <row r="30" hidden="1">
      <c r="A30" t="inlineStr">
        <is>
          <t>7.2 O código de ética e conduta ou documento equivalente:</t>
        </is>
      </c>
      <c r="B30" t="n">
        <v>299</v>
      </c>
      <c r="C30" t="b">
        <v>1</v>
      </c>
      <c r="D30" t="b">
        <v>0</v>
      </c>
      <c r="E30" t="b">
        <v>0</v>
      </c>
      <c r="F30" t="b">
        <v>0</v>
      </c>
      <c r="G30" t="b">
        <v>0</v>
      </c>
      <c r="H30" t="b">
        <v>1</v>
      </c>
      <c r="I30" t="n">
        <v>2</v>
      </c>
      <c r="J30" t="n">
        <v>0</v>
      </c>
      <c r="K30" t="b">
        <v>0</v>
      </c>
      <c r="L30" t="b">
        <v>0</v>
      </c>
      <c r="M30" t="b">
        <v>0</v>
      </c>
      <c r="N30" t="inlineStr"/>
    </row>
    <row r="31" hidden="1">
      <c r="A31" t="inlineStr">
        <is>
          <t>7.2.1 foi formalmente aprovado pela alta direção da pessoa jurídica? Se sim, anexar documento ou registro que comprove a aprovação do código pela alta direção da entidade.</t>
        </is>
      </c>
      <c r="B31" t="n">
        <v>299</v>
      </c>
      <c r="C31" t="b">
        <v>0</v>
      </c>
      <c r="D31" t="b">
        <v>0</v>
      </c>
      <c r="E31" t="b">
        <v>0</v>
      </c>
      <c r="F31" t="b">
        <v>0</v>
      </c>
      <c r="G31" t="b">
        <v>1</v>
      </c>
      <c r="H31" t="b">
        <v>1</v>
      </c>
      <c r="I31" t="n">
        <v>3</v>
      </c>
      <c r="J31" t="n">
        <v>5</v>
      </c>
      <c r="K31" t="b">
        <v>1</v>
      </c>
      <c r="L31" t="b">
        <v>0</v>
      </c>
      <c r="M31" t="b">
        <v>0</v>
      </c>
      <c r="N31" t="inlineStr">
        <is>
          <t>Evidência que valide a aprovação da alta direção, como ata de reunião, aprovação ou mensagem constante no próprio Código.</t>
        </is>
      </c>
    </row>
    <row r="32" hidden="1">
      <c r="A32" t="inlineStr">
        <is>
          <t>7.2.2 inclui expressamente a ética e/ou a integridade entre os princípios ou valores da pessoa jurídica?  Se sim, indicar o dispositivo do código que atenda ao requisito.</t>
        </is>
      </c>
      <c r="B32" t="n">
        <v>299</v>
      </c>
      <c r="C32" t="b">
        <v>0</v>
      </c>
      <c r="D32" t="b">
        <v>0</v>
      </c>
      <c r="E32" t="b">
        <v>0</v>
      </c>
      <c r="F32" t="b">
        <v>0</v>
      </c>
      <c r="G32" t="b">
        <v>1</v>
      </c>
      <c r="H32" t="b">
        <v>1</v>
      </c>
      <c r="I32" t="n">
        <v>4</v>
      </c>
      <c r="J32" t="n">
        <v>5</v>
      </c>
      <c r="K32" t="b">
        <v>1</v>
      </c>
      <c r="L32" t="b">
        <v>0</v>
      </c>
      <c r="M32" t="b">
        <v>0</v>
      </c>
      <c r="N32" t="inlineStr">
        <is>
          <t>Evidência que destaque a seção e a página do Código de Ética e Conduta ou documento equivalente onde a ética e/ou integridade são mencionadas expressamente como princípios ou valores da pessoa jurídica.</t>
        </is>
      </c>
    </row>
    <row r="33" hidden="1">
      <c r="A33" t="inlineStr">
        <is>
          <t>7.2.3 está alinhado com a legislação anticorrupção brasileira, contendo vedações expressas à prática de atos de corrupção e fraude e prevenção de conflito de interesses? Se sim, indicar o(s) dispositivo(s) do código que atenda(m) ao requisito.</t>
        </is>
      </c>
      <c r="B33" t="n">
        <v>299</v>
      </c>
      <c r="C33" t="b">
        <v>0</v>
      </c>
      <c r="D33" t="b">
        <v>0</v>
      </c>
      <c r="E33" t="b">
        <v>0</v>
      </c>
      <c r="F33" t="b">
        <v>1</v>
      </c>
      <c r="G33" t="b">
        <v>1</v>
      </c>
      <c r="H33" t="b">
        <v>1</v>
      </c>
      <c r="I33" t="n">
        <v>5</v>
      </c>
      <c r="J33" t="n">
        <v>5</v>
      </c>
      <c r="K33" t="b">
        <v>1</v>
      </c>
      <c r="L33" t="b">
        <v>0</v>
      </c>
      <c r="M33" t="b">
        <v>0</v>
      </c>
      <c r="N33" t="inlineStr">
        <is>
          <t>Evidência que indique a seção e a página do Código de Ética e Conduta ou documento equivalente onde constam vedações expressas à prática de atos de corrupção e fraude e a prevenção de conflitos de interesses, alinhados com a legislação anticorrupção brasileira.</t>
        </is>
      </c>
    </row>
    <row r="34" hidden="1">
      <c r="A34" t="inlineStr">
        <is>
          <t>7.2.4 expressa o compromisso da pessoa jurídica em combater o preconceito, a discriminação e o assédio de qualquer natureza em suas relações internas e externas?  Se sim, indicar o(s) dispositivo(s) do código que atenda(m) ao requisito.</t>
        </is>
      </c>
      <c r="B34" t="n">
        <v>299</v>
      </c>
      <c r="C34" t="b">
        <v>0</v>
      </c>
      <c r="D34" t="b">
        <v>0</v>
      </c>
      <c r="E34" t="b">
        <v>0</v>
      </c>
      <c r="F34" t="b">
        <v>1</v>
      </c>
      <c r="G34" t="b">
        <v>1</v>
      </c>
      <c r="H34" t="b">
        <v>1</v>
      </c>
      <c r="I34" t="n">
        <v>6</v>
      </c>
      <c r="J34" t="n">
        <v>5</v>
      </c>
      <c r="K34" t="b">
        <v>1</v>
      </c>
      <c r="L34" t="b">
        <v>0</v>
      </c>
      <c r="M34" t="b">
        <v>0</v>
      </c>
      <c r="N34" t="inlineStr">
        <is>
          <t>Evidência que destaque a seção e a página do Código de Ética e Conduta ou documento equivalente onde a pessoa jurídica reafirma seu compromisso contra o preconceito, a discriminação e o assédio em todas as suas relações.</t>
        </is>
      </c>
    </row>
    <row r="35" hidden="1">
      <c r="A35" t="inlineStr">
        <is>
          <t>7.2.5 estabelece as condutas permitidas e proibidas na pessoa jurídica?  Se sim, indicar o(s) dispositivo(s) do código que atenda(m) ao requisito.</t>
        </is>
      </c>
      <c r="B35" t="n">
        <v>299</v>
      </c>
      <c r="C35" t="b">
        <v>0</v>
      </c>
      <c r="D35" t="b">
        <v>0</v>
      </c>
      <c r="E35" t="b">
        <v>0</v>
      </c>
      <c r="F35" t="b">
        <v>0</v>
      </c>
      <c r="G35" t="b">
        <v>1</v>
      </c>
      <c r="H35" t="b">
        <v>1</v>
      </c>
      <c r="I35" t="n">
        <v>7</v>
      </c>
      <c r="J35" t="n">
        <v>5</v>
      </c>
      <c r="K35" t="b">
        <v>1</v>
      </c>
      <c r="L35" t="b">
        <v>0</v>
      </c>
      <c r="M35" t="b">
        <v>0</v>
      </c>
      <c r="N35" t="inlineStr">
        <is>
          <t>Evidência que indique a seção e a página do Código de Ética e Conduta ou documento equivalente onde se estabelecem as condutas permitidas e proibidas dentro da pessoa jurídica.</t>
        </is>
      </c>
    </row>
    <row r="36" hidden="1">
      <c r="A36" t="inlineStr">
        <is>
          <t>7.2.6 menciona a possibilidade de aplicação de sanções para aqueles que cometerem violações éticas/legais, inclusive para os membros da alta direção da pessoa jurídica? Se sim, indicar o(s) dispositivo(s) do código que atenda(m) ao requisito.</t>
        </is>
      </c>
      <c r="B36" t="n">
        <v>299</v>
      </c>
      <c r="C36" t="b">
        <v>0</v>
      </c>
      <c r="D36" t="b">
        <v>0</v>
      </c>
      <c r="E36" t="b">
        <v>0</v>
      </c>
      <c r="F36" t="b">
        <v>1</v>
      </c>
      <c r="G36" t="b">
        <v>1</v>
      </c>
      <c r="H36" t="b">
        <v>1</v>
      </c>
      <c r="I36" t="n">
        <v>8</v>
      </c>
      <c r="J36" t="n">
        <v>5</v>
      </c>
      <c r="K36" t="b">
        <v>1</v>
      </c>
      <c r="L36" t="b">
        <v>0</v>
      </c>
      <c r="M36" t="b">
        <v>0</v>
      </c>
      <c r="N36" t="inlineStr">
        <is>
          <t>Evidência que destaque a seção e a página do Código de Ética e Conduta ou documento equivalente que tratam das sanções aplicáveis a violações éticas ou legais, incluindo penalidades para membros da alta direção.</t>
        </is>
      </c>
    </row>
    <row r="37" hidden="1">
      <c r="A37" t="inlineStr">
        <is>
          <t>7.3 O código de ética e conduta, ou documento equivalente, encontra-se disponível na página institucional da pessoa jurídica na internet?  Se sim, informar o link e descrever o caminho, desde a página inicial da entidade, para acesso ao documento.</t>
        </is>
      </c>
      <c r="B37" t="n">
        <v>299</v>
      </c>
      <c r="C37" t="b">
        <v>0</v>
      </c>
      <c r="D37" t="b">
        <v>0</v>
      </c>
      <c r="E37" t="b">
        <v>0</v>
      </c>
      <c r="F37" t="b">
        <v>0</v>
      </c>
      <c r="G37" t="b">
        <v>1</v>
      </c>
      <c r="H37" t="b">
        <v>1</v>
      </c>
      <c r="I37" t="n">
        <v>9</v>
      </c>
      <c r="J37" t="n">
        <v>18</v>
      </c>
      <c r="K37" t="b">
        <v>1</v>
      </c>
      <c r="L37" t="b">
        <v>0</v>
      </c>
      <c r="M37" s="61" t="b">
        <v>0</v>
      </c>
      <c r="N37" t="inlineStr">
        <is>
          <t xml:space="preserve">Evidência que informe tanto o link de acesso quanto o caminho da página inicial do site da pessoa jurídica até o Código de Ética e Conduta ou documento equivalente. </t>
        </is>
      </c>
    </row>
    <row r="38" hidden="1">
      <c r="A38" t="inlineStr">
        <is>
          <t>7.4 A pessoa jurídica possui código de ética e conduta, ou documento equivalente, aplicável a terceiros e disponível em português? Se sim, informar o link e descrever o caminho, desde a página inicial da entidade para acesso ao documento.</t>
        </is>
      </c>
      <c r="B38" t="n">
        <v>299</v>
      </c>
      <c r="C38" t="b">
        <v>0</v>
      </c>
      <c r="D38" t="b">
        <v>0</v>
      </c>
      <c r="E38" t="b">
        <v>0</v>
      </c>
      <c r="F38" t="b">
        <v>0</v>
      </c>
      <c r="G38" t="b">
        <v>1</v>
      </c>
      <c r="H38" t="b">
        <v>1</v>
      </c>
      <c r="I38" t="n">
        <v>10</v>
      </c>
      <c r="J38" t="n">
        <v>5</v>
      </c>
      <c r="K38" t="b">
        <v>1</v>
      </c>
      <c r="L38" t="b">
        <v>0</v>
      </c>
      <c r="M38" t="b">
        <v>0</v>
      </c>
      <c r="N38" t="inlineStr">
        <is>
          <t>Evidência baseada no Código de Ética e Conduta aplicável a terceiros, ou documento equivalente, em língua portuguesa. Caso seja parte do Código de Ética geral, este deve conter regras específicas para terceiros (disposições genéricas não serão aceitas).</t>
        </is>
      </c>
    </row>
    <row r="39" hidden="1">
      <c r="A39" t="inlineStr">
        <is>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is>
      </c>
      <c r="B39" t="n">
        <v>299</v>
      </c>
      <c r="C39" t="b">
        <v>0</v>
      </c>
      <c r="D39" t="b">
        <v>0</v>
      </c>
      <c r="E39" t="b">
        <v>0</v>
      </c>
      <c r="F39" t="b">
        <v>0</v>
      </c>
      <c r="G39" t="b">
        <v>1</v>
      </c>
      <c r="H39" t="b">
        <v>1</v>
      </c>
      <c r="I39" t="n">
        <v>11</v>
      </c>
      <c r="J39" t="n">
        <v>18</v>
      </c>
      <c r="K39" t="b">
        <v>1</v>
      </c>
      <c r="L39" t="b">
        <v>0</v>
      </c>
      <c r="M39" t="b">
        <v>0</v>
      </c>
      <c r="N39" t="inlineStr">
        <is>
          <t>Evidências como termos de ciência, contratos ou declarações assinadas por terceiros, confirmando a ciência e o compromisso com o Código de Ética e Conduta ou documento equivalente, incluindo atualizações.</t>
        </is>
      </c>
    </row>
    <row r="40" hidden="1">
      <c r="A40" t="inlineStr">
        <is>
          <t>8.1 A pessoa jurídica possui políticas e procedimentos de integridade que:</t>
        </is>
      </c>
      <c r="B40" t="n">
        <v>301</v>
      </c>
      <c r="C40" t="b">
        <v>1</v>
      </c>
      <c r="D40" t="b">
        <v>0</v>
      </c>
      <c r="E40" t="b">
        <v>0</v>
      </c>
      <c r="F40" t="b">
        <v>0</v>
      </c>
      <c r="G40" t="b">
        <v>0</v>
      </c>
      <c r="H40" t="b">
        <v>1</v>
      </c>
      <c r="I40" t="n">
        <v>1</v>
      </c>
      <c r="J40" t="n">
        <v>0</v>
      </c>
      <c r="K40" t="b">
        <v>0</v>
      </c>
      <c r="L40" t="b">
        <v>0</v>
      </c>
      <c r="M40" t="b">
        <v>0</v>
      </c>
      <c r="N40" t="inlineStr"/>
    </row>
    <row r="41">
      <c r="A41" t="inlineStr">
        <is>
          <t>8.1.1 vedam expressamente a concessão de vantagens indevidas, econômicas ou não, a agentes públicos? Se sim, anexar a política ou procedimento e indicar o(s) dispositivo(s) do documento que atenda(m) ao requisito.</t>
        </is>
      </c>
      <c r="B41" t="n">
        <v>301</v>
      </c>
      <c r="C41" t="b">
        <v>0</v>
      </c>
      <c r="D41" t="b">
        <v>0</v>
      </c>
      <c r="E41" t="b">
        <v>0</v>
      </c>
      <c r="F41" t="b">
        <v>0</v>
      </c>
      <c r="G41" t="b">
        <v>1</v>
      </c>
      <c r="H41" t="b">
        <v>1</v>
      </c>
      <c r="I41" t="n">
        <v>2</v>
      </c>
      <c r="J41" t="n">
        <v>20</v>
      </c>
      <c r="K41" t="b">
        <v>1</v>
      </c>
      <c r="L41" t="b">
        <v>1</v>
      </c>
      <c r="M41" t="b">
        <v>0</v>
      </c>
      <c r="N41" t="inlineStr">
        <is>
          <t>Evidência que indique a seção e a página de políticas, regras, orientações e/ou procedimentos que vedem expressamente a concessão de vantagens indevidas, econômicas ou não, a agentes públicos.</t>
        </is>
      </c>
    </row>
    <row r="42" hidden="1">
      <c r="A42" t="inlineStr">
        <is>
          <t>8.1.2 tratam do oferecimento de presentes, brindes e hospitalidades (refeições, entretenimento, viagem e hospedagem) a agentes públicos? Se sim, anexar a política ou procedimento e indicar o(s) dispositivo(s) do documento que atenda(m) ao requisito.</t>
        </is>
      </c>
      <c r="B42" t="n">
        <v>301</v>
      </c>
      <c r="C42" t="b">
        <v>0</v>
      </c>
      <c r="D42" t="b">
        <v>0</v>
      </c>
      <c r="E42" t="b">
        <v>0</v>
      </c>
      <c r="F42" t="b">
        <v>0</v>
      </c>
      <c r="G42" t="b">
        <v>1</v>
      </c>
      <c r="H42" t="b">
        <v>1</v>
      </c>
      <c r="I42" t="n">
        <v>3</v>
      </c>
      <c r="J42" t="n">
        <v>5</v>
      </c>
      <c r="K42" t="b">
        <v>1</v>
      </c>
      <c r="L42" t="b">
        <v>0</v>
      </c>
      <c r="M42" t="b">
        <v>0</v>
      </c>
      <c r="N42" t="inlineStr">
        <is>
          <t>Evidência que indique a seção e a página das políticas, regras, orientações ou procedimentos que regulem o oferecimento de presentes, brindes e hospitalidades (como refeições, entretenimento, viagens e hospedagem) a agentes públicos.</t>
        </is>
      </c>
    </row>
    <row r="43" hidden="1">
      <c r="A43"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B43" t="n">
        <v>301</v>
      </c>
      <c r="C43" t="b">
        <v>0</v>
      </c>
      <c r="D43" t="b">
        <v>0</v>
      </c>
      <c r="E43" t="b">
        <v>0</v>
      </c>
      <c r="F43" t="b">
        <v>1</v>
      </c>
      <c r="G43" t="b">
        <v>1</v>
      </c>
      <c r="H43" t="b">
        <v>1</v>
      </c>
      <c r="I43" t="n">
        <v>4</v>
      </c>
      <c r="J43" t="n">
        <v>5</v>
      </c>
      <c r="K43" t="b">
        <v>1</v>
      </c>
      <c r="L43" t="b">
        <v>0</v>
      </c>
      <c r="M43" t="b">
        <v>0</v>
      </c>
      <c r="N43" t="inlineStr">
        <is>
          <t>Evidência que indique a seção e a página das políticas, regras, orientações ou procedimentos que tratem da prevenção de conflitos de interesse nas relações com a Administração Pública, incluindo contratações de agentes públicos e seus familiares.</t>
        </is>
      </c>
    </row>
    <row r="44" hidden="1">
      <c r="A44"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B44" t="n">
        <v>301</v>
      </c>
      <c r="C44" t="b">
        <v>0</v>
      </c>
      <c r="D44" t="b">
        <v>0</v>
      </c>
      <c r="E44" t="b">
        <v>0</v>
      </c>
      <c r="F44" t="b">
        <v>1</v>
      </c>
      <c r="G44" t="b">
        <v>1</v>
      </c>
      <c r="H44" t="b">
        <v>1</v>
      </c>
      <c r="I44" t="n">
        <v>5</v>
      </c>
      <c r="J44" t="n">
        <v>5</v>
      </c>
      <c r="K44" t="b">
        <v>1</v>
      </c>
      <c r="L44" t="b">
        <v>0</v>
      </c>
      <c r="M44" t="b">
        <v>0</v>
      </c>
      <c r="N44" t="inlineStr">
        <is>
          <t>Evidência que indique a seção e a página das políticas, regras, orientações ou procedimentos que definam diretrizes e controles sobre reuniões, encontros e outras interações entre administradores ou empregados da pessoa jurídica e agentes públicos.</t>
        </is>
      </c>
    </row>
    <row r="45" hidden="1">
      <c r="A45" t="inlineStr">
        <is>
          <t>8.1.5 tratam da realização de doação e patrocínio, ou informam claramente que a pessoa jurídica não realiza essas atividades? Se sim, anexar política/procedimento de integridade. Indicar, no campo correspondente, o artigo, item e/ou página em que há essa previsão.</t>
        </is>
      </c>
      <c r="B45" t="n">
        <v>301</v>
      </c>
      <c r="C45" t="b">
        <v>0</v>
      </c>
      <c r="D45" t="b">
        <v>0</v>
      </c>
      <c r="E45" t="b">
        <v>0</v>
      </c>
      <c r="F45" t="b">
        <v>0</v>
      </c>
      <c r="G45" t="b">
        <v>1</v>
      </c>
      <c r="H45" t="b">
        <v>1</v>
      </c>
      <c r="I45" t="n">
        <v>6</v>
      </c>
      <c r="J45" t="n">
        <v>5</v>
      </c>
      <c r="K45" t="b">
        <v>1</v>
      </c>
      <c r="L45" t="b">
        <v>0</v>
      </c>
      <c r="M45" t="b">
        <v>0</v>
      </c>
      <c r="N45" t="inlineStr">
        <is>
          <t>Evidência que indique a seção e a página das políticas, regras, orientações ou procedimentos que abordem a realização de doações e patrocínios, ou que deixem claro que a pessoa jurídica não realiza essas atividades.</t>
        </is>
      </c>
    </row>
    <row r="46" hidden="1">
      <c r="A46"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B46" t="n">
        <v>301</v>
      </c>
      <c r="C46" t="b">
        <v>0</v>
      </c>
      <c r="D46" t="b">
        <v>0</v>
      </c>
      <c r="E46" t="b">
        <v>0</v>
      </c>
      <c r="F46" t="b">
        <v>1</v>
      </c>
      <c r="G46" t="b">
        <v>1</v>
      </c>
      <c r="H46" t="b">
        <v>1</v>
      </c>
      <c r="I46" t="n">
        <v>7</v>
      </c>
      <c r="J46" t="n">
        <v>25</v>
      </c>
      <c r="K46" t="b">
        <v>1</v>
      </c>
      <c r="L46" t="b">
        <v>0</v>
      </c>
      <c r="M46" t="b">
        <v>0</v>
      </c>
      <c r="N46" t="inlineStr">
        <is>
          <t>Evidências como relatórios, atas de reuniões, e-mails, due diligence, medidas disciplinares aplicadas a empregados, contratos rescindidos e/ou multas aplicadas a terceiros, monitoramento dos canais de denúncias etc.</t>
        </is>
      </c>
    </row>
    <row r="47">
      <c r="A47" t="inlineStr">
        <is>
          <t>9.1. A pessoa jurídica possui políticas ou procedimentos específicos para prevenção de ilícitos em licitações e contratos administrativos? Se sim, anexar a política ou procedimentos que atenda(m) ao requisito.</t>
        </is>
      </c>
      <c r="B47" t="n">
        <v>300</v>
      </c>
      <c r="C47" t="b">
        <v>0</v>
      </c>
      <c r="D47" t="b">
        <v>0</v>
      </c>
      <c r="E47" t="b">
        <v>0</v>
      </c>
      <c r="F47" t="b">
        <v>0</v>
      </c>
      <c r="G47" t="b">
        <v>1</v>
      </c>
      <c r="H47" t="b">
        <v>1</v>
      </c>
      <c r="I47" t="n">
        <v>1</v>
      </c>
      <c r="J47" t="n">
        <v>20</v>
      </c>
      <c r="K47" t="b">
        <v>1</v>
      </c>
      <c r="L47" t="b">
        <v>1</v>
      </c>
      <c r="M47" t="b">
        <v>0</v>
      </c>
      <c r="N47" t="inlineStr">
        <is>
          <t>Evidência que indique a seção e a página das políticas, regras, orientações ou procedimentos para prevenção de ilícitos em licitações e contratos administrativos.</t>
        </is>
      </c>
    </row>
    <row r="48" hidden="1">
      <c r="A48" t="inlineStr">
        <is>
          <t>9.2 As política ou procedimentos:</t>
        </is>
      </c>
      <c r="B48" t="n">
        <v>300</v>
      </c>
      <c r="C48" t="b">
        <v>1</v>
      </c>
      <c r="D48" t="b">
        <v>0</v>
      </c>
      <c r="E48" t="b">
        <v>0</v>
      </c>
      <c r="F48" t="b">
        <v>0</v>
      </c>
      <c r="G48" t="b">
        <v>0</v>
      </c>
      <c r="H48" t="b">
        <v>1</v>
      </c>
      <c r="I48" t="n">
        <v>2</v>
      </c>
      <c r="J48" t="n">
        <v>0</v>
      </c>
      <c r="K48" t="b">
        <v>0</v>
      </c>
      <c r="L48" t="b">
        <v>0</v>
      </c>
      <c r="M48" t="b">
        <v>0</v>
      </c>
      <c r="N48" t="inlineStr"/>
    </row>
    <row r="49" hidden="1">
      <c r="A49" t="inlineStr">
        <is>
          <t>9.2.1 estabelecem orientações sobre a conduta esperada (o que é permitido/proibido) para seus empregados e para terceiros que atuam em seu nome? Se sim, indicar o(s) dispositivo(s) da política ou procedimentos que atenda(m) ao requisito.</t>
        </is>
      </c>
      <c r="B49" t="n">
        <v>300</v>
      </c>
      <c r="C49" t="b">
        <v>0</v>
      </c>
      <c r="D49" t="b">
        <v>0</v>
      </c>
      <c r="E49" t="b">
        <v>0</v>
      </c>
      <c r="F49" t="b">
        <v>1</v>
      </c>
      <c r="G49" t="b">
        <v>1</v>
      </c>
      <c r="H49" t="b">
        <v>1</v>
      </c>
      <c r="I49" t="n">
        <v>3</v>
      </c>
      <c r="J49" t="n">
        <v>5</v>
      </c>
      <c r="K49" t="b">
        <v>1</v>
      </c>
      <c r="L49" t="b">
        <v>0</v>
      </c>
      <c r="M49" t="b">
        <v>0</v>
      </c>
      <c r="N49" t="inlineStr">
        <is>
          <t>Evidência que indique a seção e a página das políticas, regras, orientações ou procedimentos que estabeleçam diretrizes claras sobre a conduta esperada dos empregados e terceiros, especificando ações permitidas e proibidas.</t>
        </is>
      </c>
    </row>
    <row r="50" hidden="1">
      <c r="A50"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B50" t="n">
        <v>300</v>
      </c>
      <c r="C50" t="b">
        <v>0</v>
      </c>
      <c r="D50" t="b">
        <v>0</v>
      </c>
      <c r="E50" t="b">
        <v>0</v>
      </c>
      <c r="F50" t="b">
        <v>1</v>
      </c>
      <c r="G50" t="b">
        <v>1</v>
      </c>
      <c r="H50" t="b">
        <v>1</v>
      </c>
      <c r="I50" t="n">
        <v>4</v>
      </c>
      <c r="J50" t="n">
        <v>5</v>
      </c>
      <c r="K50" t="b">
        <v>1</v>
      </c>
      <c r="L50" t="b">
        <v>0</v>
      </c>
      <c r="M50" t="b">
        <v>0</v>
      </c>
      <c r="N50" t="inlineStr">
        <is>
          <t>Evidência que indique a seção e a página das políticas, regras, orientações ou procedimentos que indiquem expressamente os responsáveis pela autorização de medidas vinculadas à participação da pessoa jurídica em licitações e à gestão do contrato.</t>
        </is>
      </c>
    </row>
    <row r="51" hidden="1">
      <c r="A51" t="inlineStr">
        <is>
          <t>9.2.3 definem a necessidade de rotação periódica dos responsáveis por interagir com os agentes públicos em licitações e contratos administrativos? Se sim, indicar o(s) dispositivo(s) da política ou procedimentos que atenda(m) ao requisito.</t>
        </is>
      </c>
      <c r="B51" t="n">
        <v>300</v>
      </c>
      <c r="C51" t="b">
        <v>0</v>
      </c>
      <c r="D51" t="b">
        <v>0</v>
      </c>
      <c r="E51" t="b">
        <v>0</v>
      </c>
      <c r="F51" t="b">
        <v>0</v>
      </c>
      <c r="G51" t="b">
        <v>1</v>
      </c>
      <c r="H51" t="b">
        <v>1</v>
      </c>
      <c r="I51" t="n">
        <v>5</v>
      </c>
      <c r="J51" t="n">
        <v>5</v>
      </c>
      <c r="K51" t="b">
        <v>1</v>
      </c>
      <c r="L51" t="b">
        <v>0</v>
      </c>
      <c r="M51" t="b">
        <v>0</v>
      </c>
      <c r="N51" t="inlineStr">
        <is>
          <t>Evidência que indique a seção e a página das políticas, regras, orientações ou procedimentos que estabeleçam a alternância dos responsáveis pela comunicação com agentes públicos nas licitações e na execução do contrato, considerando seu prazo de vigência.</t>
        </is>
      </c>
    </row>
    <row r="52" hidden="1">
      <c r="A52" t="inlineStr">
        <is>
          <t>9.2.4 orientam a relação da pessoa jurídica com seus concorrentes, a fim de evitar práticas anticoncorrenciais que possibilitem fraude em processos licitatórios? Se sim, indicar o(s) dispositivo(s) da política ou procedimentos que atenda(m) ao requisito.</t>
        </is>
      </c>
      <c r="B52" t="n">
        <v>300</v>
      </c>
      <c r="C52" t="b">
        <v>0</v>
      </c>
      <c r="D52" t="b">
        <v>0</v>
      </c>
      <c r="E52" t="b">
        <v>0</v>
      </c>
      <c r="F52" t="b">
        <v>0</v>
      </c>
      <c r="G52" t="b">
        <v>1</v>
      </c>
      <c r="H52" t="b">
        <v>1</v>
      </c>
      <c r="I52" t="n">
        <v>6</v>
      </c>
      <c r="J52" t="n">
        <v>5</v>
      </c>
      <c r="K52" t="b">
        <v>1</v>
      </c>
      <c r="L52" t="b">
        <v>0</v>
      </c>
      <c r="M52" t="b">
        <v>0</v>
      </c>
      <c r="N52" t="inlineStr">
        <is>
          <t>Evidência que indique a seção e a página das políticas, regras, orientações ou procedimentos que estabeleçam diretrizes para a relação da pessoa jurídica com concorrentes, prevenindo práticas anticoncorrenciais e coibindo fraudes em processos licitatórios.</t>
        </is>
      </c>
    </row>
    <row r="53" hidden="1">
      <c r="A53"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B53" t="n">
        <v>300</v>
      </c>
      <c r="C53" t="b">
        <v>0</v>
      </c>
      <c r="D53" t="b">
        <v>0</v>
      </c>
      <c r="E53" t="b">
        <v>0</v>
      </c>
      <c r="F53" t="b">
        <v>1</v>
      </c>
      <c r="G53" t="b">
        <v>1</v>
      </c>
      <c r="H53" t="b">
        <v>1</v>
      </c>
      <c r="I53" t="n">
        <v>7</v>
      </c>
      <c r="J53" t="n">
        <v>25</v>
      </c>
      <c r="K53" t="b">
        <v>1</v>
      </c>
      <c r="L53" t="b">
        <v>0</v>
      </c>
      <c r="M53" t="b">
        <v>0</v>
      </c>
      <c r="N53" t="inlineStr">
        <is>
          <t>Exemplos de processos reais contendo: matriz de riscos, atas de reuniões, aprovações, e-mails e documentos da alta direção, que comprovem a aplicação das políticas de prevenção a ilícitos em licitações e contratos administrativos, incluindo ações implementadas e resultados para empregados e terceiros.</t>
        </is>
      </c>
    </row>
    <row r="54">
      <c r="A54"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B54" t="n">
        <v>302</v>
      </c>
      <c r="C54" t="b">
        <v>0</v>
      </c>
      <c r="D54" t="b">
        <v>0</v>
      </c>
      <c r="E54" t="b">
        <v>0</v>
      </c>
      <c r="F54" t="b">
        <v>0</v>
      </c>
      <c r="G54" t="b">
        <v>1</v>
      </c>
      <c r="H54" t="b">
        <v>1</v>
      </c>
      <c r="I54" t="n">
        <v>1</v>
      </c>
      <c r="J54" t="n">
        <v>20</v>
      </c>
      <c r="K54" t="b">
        <v>1</v>
      </c>
      <c r="L54" t="b">
        <v>1</v>
      </c>
      <c r="M54" t="b">
        <v>0</v>
      </c>
      <c r="N54" t="inlineStr">
        <is>
          <t>Evidência que apresente o planejamento periódico das capacitações em integridade, especificando cronograma, temas, públicos-alvo, responsáveis e forma de execução.</t>
        </is>
      </c>
    </row>
    <row r="55" hidden="1">
      <c r="A55"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B55" t="n">
        <v>302</v>
      </c>
      <c r="C55" t="b">
        <v>0</v>
      </c>
      <c r="D55" t="b">
        <v>0</v>
      </c>
      <c r="E55" t="b">
        <v>0</v>
      </c>
      <c r="F55" t="b">
        <v>1</v>
      </c>
      <c r="G55" t="b">
        <v>1</v>
      </c>
      <c r="H55" t="b">
        <v>1</v>
      </c>
      <c r="I55" t="n">
        <v>2</v>
      </c>
      <c r="J55" t="n">
        <v>25</v>
      </c>
      <c r="K55" t="b">
        <v>1</v>
      </c>
      <c r="L55" t="b">
        <v>0</v>
      </c>
      <c r="M55" t="b">
        <v>0</v>
      </c>
      <c r="N55" t="inlineStr">
        <is>
          <t>Evidências como listas de presença, materiais de estudo, links de treinamentos online ou registros de frequência que demonstrem a participação dos colaboradores em capacitações sobre o código de ética, canais de denúncia, política anticorrupção etc.</t>
        </is>
      </c>
    </row>
    <row r="56" hidden="1">
      <c r="A56" t="inlineStr">
        <is>
          <t>10.3 A pessoa jurídica realizou, nos últimos 12 meses, treinamento(s) direcionado(s) a públicos específicos, abordando conteúdo alinhado aos principais riscos daqueles públicos, como prevenção de fraudes e ilícitos em licitações e contratos administrativos, controles contábeis e financeiros, realização de diligências para contratação e supervisão de terceiros? Se sim, anexar documentos e/ou indicar, no campo correspondente, link em que seja possível visualizar os treinamentos realizados e descrever as ocasiões, temas, carga horária e público alcançado.</t>
        </is>
      </c>
      <c r="B56" t="n">
        <v>302</v>
      </c>
      <c r="C56" t="b">
        <v>0</v>
      </c>
      <c r="D56" t="b">
        <v>0</v>
      </c>
      <c r="E56" t="b">
        <v>0</v>
      </c>
      <c r="F56" t="b">
        <v>1</v>
      </c>
      <c r="G56" t="b">
        <v>1</v>
      </c>
      <c r="H56" t="b">
        <v>1</v>
      </c>
      <c r="I56" t="n">
        <v>3</v>
      </c>
      <c r="J56" t="n">
        <v>18</v>
      </c>
      <c r="K56" t="b">
        <v>1</v>
      </c>
      <c r="L56" t="b">
        <v>0</v>
      </c>
      <c r="M56" t="b">
        <v>0</v>
      </c>
      <c r="N56" t="inlineStr">
        <is>
          <t>Evidências como listas de presença, materiais de estudo ou registros de frequência, que demonstrem treinamento direcionado a públicos expostos a riscos específicos, com temas relevantes para cada área, como licitações, controles financeiros e diligências em contratações etc.</t>
        </is>
      </c>
    </row>
    <row r="57" hidden="1">
      <c r="A57" t="inlineStr">
        <is>
          <t>10.4 Os treinamentos relacionados ao programa de integridade realizados pela pessoa jurídica nos últimos 12 meses atingiram, em média, 70% de cada um dos públicos-alvo? Se sim, anexar documentos ou informações que demonstrem o cumprimento do requisito.</t>
        </is>
      </c>
      <c r="B57" t="n">
        <v>302</v>
      </c>
      <c r="C57" t="b">
        <v>0</v>
      </c>
      <c r="D57" t="b">
        <v>0</v>
      </c>
      <c r="E57" t="b">
        <v>0</v>
      </c>
      <c r="F57" t="b">
        <v>0</v>
      </c>
      <c r="G57" t="b">
        <v>1</v>
      </c>
      <c r="H57" t="b">
        <v>1</v>
      </c>
      <c r="I57" t="n">
        <v>4</v>
      </c>
      <c r="J57" t="n">
        <v>5</v>
      </c>
      <c r="K57" t="b">
        <v>1</v>
      </c>
      <c r="L57" t="b">
        <v>0</v>
      </c>
      <c r="M57" t="b">
        <v>0</v>
      </c>
      <c r="N57" t="inlineStr">
        <is>
          <t>Evidências documentais, como relatórios ou históricos de treinamentos contendo dados estatísticos ou percentuais de participação, acompanhados de listas de presença para comprovação.</t>
        </is>
      </c>
    </row>
    <row r="58">
      <c r="A58"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B58" t="n">
        <v>303</v>
      </c>
      <c r="C58" t="b">
        <v>0</v>
      </c>
      <c r="D58" t="b">
        <v>0</v>
      </c>
      <c r="E58" t="b">
        <v>0</v>
      </c>
      <c r="F58" t="b">
        <v>0</v>
      </c>
      <c r="G58" t="b">
        <v>1</v>
      </c>
      <c r="H58" t="b">
        <v>1</v>
      </c>
      <c r="I58" t="n">
        <v>1</v>
      </c>
      <c r="J58" t="n">
        <v>20</v>
      </c>
      <c r="K58" t="b">
        <v>1</v>
      </c>
      <c r="L58" t="b">
        <v>1</v>
      </c>
      <c r="M58" t="b">
        <v>0</v>
      </c>
      <c r="N58" t="inlineStr">
        <is>
          <t>Evidências documentais que estabeleçam o planejamento das ações de comunicação sobre integridade para o período avaliado, detalhando cronograma, temas, responsáveis, públicos-alvo e meios de divulgação.</t>
        </is>
      </c>
    </row>
    <row r="59" hidden="1">
      <c r="A59"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B59" t="n">
        <v>303</v>
      </c>
      <c r="C59" t="b">
        <v>0</v>
      </c>
      <c r="D59" t="b">
        <v>0</v>
      </c>
      <c r="E59" t="b">
        <v>0</v>
      </c>
      <c r="F59" t="b">
        <v>1</v>
      </c>
      <c r="G59" t="b">
        <v>1</v>
      </c>
      <c r="H59" t="b">
        <v>1</v>
      </c>
      <c r="I59" t="n">
        <v>2</v>
      </c>
      <c r="J59" t="n">
        <v>25</v>
      </c>
      <c r="K59" t="b">
        <v>1</v>
      </c>
      <c r="L59" t="b">
        <v>0</v>
      </c>
      <c r="M59" t="b">
        <v>0</v>
      </c>
      <c r="N59" t="inlineStr">
        <is>
          <t>Evidências de comunicações internas destinadas à divulgação do Código de Ética, da política anticorrupção e canais de denúncia, por meio de e-mails, vídeos, cartazes, folders, registros de páginas da intranet etc, assegurando a identificação dos destinatários.</t>
        </is>
      </c>
    </row>
    <row r="60" hidden="1">
      <c r="A60" t="inlineStr">
        <is>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is>
      </c>
      <c r="B60" t="n">
        <v>303</v>
      </c>
      <c r="C60" t="b">
        <v>0</v>
      </c>
      <c r="D60" t="b">
        <v>0</v>
      </c>
      <c r="E60" t="b">
        <v>0</v>
      </c>
      <c r="F60" t="b">
        <v>0</v>
      </c>
      <c r="G60" t="b">
        <v>1</v>
      </c>
      <c r="H60" t="b">
        <v>1</v>
      </c>
      <c r="I60" t="n">
        <v>3</v>
      </c>
      <c r="J60" t="n">
        <v>5</v>
      </c>
      <c r="K60" t="b">
        <v>1</v>
      </c>
      <c r="L60" t="b">
        <v>0</v>
      </c>
      <c r="M60" t="b">
        <v>0</v>
      </c>
      <c r="N60" t="inlineStr">
        <is>
          <t>Evidências de que as comunicações foram contínuas e frequentes, reforçando a cultura de integridade, adaptando-se ao mercado e à legislação anticorrupção, e não se limitando a ações sazonais.</t>
        </is>
      </c>
    </row>
    <row r="61">
      <c r="A61" t="inlineStr">
        <is>
          <t>12.1 A pessoa jurídica possui procedimentos definidos para a realização dos lançamentos contábeis e financeiros? Se sim, anexar os documentos ou informações que estabeleçam os procedimentos existentes.</t>
        </is>
      </c>
      <c r="B61" t="n">
        <v>305</v>
      </c>
      <c r="C61" t="b">
        <v>0</v>
      </c>
      <c r="D61" t="b">
        <v>0</v>
      </c>
      <c r="E61" t="b">
        <v>0</v>
      </c>
      <c r="F61" t="b">
        <v>0</v>
      </c>
      <c r="G61" t="b">
        <v>1</v>
      </c>
      <c r="H61" t="b">
        <v>1</v>
      </c>
      <c r="I61" t="n">
        <v>1</v>
      </c>
      <c r="J61" t="n">
        <v>20</v>
      </c>
      <c r="K61" t="b">
        <v>1</v>
      </c>
      <c r="L61" t="b">
        <v>1</v>
      </c>
      <c r="M61" t="b">
        <v>0</v>
      </c>
      <c r="N61" t="inlineStr">
        <is>
          <t>Evidências de políticas ou normas para controle interno que comprovem a existência de rotinas e atividades necessárias para efetuar registros: fluxogramas, dashboards, printscreen de sistemas, comunicações internas, troca de e-mails etc.</t>
        </is>
      </c>
    </row>
    <row r="62" hidden="1">
      <c r="A62" t="inlineStr">
        <is>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is>
      </c>
      <c r="B62" t="n">
        <v>305</v>
      </c>
      <c r="C62" t="b">
        <v>0</v>
      </c>
      <c r="D62" t="b">
        <v>0</v>
      </c>
      <c r="E62" t="b">
        <v>0</v>
      </c>
      <c r="F62" t="b">
        <v>0</v>
      </c>
      <c r="G62" t="b">
        <v>1</v>
      </c>
      <c r="H62" t="b">
        <v>1</v>
      </c>
      <c r="I62" t="n">
        <v>2</v>
      </c>
      <c r="J62" t="n">
        <v>5</v>
      </c>
      <c r="K62" t="b">
        <v>1</v>
      </c>
      <c r="L62" t="b">
        <v>0</v>
      </c>
      <c r="M62" t="b">
        <v>0</v>
      </c>
      <c r="N62" t="inlineStr">
        <is>
          <t>Evidências de normas ou documentos que estabeleçam mecanismos e controles para registros contábeis que possam identificar “red flags”, prints de sistemas demostrando alertas para transações suspeitas, ainda durante o fechamento da contabilidade.</t>
        </is>
      </c>
    </row>
    <row r="63" hidden="1">
      <c r="A63" t="inlineStr">
        <is>
          <t>12.3 A pessoa jurídica possui mecanismos e/ou "red flags" para detectar receitas e despesas fora do padrão durante o registro de lançamentos contábeis? Se sim, anexar os documentos ou informações que estabeleçam os procedimentos existentes.</t>
        </is>
      </c>
      <c r="B63" t="n">
        <v>305</v>
      </c>
      <c r="C63" t="b">
        <v>0</v>
      </c>
      <c r="D63" t="b">
        <v>0</v>
      </c>
      <c r="E63" t="b">
        <v>0</v>
      </c>
      <c r="F63" t="b">
        <v>0</v>
      </c>
      <c r="G63" t="b">
        <v>1</v>
      </c>
      <c r="H63" t="b">
        <v>1</v>
      </c>
      <c r="I63" t="n">
        <v>3</v>
      </c>
      <c r="J63" t="n">
        <v>5</v>
      </c>
      <c r="K63" t="b">
        <v>1</v>
      </c>
      <c r="L63" t="b">
        <v>0</v>
      </c>
      <c r="M63" t="b">
        <v>0</v>
      </c>
      <c r="N63" t="inlineStr">
        <is>
          <t>Evidências de normas ou documentos que estabeleçam mecanismos e controles para registros contábeis que possam identificar “red flags”, prints de sistemas demostrando alertas para transações suspeitas, ainda durante o fechamento da contabilidade.</t>
        </is>
      </c>
    </row>
    <row r="64" hidden="1">
      <c r="A64" t="inlineStr">
        <is>
          <t>12.4 A pessoa jurídica possui regras que exigem a verificação do cumprimento do objeto do contrato para realização do pagamento? Se sim, anexar documentos ou informações que estabeleçam os procedimentos existentes.</t>
        </is>
      </c>
      <c r="B64" t="n">
        <v>305</v>
      </c>
      <c r="C64" t="b">
        <v>0</v>
      </c>
      <c r="D64" t="b">
        <v>0</v>
      </c>
      <c r="E64" t="b">
        <v>0</v>
      </c>
      <c r="F64" t="b">
        <v>0</v>
      </c>
      <c r="G64" t="b">
        <v>1</v>
      </c>
      <c r="H64" t="b">
        <v>1</v>
      </c>
      <c r="I64" t="n">
        <v>4</v>
      </c>
      <c r="J64" t="n">
        <v>15</v>
      </c>
      <c r="K64" t="b">
        <v>1</v>
      </c>
      <c r="L64" t="b">
        <v>0</v>
      </c>
      <c r="M64" t="b">
        <v>0</v>
      </c>
      <c r="N64" t="inlineStr">
        <is>
          <t>Evidências de normas e/ou prints de sistemas que estabeleçam mecanismos e controles para verificação do cumprimento do objeto do contrato para realização do pagamento.</t>
        </is>
      </c>
    </row>
    <row r="65" hidden="1">
      <c r="A65" t="inlineStr">
        <is>
          <t>13.1 A pessoa jurídica possui função de auditoria interna formalmente estabelecida, seja de forma direta ou terceirizada? Se sim, anexar oi estatuto ou documento que demonstre o estabelecimento da função de auditoria interna.</t>
        </is>
      </c>
      <c r="B65" t="n">
        <v>304</v>
      </c>
      <c r="C65" t="b">
        <v>0</v>
      </c>
      <c r="D65" t="b">
        <v>1</v>
      </c>
      <c r="E65" t="b">
        <v>1</v>
      </c>
      <c r="F65" t="b">
        <v>0</v>
      </c>
      <c r="G65" t="b">
        <v>1</v>
      </c>
      <c r="H65" t="b">
        <v>1</v>
      </c>
      <c r="I65" t="n">
        <v>1</v>
      </c>
      <c r="J65" t="n">
        <v>15</v>
      </c>
      <c r="K65" t="b">
        <v>1</v>
      </c>
      <c r="L65" t="b">
        <v>0</v>
      </c>
      <c r="M65" t="b">
        <v>0</v>
      </c>
      <c r="N65" t="inlineStr">
        <is>
          <t>Evidências de norma (política, regimento interno, estatuto social, organograma) formalmente aprovada que estabeleça a instituição de uma área de auditoria interna ou contrato vigente com pessoa jurídica terceirizada de auditoria interna.</t>
        </is>
      </c>
    </row>
    <row r="66" hidden="1">
      <c r="A66" t="inlineStr">
        <is>
          <t>13.2 A função de auditoria interna reporta-se diretamente à alta direção ou instância de governança da pessoa jurídica? Se sim, anexar o estatuto ou outro documento que demonstre o nível de reporte da função de auditoria interna.</t>
        </is>
      </c>
      <c r="B66" t="n">
        <v>304</v>
      </c>
      <c r="C66" t="b">
        <v>0</v>
      </c>
      <c r="D66" t="b">
        <v>1</v>
      </c>
      <c r="E66" t="b">
        <v>1</v>
      </c>
      <c r="F66" t="b">
        <v>0</v>
      </c>
      <c r="G66" t="b">
        <v>1</v>
      </c>
      <c r="H66" t="b">
        <v>1</v>
      </c>
      <c r="I66" t="n">
        <v>2</v>
      </c>
      <c r="J66" t="n">
        <v>5</v>
      </c>
      <c r="K66" t="b">
        <v>1</v>
      </c>
      <c r="L66" t="b">
        <v>0</v>
      </c>
      <c r="M66" t="b">
        <v>0</v>
      </c>
      <c r="N66" t="inlineStr">
        <is>
          <t>Evidências de norma (política, regimento interno, estatuto social, organograma) formalmente aprovada, ou contrato de audioria interna terceirizada, que estabeleçam o nível de reporte da área ou função de auditoria interna.</t>
        </is>
      </c>
    </row>
    <row r="67" hidden="1">
      <c r="A67"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B67" t="n">
        <v>304</v>
      </c>
      <c r="C67" t="b">
        <v>0</v>
      </c>
      <c r="D67" t="b">
        <v>1</v>
      </c>
      <c r="E67" t="b">
        <v>1</v>
      </c>
      <c r="F67" t="b">
        <v>1</v>
      </c>
      <c r="G67" t="b">
        <v>1</v>
      </c>
      <c r="H67" t="b">
        <v>1</v>
      </c>
      <c r="I67" t="n">
        <v>3</v>
      </c>
      <c r="J67" t="n">
        <v>5</v>
      </c>
      <c r="K67" t="b">
        <v>1</v>
      </c>
      <c r="L67" t="b">
        <v>0</v>
      </c>
      <c r="M67" t="b">
        <v>0</v>
      </c>
      <c r="N67" t="inlineStr">
        <is>
          <t>Evidências que comprovem a estrutura, recursos e nível de acesso adequado para a auditoria interna, tais como: política, regimento interno, estatuto social, organogram, orçamento, atas de reunião etc.</t>
        </is>
      </c>
    </row>
    <row r="68" hidden="1">
      <c r="A68" t="inlineStr">
        <is>
          <t>13.4 São produzidos relatórios periódicos de auditoria interna? Se sim, anexar o último relatório anual de atividades da unidade de auditoria interna.</t>
        </is>
      </c>
      <c r="B68" t="n">
        <v>304</v>
      </c>
      <c r="C68" t="b">
        <v>0</v>
      </c>
      <c r="D68" t="b">
        <v>1</v>
      </c>
      <c r="E68" t="b">
        <v>1</v>
      </c>
      <c r="F68" t="b">
        <v>0</v>
      </c>
      <c r="G68" t="b">
        <v>1</v>
      </c>
      <c r="H68" t="b">
        <v>1</v>
      </c>
      <c r="I68" t="n">
        <v>4</v>
      </c>
      <c r="J68" t="n">
        <v>18</v>
      </c>
      <c r="K68" t="b">
        <v>1</v>
      </c>
      <c r="L68" t="b">
        <v>0</v>
      </c>
      <c r="M68" t="b">
        <v>0</v>
      </c>
      <c r="N68" t="inlineStr">
        <is>
          <t>Evidências do último relatório anual de auditoria interna produzido, ou ata de reunião que comprove sua análise e aprovação.</t>
        </is>
      </c>
    </row>
    <row r="69" hidden="1">
      <c r="A69"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B69" t="n">
        <v>304</v>
      </c>
      <c r="C69" t="b">
        <v>0</v>
      </c>
      <c r="D69" t="b">
        <v>1</v>
      </c>
      <c r="E69" t="b">
        <v>1</v>
      </c>
      <c r="F69" t="b">
        <v>1</v>
      </c>
      <c r="G69" t="b">
        <v>1</v>
      </c>
      <c r="H69" t="b">
        <v>1</v>
      </c>
      <c r="I69" t="n">
        <v>5</v>
      </c>
      <c r="J69" t="n">
        <v>18</v>
      </c>
      <c r="K69" t="b">
        <v>1</v>
      </c>
      <c r="L69" t="b">
        <v>0</v>
      </c>
      <c r="M69" t="b">
        <v>0</v>
      </c>
      <c r="N69" t="inlineStr">
        <is>
          <t>Evidências de tratamento das recomendações ou apontamentos emitidos pela função de auditoria interna, em que se constate, entre outros, o seu tempo médio de correção (print de sistemas, apresentações da área de auditoria interna, relatórios, atas de reuniões, plano de ação etc).</t>
        </is>
      </c>
    </row>
    <row r="70" hidden="1">
      <c r="A70" t="inlineStr">
        <is>
          <t>14.1 A pessoa jurídica possui políticas e procedimentos baseadas em risco para a realização de diligências, contratação e supervisão de terceiros, que:</t>
        </is>
      </c>
      <c r="B70" t="n">
        <v>307</v>
      </c>
      <c r="C70" t="b">
        <v>1</v>
      </c>
      <c r="D70" t="b">
        <v>0</v>
      </c>
      <c r="E70" t="b">
        <v>0</v>
      </c>
      <c r="F70" t="b">
        <v>0</v>
      </c>
      <c r="G70" t="b">
        <v>0</v>
      </c>
      <c r="H70" t="b">
        <v>1</v>
      </c>
      <c r="I70" t="n">
        <v>1</v>
      </c>
      <c r="J70" t="n">
        <v>0</v>
      </c>
      <c r="K70" t="b">
        <v>0</v>
      </c>
      <c r="L70" t="b">
        <v>0</v>
      </c>
      <c r="M70" t="b">
        <v>0</v>
      </c>
      <c r="N70" t="inlineStr"/>
    </row>
    <row r="71">
      <c r="A71"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B71" t="n">
        <v>307</v>
      </c>
      <c r="C71" t="b">
        <v>0</v>
      </c>
      <c r="D71" t="b">
        <v>0</v>
      </c>
      <c r="E71" t="b">
        <v>0</v>
      </c>
      <c r="F71" t="b">
        <v>0</v>
      </c>
      <c r="G71" t="b">
        <v>1</v>
      </c>
      <c r="H71" t="b">
        <v>1</v>
      </c>
      <c r="I71" t="n">
        <v>2</v>
      </c>
      <c r="J71" t="n">
        <v>20</v>
      </c>
      <c r="K71" t="b">
        <v>1</v>
      </c>
      <c r="L71" t="b">
        <v>1</v>
      </c>
      <c r="M71" t="b">
        <v>0</v>
      </c>
      <c r="N71" t="inlineStr">
        <is>
          <t>Evidências de normas para identificar histórico de envolvimento em atos de corrupção ou fraude contra a Administração Pública, tanto por parte de pessoa jurídica terceira quanto de seus sócios.</t>
        </is>
      </c>
    </row>
    <row r="72" hidden="1">
      <c r="A72" t="inlineStr">
        <is>
          <t>14.1.2 determinam a verificação da existência de registro do terceiro em “listas sujas” de trabalho escravo ou em condições análogas às de escravo? Se sim, anexar as políticas e/ou procedimentos, indicando o artigo, item e/ou página onde consta essa previsão.</t>
        </is>
      </c>
      <c r="B72" t="n">
        <v>307</v>
      </c>
      <c r="C72" t="b">
        <v>0</v>
      </c>
      <c r="D72" t="b">
        <v>0</v>
      </c>
      <c r="E72" t="b">
        <v>0</v>
      </c>
      <c r="F72" t="b">
        <v>0</v>
      </c>
      <c r="G72" t="b">
        <v>1</v>
      </c>
      <c r="H72" t="b">
        <v>1</v>
      </c>
      <c r="I72" t="n">
        <v>3</v>
      </c>
      <c r="J72" t="n">
        <v>5</v>
      </c>
      <c r="K72" t="b">
        <v>1</v>
      </c>
      <c r="L72" t="b">
        <v>0</v>
      </c>
      <c r="M72" t="b">
        <v>0</v>
      </c>
      <c r="N72" t="inlineStr">
        <is>
          <t>Evidências de normas para identificar histórico de registro em “listas sujas” de trabalho escravo ou em condições análogas às de escravo, tanto por parte de empresa terceira quanto de seus sócios.</t>
        </is>
      </c>
    </row>
    <row r="73" hidden="1">
      <c r="A73" t="inlineStr">
        <is>
          <t>14.1.3 determinam a verificação de possível envolvimento do terceiro em crimes ambientais ou em práticas nocivas ao meio ambiente?  Se sim, anexar as políticas e/ou procedimentos, indicando o artigo, item e/ou página onde consta essa previsão.</t>
        </is>
      </c>
      <c r="B73" t="n">
        <v>307</v>
      </c>
      <c r="C73" t="b">
        <v>0</v>
      </c>
      <c r="D73" t="b">
        <v>1</v>
      </c>
      <c r="E73" t="b">
        <v>1</v>
      </c>
      <c r="F73" t="b">
        <v>0</v>
      </c>
      <c r="G73" t="b">
        <v>1</v>
      </c>
      <c r="H73" t="b">
        <v>1</v>
      </c>
      <c r="I73" t="n">
        <v>4</v>
      </c>
      <c r="J73" t="n">
        <v>5</v>
      </c>
      <c r="K73" t="b">
        <v>1</v>
      </c>
      <c r="L73" t="b">
        <v>0</v>
      </c>
      <c r="M73" t="b">
        <v>0</v>
      </c>
      <c r="N73" t="inlineStr">
        <is>
          <t>Evidências de normas para identificar histórico de envolvimento em crimes ambientais ou práticas nocivas ao meio ambiente, tanto por parte de empresa terceira quanto de seus sócios.</t>
        </is>
      </c>
    </row>
    <row r="74" hidden="1">
      <c r="A74" t="inlineStr">
        <is>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is>
      </c>
      <c r="B74" t="n">
        <v>307</v>
      </c>
      <c r="C74" t="b">
        <v>0</v>
      </c>
      <c r="D74" t="b">
        <v>0</v>
      </c>
      <c r="E74" t="b">
        <v>0</v>
      </c>
      <c r="F74" t="b">
        <v>0</v>
      </c>
      <c r="G74" t="b">
        <v>1</v>
      </c>
      <c r="H74" t="b">
        <v>1</v>
      </c>
      <c r="I74" t="n">
        <v>5</v>
      </c>
      <c r="J74" t="n">
        <v>5</v>
      </c>
      <c r="K74" t="b">
        <v>1</v>
      </c>
      <c r="L74" t="b">
        <v>0</v>
      </c>
      <c r="M74" t="b">
        <v>0</v>
      </c>
      <c r="N74" t="inlineStr">
        <is>
          <t>Evidências de normas definindo medidas de mitigação a serem aplicadas no caso de contração de terceiros de alto risco.</t>
        </is>
      </c>
    </row>
    <row r="75" hidden="1">
      <c r="A75" t="inlineStr">
        <is>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is>
      </c>
      <c r="B75" t="n">
        <v>307</v>
      </c>
      <c r="C75" t="b">
        <v>0</v>
      </c>
      <c r="D75" t="b">
        <v>0</v>
      </c>
      <c r="E75" t="b">
        <v>0</v>
      </c>
      <c r="F75" t="b">
        <v>0</v>
      </c>
      <c r="G75" t="b">
        <v>1</v>
      </c>
      <c r="H75" t="b">
        <v>1</v>
      </c>
      <c r="I75" t="n">
        <v>6</v>
      </c>
      <c r="J75" t="n">
        <v>18</v>
      </c>
      <c r="K75" t="b">
        <v>1</v>
      </c>
      <c r="L75" t="b">
        <v>0</v>
      </c>
      <c r="M75" t="b">
        <v>0</v>
      </c>
      <c r="N75" t="inlineStr">
        <is>
          <t>Exemplos de resultados de diligências na qual a pessoa jurídica demonstre que aplicou seus procedimentos de avaliação de parceiros de negócios, e o fluxo de deliberação sobre a contratação.</t>
        </is>
      </c>
    </row>
    <row r="76" hidden="1">
      <c r="A76" t="inlineStr">
        <is>
          <t>15.1 As políticas e procedimentos sobre contratação de terceiros estabeleçam a inclusão de cláusulas, nos contratos relevantes celebrados com terceiros, que:</t>
        </is>
      </c>
      <c r="B76" t="n">
        <v>306</v>
      </c>
      <c r="C76" t="b">
        <v>1</v>
      </c>
      <c r="D76" t="b">
        <v>0</v>
      </c>
      <c r="E76" t="b">
        <v>0</v>
      </c>
      <c r="F76" t="b">
        <v>0</v>
      </c>
      <c r="G76" t="b">
        <v>0</v>
      </c>
      <c r="H76" t="b">
        <v>1</v>
      </c>
      <c r="I76" t="n">
        <v>1</v>
      </c>
      <c r="J76" t="n">
        <v>0</v>
      </c>
      <c r="K76" t="b">
        <v>0</v>
      </c>
      <c r="L76" t="b">
        <v>0</v>
      </c>
      <c r="M76" t="b">
        <v>0</v>
      </c>
      <c r="N76" t="inlineStr"/>
    </row>
    <row r="77" hidden="1">
      <c r="A77" t="inlineStr">
        <is>
          <t>15.1.1 estabelecem a vedação de práticas de fraude e corrupção e exigem a observância do cumprimento de normas éticas, trabalhistas e sociais? Se sim, anexar as políticas e/ou procedimentos, indicando o artigo, item e/ou página onde consta essa previsão.</t>
        </is>
      </c>
      <c r="B77" t="n">
        <v>306</v>
      </c>
      <c r="C77" t="b">
        <v>0</v>
      </c>
      <c r="D77" t="b">
        <v>0</v>
      </c>
      <c r="E77" t="b">
        <v>0</v>
      </c>
      <c r="F77" t="b">
        <v>0</v>
      </c>
      <c r="G77" t="b">
        <v>1</v>
      </c>
      <c r="H77" t="b">
        <v>1</v>
      </c>
      <c r="I77" t="n">
        <v>2</v>
      </c>
      <c r="J77" t="n">
        <v>5</v>
      </c>
      <c r="K77" t="b">
        <v>1</v>
      </c>
      <c r="L77" t="b">
        <v>0</v>
      </c>
      <c r="M77" t="b">
        <v>0</v>
      </c>
      <c r="N77" t="inlineStr">
        <is>
          <t>Evidências de normas que exijam a utilização de cláusula anticorrupção e de cumprimento de normas éticas, trabalhistas e sociais nos contratos celebrados com terceiros.</t>
        </is>
      </c>
    </row>
    <row r="78" hidden="1">
      <c r="A78" t="inlineStr">
        <is>
          <t>15.1.2 preveem a aplicação de penalidades e/ou de rescisão contratual em caso de descumprimento de normas éticas e prática de fraude e corrupção? Se sim, anexar as políticas e/ou procedimentos, indicando o artigo, item e/ou página onde consta essa previsão.</t>
        </is>
      </c>
      <c r="B78" t="n">
        <v>306</v>
      </c>
      <c r="C78" t="b">
        <v>0</v>
      </c>
      <c r="D78" t="b">
        <v>0</v>
      </c>
      <c r="E78" t="b">
        <v>0</v>
      </c>
      <c r="F78" t="b">
        <v>0</v>
      </c>
      <c r="G78" t="b">
        <v>1</v>
      </c>
      <c r="H78" t="b">
        <v>1</v>
      </c>
      <c r="I78" t="n">
        <v>3</v>
      </c>
      <c r="J78" t="n">
        <v>5</v>
      </c>
      <c r="K78" t="b">
        <v>1</v>
      </c>
      <c r="L78" t="b">
        <v>0</v>
      </c>
      <c r="M78" t="b">
        <v>0</v>
      </c>
      <c r="N78" t="inlineStr">
        <is>
          <t>Evidências de normas que prevejam as penalidades ou rescisão do contrato por práticas de corrupção e descumprimento de normas normas éticas, trabalhistas e sociais, segundo a legislação vigente.</t>
        </is>
      </c>
    </row>
    <row r="79" hidden="1">
      <c r="A79"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B79" t="n">
        <v>306</v>
      </c>
      <c r="C79" t="b">
        <v>0</v>
      </c>
      <c r="D79" t="b">
        <v>0</v>
      </c>
      <c r="E79" t="b">
        <v>0</v>
      </c>
      <c r="F79" t="b">
        <v>1</v>
      </c>
      <c r="G79" t="b">
        <v>1</v>
      </c>
      <c r="H79" t="b">
        <v>1</v>
      </c>
      <c r="I79" t="n">
        <v>4</v>
      </c>
      <c r="J79" t="n">
        <v>18</v>
      </c>
      <c r="K79" t="b">
        <v>1</v>
      </c>
      <c r="L79" t="b">
        <v>0</v>
      </c>
      <c r="M79" t="b">
        <v>0</v>
      </c>
      <c r="N79" t="inlineStr">
        <is>
          <t>Exemplos de contratos ou de trechos de contratos reais, que contemplem as medidas estabelecidas nas políticas e procedimentos anteriormente descritos, e que permitam identificar a pessoa jurídica como parte.</t>
        </is>
      </c>
    </row>
    <row r="80" hidden="1">
      <c r="A80"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B80" t="n">
        <v>308</v>
      </c>
      <c r="C80" t="b">
        <v>0</v>
      </c>
      <c r="D80" t="b">
        <v>1</v>
      </c>
      <c r="E80" t="b">
        <v>1</v>
      </c>
      <c r="F80" t="b">
        <v>1</v>
      </c>
      <c r="G80" t="b">
        <v>1</v>
      </c>
      <c r="H80" t="b">
        <v>1</v>
      </c>
      <c r="I80" t="n">
        <v>1</v>
      </c>
      <c r="J80" t="n">
        <v>15</v>
      </c>
      <c r="K80" t="b">
        <v>1</v>
      </c>
      <c r="L80" t="b">
        <v>0</v>
      </c>
      <c r="M80" t="b">
        <v>0</v>
      </c>
      <c r="N80" t="inlineStr">
        <is>
          <t>Evidências de normas que prevejam a verificação do histórico de envolvimento das empresas envolvidas nas operações societárias corrupção, fraude ou violação de direitos humanos ou trabalhistas.</t>
        </is>
      </c>
    </row>
    <row r="81" hidden="1">
      <c r="A81" t="inlineStr">
        <is>
          <t>16.2 A pessoa jurídica realizou diligências prévias a fusões, aquisições e outras operações societárias nos últimos 24 meses? Se sim, anexar documentos que comprovem a aplicação das políticas/procedimentos.</t>
        </is>
      </c>
      <c r="B81" t="n">
        <v>308</v>
      </c>
      <c r="C81" t="b">
        <v>0</v>
      </c>
      <c r="D81" t="b">
        <v>1</v>
      </c>
      <c r="E81" t="b">
        <v>1</v>
      </c>
      <c r="F81" t="b">
        <v>1</v>
      </c>
      <c r="G81" t="b">
        <v>1</v>
      </c>
      <c r="H81" t="b">
        <v>1</v>
      </c>
      <c r="I81" t="n">
        <v>2</v>
      </c>
      <c r="J81" t="n">
        <v>18</v>
      </c>
      <c r="K81" s="66" t="b">
        <v>0</v>
      </c>
      <c r="L81" t="b">
        <v>0</v>
      </c>
      <c r="M81" t="b">
        <v>0</v>
      </c>
      <c r="N81" t="inlineStr">
        <is>
          <t>Exemplos de relatórios, pareceres, comunicações internas, auditorias específicas etc, que comprovem as diligências para verificar o histórico de prática de atos de corrupção, fraude ou violação de direitos humanos ou trabalhistas nas empresas envolvidas.</t>
        </is>
      </c>
    </row>
    <row r="82">
      <c r="A82"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B82" t="n">
        <v>310</v>
      </c>
      <c r="C82" t="b">
        <v>0</v>
      </c>
      <c r="D82" t="b">
        <v>0</v>
      </c>
      <c r="E82" t="b">
        <v>0</v>
      </c>
      <c r="F82" t="b">
        <v>0</v>
      </c>
      <c r="G82" t="b">
        <v>1</v>
      </c>
      <c r="H82" t="b">
        <v>1</v>
      </c>
      <c r="I82" t="n">
        <v>1</v>
      </c>
      <c r="J82" t="n">
        <v>20</v>
      </c>
      <c r="K82" t="b">
        <v>1</v>
      </c>
      <c r="L82" t="b">
        <v>1</v>
      </c>
      <c r="M82" s="61" t="b">
        <v>0</v>
      </c>
      <c r="N82" t="inlineStr">
        <is>
          <t>Evidências da existência de canais de denúncias, com link direto para a área do site e o caminho de navegação a partir da página inicial ou telefone, em português.</t>
        </is>
      </c>
    </row>
    <row r="83" hidden="1">
      <c r="A83" t="inlineStr">
        <is>
          <t>17.2 O canal de denúncias da pessoa jurídica:</t>
        </is>
      </c>
      <c r="B83" t="n">
        <v>310</v>
      </c>
      <c r="C83" t="b">
        <v>1</v>
      </c>
      <c r="D83" t="b">
        <v>0</v>
      </c>
      <c r="E83" t="b">
        <v>0</v>
      </c>
      <c r="F83" t="b">
        <v>0</v>
      </c>
      <c r="G83" t="b">
        <v>0</v>
      </c>
      <c r="H83" t="b">
        <v>1</v>
      </c>
      <c r="I83" t="n">
        <v>2</v>
      </c>
      <c r="J83" t="n">
        <v>0</v>
      </c>
      <c r="K83" t="b">
        <v>0</v>
      </c>
      <c r="L83" t="b">
        <v>0</v>
      </c>
      <c r="M83" t="b">
        <v>0</v>
      </c>
      <c r="N83" t="inlineStr"/>
    </row>
    <row r="84" hidden="1">
      <c r="A84" t="inlineStr">
        <is>
          <t>17.2.1 é operacionalizado por meio de formulário eletrônico a partir da página institucional da pessoa jurídica na internet? Se sim, informar o link e descrever o caminho, desde a página inicial da empresa, para acesso ao canal.</t>
        </is>
      </c>
      <c r="B84" t="n">
        <v>310</v>
      </c>
      <c r="C84" t="b">
        <v>0</v>
      </c>
      <c r="D84" t="b">
        <v>0</v>
      </c>
      <c r="E84" t="b">
        <v>0</v>
      </c>
      <c r="F84" t="b">
        <v>0</v>
      </c>
      <c r="G84" t="b">
        <v>1</v>
      </c>
      <c r="H84" t="b">
        <v>1</v>
      </c>
      <c r="I84" t="n">
        <v>3</v>
      </c>
      <c r="J84" t="n">
        <v>5</v>
      </c>
      <c r="K84" t="b">
        <v>1</v>
      </c>
      <c r="L84" t="b">
        <v>0</v>
      </c>
      <c r="M84" s="61" t="b">
        <v>0</v>
      </c>
      <c r="N84" t="inlineStr">
        <is>
          <t>Evidências da existência de canais de denúncias, operacionalizado por meio de formulário eletrônico, com link direto para a área do site e o caminho de navegação a partir da página inicial.</t>
        </is>
      </c>
    </row>
    <row r="85" hidden="1">
      <c r="A85" t="inlineStr">
        <is>
          <t>17.2.2 oferece expressamente garantias de proteção aos denunciantes de boa-fé, como anonimato e não retaliação? Se sim, anexar documentos que comprovem essa informação.</t>
        </is>
      </c>
      <c r="B85" t="n">
        <v>310</v>
      </c>
      <c r="C85" t="b">
        <v>0</v>
      </c>
      <c r="D85" t="b">
        <v>0</v>
      </c>
      <c r="E85" t="b">
        <v>0</v>
      </c>
      <c r="F85" t="b">
        <v>0</v>
      </c>
      <c r="G85" t="b">
        <v>1</v>
      </c>
      <c r="H85" t="b">
        <v>1</v>
      </c>
      <c r="I85" t="n">
        <v>4</v>
      </c>
      <c r="J85" t="n">
        <v>5</v>
      </c>
      <c r="K85" t="b">
        <v>1</v>
      </c>
      <c r="L85" t="b">
        <v>0</v>
      </c>
      <c r="M85" t="b">
        <v>0</v>
      </c>
      <c r="N85" t="inlineStr">
        <is>
          <t>Indicações expressas, no próprio Canal, sobre as garantias de proteção oferecidas aos denunciantes de boa-fé.</t>
        </is>
      </c>
    </row>
    <row r="86" hidden="1">
      <c r="A86" t="inlineStr">
        <is>
          <t>17.2.3 permite o acompanhamento da apuração da denúncia pelo denunciante? Se sim, anexar documentos que comprovem essa informação.</t>
        </is>
      </c>
      <c r="B86" t="n">
        <v>310</v>
      </c>
      <c r="C86" t="b">
        <v>0</v>
      </c>
      <c r="D86" t="b">
        <v>0</v>
      </c>
      <c r="E86" t="b">
        <v>0</v>
      </c>
      <c r="F86" t="b">
        <v>0</v>
      </c>
      <c r="G86" t="b">
        <v>1</v>
      </c>
      <c r="H86" t="b">
        <v>1</v>
      </c>
      <c r="I86" t="n">
        <v>5</v>
      </c>
      <c r="J86" t="n">
        <v>5</v>
      </c>
      <c r="K86" t="b">
        <v>1</v>
      </c>
      <c r="L86" t="b">
        <v>0</v>
      </c>
      <c r="M86" t="b">
        <v>0</v>
      </c>
      <c r="N86" t="inlineStr">
        <is>
          <t>Evidências da possibilidade de acompanhamento da apuração da denúncia pelo denunciante, inclusive com a disponibilização, no próprio canal, de campo específico para esse fim, tais como protocolo etc.</t>
        </is>
      </c>
    </row>
    <row r="87" hidden="1">
      <c r="A87" t="inlineStr">
        <is>
          <t>17.3 O canal de denúncias funcionou quando testado pelo avaliador?</t>
        </is>
      </c>
      <c r="B87" t="n">
        <v>310</v>
      </c>
      <c r="C87" t="b">
        <v>0</v>
      </c>
      <c r="D87" t="b">
        <v>0</v>
      </c>
      <c r="E87" t="b">
        <v>0</v>
      </c>
      <c r="F87" t="b">
        <v>0</v>
      </c>
      <c r="G87" t="b">
        <v>1</v>
      </c>
      <c r="H87" t="b">
        <v>0</v>
      </c>
      <c r="I87" t="n">
        <v>6</v>
      </c>
      <c r="J87" t="n">
        <v>25</v>
      </c>
      <c r="K87" t="b">
        <v>0</v>
      </c>
      <c r="L87" t="b">
        <v>0</v>
      </c>
      <c r="M87" t="b">
        <v>0</v>
      </c>
      <c r="N87" t="inlineStr"/>
    </row>
    <row r="88" hidden="1">
      <c r="A88"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B88" t="n">
        <v>311</v>
      </c>
      <c r="C88" t="b">
        <v>0</v>
      </c>
      <c r="D88" t="b">
        <v>0</v>
      </c>
      <c r="E88" t="b">
        <v>0</v>
      </c>
      <c r="F88" t="b">
        <v>1</v>
      </c>
      <c r="G88" t="b">
        <v>1</v>
      </c>
      <c r="H88" t="b">
        <v>1</v>
      </c>
      <c r="I88" t="n">
        <v>1</v>
      </c>
      <c r="J88" t="n">
        <v>15</v>
      </c>
      <c r="K88" t="b">
        <v>1</v>
      </c>
      <c r="L88" t="b">
        <v>0</v>
      </c>
      <c r="M88" t="b">
        <v>0</v>
      </c>
      <c r="N88" t="inlineStr">
        <is>
          <t>Evidências de normas que estabeleçam o fluxo de tratamento e apuração das denúncias, bem como ações de remediação para casos de fraudes, corrupção ou violação de direitos humanos e trabalhistas.</t>
        </is>
      </c>
    </row>
    <row r="89" hidden="1">
      <c r="A89" t="inlineStr">
        <is>
          <t>18.2 As políticas e procedimentos definem:</t>
        </is>
      </c>
      <c r="B89" t="n">
        <v>311</v>
      </c>
      <c r="C89" t="b">
        <v>1</v>
      </c>
      <c r="D89" t="b">
        <v>0</v>
      </c>
      <c r="E89" t="b">
        <v>0</v>
      </c>
      <c r="F89" t="b">
        <v>0</v>
      </c>
      <c r="G89" t="b">
        <v>0</v>
      </c>
      <c r="H89" t="b">
        <v>1</v>
      </c>
      <c r="I89" t="n">
        <v>2</v>
      </c>
      <c r="J89" t="n">
        <v>0</v>
      </c>
      <c r="K89" t="b">
        <v>0</v>
      </c>
      <c r="L89" t="b">
        <v>0</v>
      </c>
      <c r="M89" t="b">
        <v>0</v>
      </c>
      <c r="N89" t="inlineStr"/>
    </row>
    <row r="90" hidden="1">
      <c r="A90" t="inlineStr">
        <is>
          <t>18.2.1 salvaguardas e prerrogativas de acesso a documentos, sistemas e pessoas por parte dos responsáveis pela apuração? Se sim, anexar a política ou procedimentos e indicar o(s) dispositivo(s) do documento que atenda(m) ao requisito.</t>
        </is>
      </c>
      <c r="B90" t="n">
        <v>311</v>
      </c>
      <c r="C90" t="b">
        <v>0</v>
      </c>
      <c r="D90" t="b">
        <v>0</v>
      </c>
      <c r="E90" t="b">
        <v>0</v>
      </c>
      <c r="F90" t="b">
        <v>1</v>
      </c>
      <c r="G90" t="b">
        <v>1</v>
      </c>
      <c r="H90" t="b">
        <v>1</v>
      </c>
      <c r="I90" t="n">
        <v>3</v>
      </c>
      <c r="J90" t="n">
        <v>5</v>
      </c>
      <c r="K90" t="b">
        <v>1</v>
      </c>
      <c r="L90" t="b">
        <v>0</v>
      </c>
      <c r="M90" t="b">
        <v>0</v>
      </c>
      <c r="N90" t="inlineStr">
        <is>
          <t>Evidências de normas que assegurem fluxo específico de apuração das denúncias no caso de envolvimento de membros da alta administração.</t>
        </is>
      </c>
    </row>
    <row r="91" hidden="1">
      <c r="A91" t="inlineStr">
        <is>
          <t>18.2.2 fluxo específico para apuração de denúncias envolvendo membros da alta direção? Se sim, anexar a política ou procedimentos e indicar o(s) dispositivo(s) do documento que atenda(m) ao requisito.</t>
        </is>
      </c>
      <c r="B91" t="n">
        <v>311</v>
      </c>
      <c r="C91" t="b">
        <v>0</v>
      </c>
      <c r="D91" t="b">
        <v>0</v>
      </c>
      <c r="E91" t="b">
        <v>0</v>
      </c>
      <c r="F91" t="b">
        <v>0</v>
      </c>
      <c r="G91" t="b">
        <v>1</v>
      </c>
      <c r="H91" t="b">
        <v>1</v>
      </c>
      <c r="I91" t="n">
        <v>4</v>
      </c>
      <c r="J91" t="n">
        <v>5</v>
      </c>
      <c r="K91" t="b">
        <v>1</v>
      </c>
      <c r="L91" t="b">
        <v>0</v>
      </c>
      <c r="M91" t="b">
        <v>0</v>
      </c>
      <c r="N91" t="inlineStr">
        <is>
          <t>Evidências de normas que assegurem fluxo específico de apuração das denúncias no caso de envolvimento de membros da alta administração.</t>
        </is>
      </c>
    </row>
    <row r="92" hidden="1">
      <c r="A92" t="inlineStr">
        <is>
          <t>18.3 A pessoa jurídica realizou o tratamento das denúncias recebidas nos últimos 24 meses? Se sim, anexar documentos que demonstrem o tratamento do universo de denúncias recebidas no período.</t>
        </is>
      </c>
      <c r="B92" t="n">
        <v>311</v>
      </c>
      <c r="C92" t="b">
        <v>0</v>
      </c>
      <c r="D92" t="b">
        <v>1</v>
      </c>
      <c r="E92" t="b">
        <v>1</v>
      </c>
      <c r="F92" t="b">
        <v>0</v>
      </c>
      <c r="G92" t="b">
        <v>1</v>
      </c>
      <c r="H92" t="b">
        <v>1</v>
      </c>
      <c r="I92" t="n">
        <v>5</v>
      </c>
      <c r="J92" t="n">
        <v>18</v>
      </c>
      <c r="K92" t="b">
        <v>1</v>
      </c>
      <c r="L92" t="b">
        <v>0</v>
      </c>
      <c r="M92" t="b">
        <v>0</v>
      </c>
      <c r="N92" t="inlineStr">
        <is>
          <t>Evidências de dados e estatísticas sobre denúncias registradas e exemplos de documentos reais de apurações e seus desdobramentos (relatórios, atas de reuniões, dashboards etc)</t>
        </is>
      </c>
    </row>
    <row r="93" hidden="1">
      <c r="A93" t="inlineStr">
        <is>
          <t>19.1 As políticas e procedimentos relacionadas ao tratamento, apuração e remediação de casos de fraudes, corrupção ou violação de direitos humanos e trabalhistas definem:</t>
        </is>
      </c>
      <c r="B93" t="n">
        <v>309</v>
      </c>
      <c r="C93" t="b">
        <v>1</v>
      </c>
      <c r="D93" t="b">
        <v>0</v>
      </c>
      <c r="E93" t="b">
        <v>0</v>
      </c>
      <c r="F93" t="b">
        <v>0</v>
      </c>
      <c r="G93" t="b">
        <v>0</v>
      </c>
      <c r="H93" t="b">
        <v>1</v>
      </c>
      <c r="I93" t="n">
        <v>1</v>
      </c>
      <c r="J93" t="n">
        <v>0</v>
      </c>
      <c r="K93" t="b">
        <v>0</v>
      </c>
      <c r="L93" t="b">
        <v>0</v>
      </c>
      <c r="M93" t="b">
        <v>0</v>
      </c>
      <c r="N93" t="inlineStr"/>
    </row>
    <row r="94" hidden="1">
      <c r="A94" t="inlineStr">
        <is>
          <t>19.1.1 as medidas disciplinares aplicáveis aos casos de infrações relacionadas a fraudes, corrupção ou violação de direitos humanos e trabalhistas? Se sim, anexar a política ou procedimentos e indicar o(s) dispositivo(s) do documento que atenda(m) ao requisito.</t>
        </is>
      </c>
      <c r="B94" t="n">
        <v>309</v>
      </c>
      <c r="C94" t="b">
        <v>0</v>
      </c>
      <c r="D94" t="b">
        <v>0</v>
      </c>
      <c r="E94" t="b">
        <v>0</v>
      </c>
      <c r="F94" t="b">
        <v>0</v>
      </c>
      <c r="G94" t="b">
        <v>1</v>
      </c>
      <c r="H94" t="b">
        <v>1</v>
      </c>
      <c r="I94" t="n">
        <v>2</v>
      </c>
      <c r="J94" t="n">
        <v>5</v>
      </c>
      <c r="K94" t="b">
        <v>1</v>
      </c>
      <c r="L94" t="b">
        <v>0</v>
      </c>
      <c r="M94" t="b">
        <v>0</v>
      </c>
      <c r="N94" t="inlineStr">
        <is>
          <t>Evidências de normas que indiquem as medidas disciplinares aplicáveis.</t>
        </is>
      </c>
    </row>
    <row r="95" hidden="1">
      <c r="A95" t="inlineStr">
        <is>
          <t>19.1.2 a correlação entre as medidas disciplinares e os tipos de infração cometidas e as alçadas para sua aplicação? Se sim, anexar a política ou procedimentos e indicar o(s) dispositivo(s) do documento que atenda(m) ao requisito.</t>
        </is>
      </c>
      <c r="B95" t="n">
        <v>309</v>
      </c>
      <c r="C95" t="b">
        <v>0</v>
      </c>
      <c r="D95" t="b">
        <v>0</v>
      </c>
      <c r="E95" t="b">
        <v>0</v>
      </c>
      <c r="F95" t="b">
        <v>0</v>
      </c>
      <c r="G95" t="b">
        <v>1</v>
      </c>
      <c r="H95" t="b">
        <v>1</v>
      </c>
      <c r="I95" t="n">
        <v>3</v>
      </c>
      <c r="J95" t="n">
        <v>5</v>
      </c>
      <c r="K95" t="b">
        <v>1</v>
      </c>
      <c r="L95" t="b">
        <v>0</v>
      </c>
      <c r="M95" t="b">
        <v>0</v>
      </c>
      <c r="N95" t="inlineStr">
        <is>
          <t>Evidências de normas que correlacionem as infrações das normas da pessoa jurídica às medidas disciplinares previstas.</t>
        </is>
      </c>
    </row>
    <row r="96" hidden="1">
      <c r="A96" t="inlineStr">
        <is>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is>
      </c>
      <c r="B96" t="n">
        <v>309</v>
      </c>
      <c r="C96" t="b">
        <v>0</v>
      </c>
      <c r="D96" t="b">
        <v>0</v>
      </c>
      <c r="E96" t="b">
        <v>0</v>
      </c>
      <c r="F96" t="b">
        <v>0</v>
      </c>
      <c r="G96" t="b">
        <v>1</v>
      </c>
      <c r="H96" t="b">
        <v>1</v>
      </c>
      <c r="I96" t="n">
        <v>4</v>
      </c>
      <c r="J96" t="n">
        <v>5</v>
      </c>
      <c r="K96" t="b">
        <v>1</v>
      </c>
      <c r="L96" t="b">
        <v>0</v>
      </c>
      <c r="M96" t="b">
        <v>0</v>
      </c>
      <c r="N96" t="inlineStr">
        <is>
          <t>Evidências de normas que visem garantir a aplicação de medidas cautelares para pronta interrupção de irregularidades, incluindo o afastamento de membros da alta administração suspeitos de envolvimento em atos de corrupção ou fraude.</t>
        </is>
      </c>
    </row>
    <row r="97" hidden="1">
      <c r="A97" t="inlineStr">
        <is>
          <t>19.1.4 os procedimentos aplicáveis para encaminhamento de denúncias às autoridades competentes? Se sim, anexar a política ou procedimentos e indicar o(s) dispositivo(s) do documento que atenda(m) ao requisito.</t>
        </is>
      </c>
      <c r="B97" t="n">
        <v>309</v>
      </c>
      <c r="C97" t="b">
        <v>0</v>
      </c>
      <c r="D97" t="b">
        <v>0</v>
      </c>
      <c r="E97" t="b">
        <v>0</v>
      </c>
      <c r="F97" t="b">
        <v>0</v>
      </c>
      <c r="G97" t="b">
        <v>1</v>
      </c>
      <c r="H97" t="b">
        <v>1</v>
      </c>
      <c r="I97" t="n">
        <v>5</v>
      </c>
      <c r="J97" t="n">
        <v>5</v>
      </c>
      <c r="K97" t="b">
        <v>1</v>
      </c>
      <c r="L97" t="b">
        <v>0</v>
      </c>
      <c r="M97" t="b">
        <v>0</v>
      </c>
      <c r="N97" t="inlineStr">
        <is>
          <t>Evidências de normas que orientem a decisão sobre quando e como deve ser feito o encaminhamento às autoridades competentes de denúncias de irregularidades envolvendo funcionários, dirigentes, intermediários, fornecedores e prestadores de serviço.</t>
        </is>
      </c>
    </row>
    <row r="98" hidden="1">
      <c r="A98"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B98" t="n">
        <v>309</v>
      </c>
      <c r="C98" t="b">
        <v>0</v>
      </c>
      <c r="D98" t="b">
        <v>1</v>
      </c>
      <c r="E98" t="b">
        <v>1</v>
      </c>
      <c r="F98" t="b">
        <v>0</v>
      </c>
      <c r="G98" t="b">
        <v>1</v>
      </c>
      <c r="H98" t="b">
        <v>1</v>
      </c>
      <c r="I98" t="n">
        <v>6</v>
      </c>
      <c r="J98" t="n">
        <v>18</v>
      </c>
      <c r="K98" t="b">
        <v>1</v>
      </c>
      <c r="L98" t="b">
        <v>0</v>
      </c>
      <c r="M98" t="b">
        <v>0</v>
      </c>
      <c r="N98" t="inlineStr">
        <is>
          <t>Exemplos de processos reais de apuração de denúncia e/ou de remediação de infração às normas da pessoa jurídica, preservando as informações sensíveis, mas de forma que permita a avaliação quanto aos procedimentos adotados, ou dashboards, relatórios, atas de reunião, relacionados a medidas disciplinares.</t>
        </is>
      </c>
    </row>
    <row r="99">
      <c r="A99" t="inlineStr">
        <is>
          <t>20.1 A pessoa jurídica possui política ou procedimentos que estabelecem o monitoramento contínuo do programa de integridade? Se sim, anexar a política ou procedimentos e indicar o(s) dispositivo(s) do documento que atenda(m) ao requisito.</t>
        </is>
      </c>
      <c r="B99" t="n">
        <v>319</v>
      </c>
      <c r="C99" t="b">
        <v>0</v>
      </c>
      <c r="D99" t="b">
        <v>0</v>
      </c>
      <c r="E99" t="b">
        <v>0</v>
      </c>
      <c r="F99" t="b">
        <v>0</v>
      </c>
      <c r="G99" t="b">
        <v>1</v>
      </c>
      <c r="H99" t="b">
        <v>1</v>
      </c>
      <c r="I99" t="n">
        <v>1</v>
      </c>
      <c r="J99" t="n">
        <v>20</v>
      </c>
      <c r="K99" t="b">
        <v>1</v>
      </c>
      <c r="L99" t="b">
        <v>1</v>
      </c>
      <c r="M99" t="b">
        <v>0</v>
      </c>
      <c r="N99" t="inlineStr">
        <is>
          <t>Evidências de normas internas que estabeleçam regras para o monitoramento do programa de integridade.</t>
        </is>
      </c>
    </row>
    <row r="100" hidden="1">
      <c r="A100" t="inlineStr">
        <is>
          <t>20.2 A política ou procedimentos que estabelecem o monitoramento contínuo do programa de integridade definem:</t>
        </is>
      </c>
      <c r="B100" t="n">
        <v>319</v>
      </c>
      <c r="C100" t="b">
        <v>1</v>
      </c>
      <c r="D100" t="b">
        <v>0</v>
      </c>
      <c r="E100" t="b">
        <v>0</v>
      </c>
      <c r="F100" t="b">
        <v>0</v>
      </c>
      <c r="G100" t="b">
        <v>0</v>
      </c>
      <c r="H100" t="b">
        <v>1</v>
      </c>
      <c r="I100" t="n">
        <v>2</v>
      </c>
      <c r="J100" t="n">
        <v>0</v>
      </c>
      <c r="K100" t="b">
        <v>0</v>
      </c>
      <c r="L100" t="b">
        <v>0</v>
      </c>
      <c r="M100" t="b">
        <v>0</v>
      </c>
      <c r="N100" t="inlineStr"/>
    </row>
    <row r="101" hidden="1">
      <c r="A101" t="inlineStr">
        <is>
          <t>20.2.1 os responsáveis pelo monitoramento? Se sim, anexar a política ou procedimentos e indicar o(s) dispositivo(s) do documento que atenda(m) ao requisito.</t>
        </is>
      </c>
      <c r="B101" t="n">
        <v>319</v>
      </c>
      <c r="C101" t="b">
        <v>0</v>
      </c>
      <c r="D101" t="b">
        <v>0</v>
      </c>
      <c r="E101" t="b">
        <v>0</v>
      </c>
      <c r="F101" t="b">
        <v>0</v>
      </c>
      <c r="G101" t="b">
        <v>1</v>
      </c>
      <c r="H101" t="b">
        <v>1</v>
      </c>
      <c r="I101" t="n">
        <v>3</v>
      </c>
      <c r="J101" t="n">
        <v>5</v>
      </c>
      <c r="K101" t="b">
        <v>1</v>
      </c>
      <c r="L101" t="b">
        <v>0</v>
      </c>
      <c r="M101" t="b">
        <v>0</v>
      </c>
      <c r="N101" t="inlineStr">
        <is>
          <t>Evidências de normas internas que definam os responsáveis pelo monitoramento do programa de integridade.</t>
        </is>
      </c>
    </row>
    <row r="102" hidden="1">
      <c r="A102" t="inlineStr">
        <is>
          <t>20.2.2 a periodicidade para realização do monitoramento? Se sim, anexar a política ou procedimentos e indicar o(s) dispositivo(s) do documento que atenda(m) ao requisito.</t>
        </is>
      </c>
      <c r="B102" t="n">
        <v>319</v>
      </c>
      <c r="C102" t="b">
        <v>0</v>
      </c>
      <c r="D102" t="b">
        <v>0</v>
      </c>
      <c r="E102" t="b">
        <v>0</v>
      </c>
      <c r="F102" t="b">
        <v>0</v>
      </c>
      <c r="G102" t="b">
        <v>1</v>
      </c>
      <c r="H102" t="b">
        <v>1</v>
      </c>
      <c r="I102" t="n">
        <v>4</v>
      </c>
      <c r="J102" t="n">
        <v>5</v>
      </c>
      <c r="K102" s="66" t="b">
        <v>0</v>
      </c>
      <c r="L102" t="b">
        <v>0</v>
      </c>
      <c r="M102" t="b">
        <v>0</v>
      </c>
      <c r="N102" t="inlineStr">
        <is>
          <t>Evidências de normas internas que definam a periodicidade de monitoramento do programa de integridade.</t>
        </is>
      </c>
    </row>
    <row r="103" hidden="1">
      <c r="A103" t="inlineStr">
        <is>
          <t>20.2.3 as instâncias para as quais serão submetidos os dados e as informações apurados no monitoramento? Se sim, anexar a política ou procedimentos e indicar o(s) dispositivo(s) do documento que atenda(m) ao requisito.</t>
        </is>
      </c>
      <c r="B103" t="n">
        <v>319</v>
      </c>
      <c r="C103" t="b">
        <v>0</v>
      </c>
      <c r="D103" t="b">
        <v>0</v>
      </c>
      <c r="E103" t="b">
        <v>0</v>
      </c>
      <c r="F103" t="b">
        <v>0</v>
      </c>
      <c r="G103" t="b">
        <v>1</v>
      </c>
      <c r="H103" t="b">
        <v>1</v>
      </c>
      <c r="I103" t="n">
        <v>5</v>
      </c>
      <c r="J103" t="n">
        <v>5</v>
      </c>
      <c r="K103" t="b">
        <v>1</v>
      </c>
      <c r="L103" t="b">
        <v>0</v>
      </c>
      <c r="M103" t="b">
        <v>0</v>
      </c>
      <c r="N103" t="inlineStr">
        <is>
          <t>Evidências de normas internas que definam as instâncias para as quais os dados e as informações de monitoramento serão submetidos.</t>
        </is>
      </c>
    </row>
    <row r="104" hidden="1">
      <c r="A104" t="inlineStr">
        <is>
          <t>20.3 A pessoa jurídica realiza um monitoramento contínuo do programa de integridade por meio de:</t>
        </is>
      </c>
      <c r="B104" t="n">
        <v>319</v>
      </c>
      <c r="C104" t="b">
        <v>1</v>
      </c>
      <c r="D104" t="b">
        <v>0</v>
      </c>
      <c r="E104" t="b">
        <v>0</v>
      </c>
      <c r="F104" t="b">
        <v>0</v>
      </c>
      <c r="G104" t="b">
        <v>0</v>
      </c>
      <c r="H104" t="b">
        <v>1</v>
      </c>
      <c r="I104" t="n">
        <v>6</v>
      </c>
      <c r="J104" t="n">
        <v>0</v>
      </c>
      <c r="K104" t="b">
        <v>0</v>
      </c>
      <c r="L104" t="b">
        <v>0</v>
      </c>
      <c r="M104" t="b">
        <v>0</v>
      </c>
      <c r="N104" t="inlineStr"/>
    </row>
    <row r="105" hidden="1">
      <c r="A105" t="inlineStr">
        <is>
          <t>20.3.1 utilização de indicadores e estabelecimento de metas de desempenho sobre o programa de integridade, visando avaliar sua efetividade e cumprimento?  Se sim, anexar documentos que comprovem a existência das metas e a utilização dos indicadores.</t>
        </is>
      </c>
      <c r="B105" t="n">
        <v>319</v>
      </c>
      <c r="C105" t="b">
        <v>0</v>
      </c>
      <c r="D105" t="b">
        <v>0</v>
      </c>
      <c r="E105" t="b">
        <v>0</v>
      </c>
      <c r="F105" t="b">
        <v>0</v>
      </c>
      <c r="G105" t="b">
        <v>1</v>
      </c>
      <c r="H105" t="b">
        <v>1</v>
      </c>
      <c r="I105" t="n">
        <v>7</v>
      </c>
      <c r="J105" t="n">
        <v>15</v>
      </c>
      <c r="K105" t="b">
        <v>1</v>
      </c>
      <c r="L105" t="b">
        <v>0</v>
      </c>
      <c r="M105" t="b">
        <v>0</v>
      </c>
      <c r="N105" t="inlineStr">
        <is>
          <t>Evidências em documentos, relatórios, dashboards ou apresentações, contendo os indicadores utilizados e as metas de desempenho definidas, evidenciando-se os resultados alcançados em cada período etc.</t>
        </is>
      </c>
    </row>
    <row r="106" hidden="1">
      <c r="A106" t="inlineStr">
        <is>
          <t>20.3.2 relatórios periódicos com dados e estatísticas sobre aplicação das principais políticas e procedimentos de integridade?  Se sim, informar os tipos de relatórios produzidos, o conteúdo neles abordado e os sistemas/softwares eventualmente utilizados.</t>
        </is>
      </c>
      <c r="B106" t="n">
        <v>319</v>
      </c>
      <c r="C106" t="b">
        <v>0</v>
      </c>
      <c r="D106" t="b">
        <v>0</v>
      </c>
      <c r="E106" t="b">
        <v>0</v>
      </c>
      <c r="F106" t="b">
        <v>0</v>
      </c>
      <c r="G106" t="b">
        <v>1</v>
      </c>
      <c r="H106" t="b">
        <v>1</v>
      </c>
      <c r="I106" t="n">
        <v>8</v>
      </c>
      <c r="J106" t="n">
        <v>15</v>
      </c>
      <c r="K106" t="b">
        <v>1</v>
      </c>
      <c r="L106" t="b">
        <v>0</v>
      </c>
      <c r="M106" t="b">
        <v>0</v>
      </c>
      <c r="N106" t="inlineStr">
        <is>
          <t>Evidências da regularidade do monitoramento, como relatórios, registros históricos, prints de tela, dashboards, apresentações realizadas, atas de reuniões etc.</t>
        </is>
      </c>
    </row>
    <row r="107" hidden="1">
      <c r="A107"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B107" t="n">
        <v>319</v>
      </c>
      <c r="C107" t="b">
        <v>0</v>
      </c>
      <c r="D107" t="b">
        <v>1</v>
      </c>
      <c r="E107" t="b">
        <v>1</v>
      </c>
      <c r="F107" t="b">
        <v>0</v>
      </c>
      <c r="G107" t="b">
        <v>1</v>
      </c>
      <c r="H107" t="b">
        <v>1</v>
      </c>
      <c r="I107" t="n">
        <v>9</v>
      </c>
      <c r="J107" t="n">
        <v>18</v>
      </c>
      <c r="K107" t="b">
        <v>1</v>
      </c>
      <c r="L107" t="b">
        <v>0</v>
      </c>
      <c r="M107" t="b">
        <v>0</v>
      </c>
      <c r="N107" t="inlineStr">
        <is>
          <t>Evidências do aperfeiçoamento do programa de integridade realizadas a partir do monitoramento, como pesquisas internas, relatórios, atas de reuniões e estudos que embasaram as ações e melhorias implementadas.</t>
        </is>
      </c>
    </row>
    <row r="108" hidden="1">
      <c r="A108"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B108" t="n">
        <v>320</v>
      </c>
      <c r="C108" t="b">
        <v>0</v>
      </c>
      <c r="D108" t="b">
        <v>1</v>
      </c>
      <c r="E108" t="b">
        <v>1</v>
      </c>
      <c r="F108" t="b">
        <v>1</v>
      </c>
      <c r="G108" t="b">
        <v>1</v>
      </c>
      <c r="H108" t="b">
        <v>1</v>
      </c>
      <c r="I108" t="n">
        <v>1</v>
      </c>
      <c r="J108" t="n">
        <v>5</v>
      </c>
      <c r="K108" t="b">
        <v>1</v>
      </c>
      <c r="L108" t="b">
        <v>0</v>
      </c>
      <c r="M108" t="b">
        <v>0</v>
      </c>
      <c r="N108" t="inlineStr">
        <is>
          <t>Evidências de documentos formais, aprovados alta direção, que estabeleçam regras para gestão de resíduos, consumo de recursos naturais, emissão de poluentes e medidas de mitigação de impactos etc.</t>
        </is>
      </c>
    </row>
    <row r="109" hidden="1">
      <c r="A109" t="inlineStr">
        <is>
          <t>21.2 A pessoa jurídica observa a legislação ambiental e mantém atualizadas as licenças ambientais exigidas para o exercício de suas atividades? Se sim, anexar documentos que comprovem o atendimento ao requisito.</t>
        </is>
      </c>
      <c r="B109" t="n">
        <v>320</v>
      </c>
      <c r="C109" t="b">
        <v>0</v>
      </c>
      <c r="D109" t="b">
        <v>1</v>
      </c>
      <c r="E109" t="b">
        <v>1</v>
      </c>
      <c r="F109" t="b">
        <v>1</v>
      </c>
      <c r="G109" t="b">
        <v>1</v>
      </c>
      <c r="H109" t="b">
        <v>1</v>
      </c>
      <c r="I109" t="n">
        <v>2</v>
      </c>
      <c r="J109" t="n">
        <v>5</v>
      </c>
      <c r="K109" t="b">
        <v>1</v>
      </c>
      <c r="L109" t="b">
        <v>0</v>
      </c>
      <c r="M109" t="b">
        <v>0</v>
      </c>
      <c r="N109" t="inlineStr">
        <is>
          <t>Evidências de documentos que comprovem o cumprimento da legislação ambiental e a atualização das licenças ambientais as quais a pessoa jurídica está submetida.</t>
        </is>
      </c>
    </row>
    <row r="110" hidden="1">
      <c r="A110"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B110" t="n">
        <v>322</v>
      </c>
      <c r="C110" t="b">
        <v>0</v>
      </c>
      <c r="D110" t="b">
        <v>0</v>
      </c>
      <c r="E110" t="b">
        <v>0</v>
      </c>
      <c r="F110" t="b">
        <v>1</v>
      </c>
      <c r="G110" t="b">
        <v>1</v>
      </c>
      <c r="H110" t="b">
        <v>1</v>
      </c>
      <c r="I110" t="n">
        <v>1</v>
      </c>
      <c r="J110" t="n">
        <v>5</v>
      </c>
      <c r="K110" t="b">
        <v>1</v>
      </c>
      <c r="L110" t="b">
        <v>0</v>
      </c>
      <c r="M110" t="b">
        <v>0</v>
      </c>
      <c r="N110" t="inlineStr">
        <is>
          <t>Evidências de documentos formais, aprovados alta direção, que estabeleçam regras para proteção e promoção dos direitos humanos em suas atividades e relações internas de trabalho.</t>
        </is>
      </c>
    </row>
    <row r="111" hidden="1">
      <c r="A111"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B111" t="n">
        <v>322</v>
      </c>
      <c r="C111" t="b">
        <v>0</v>
      </c>
      <c r="D111" t="b">
        <v>0</v>
      </c>
      <c r="E111" t="b">
        <v>0</v>
      </c>
      <c r="F111" t="b">
        <v>1</v>
      </c>
      <c r="G111" t="b">
        <v>1</v>
      </c>
      <c r="H111" t="b">
        <v>1</v>
      </c>
      <c r="I111" t="n">
        <v>2</v>
      </c>
      <c r="J111" t="n">
        <v>5</v>
      </c>
      <c r="K111" t="b">
        <v>1</v>
      </c>
      <c r="L111" t="b">
        <v>0</v>
      </c>
      <c r="M111" t="b">
        <v>0</v>
      </c>
      <c r="N111" t="inlineStr">
        <is>
          <t>Evidências de documentos formais, aprovados alta direção, que estabeleçam regras para proteção e promoção dos direitos humanos no ambiente externo à organização.</t>
        </is>
      </c>
    </row>
    <row r="112">
      <c r="A112"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B112" t="n">
        <v>321</v>
      </c>
      <c r="C112" t="b">
        <v>0</v>
      </c>
      <c r="D112" t="b">
        <v>0</v>
      </c>
      <c r="E112" t="b">
        <v>0</v>
      </c>
      <c r="F112" t="b">
        <v>0</v>
      </c>
      <c r="G112" t="b">
        <v>1</v>
      </c>
      <c r="H112" t="b">
        <v>1</v>
      </c>
      <c r="I112" t="n">
        <v>1</v>
      </c>
      <c r="J112" t="n">
        <v>20</v>
      </c>
      <c r="K112" t="b">
        <v>0</v>
      </c>
      <c r="L112" t="b">
        <v>1</v>
      </c>
      <c r="M112" t="b">
        <v>1</v>
      </c>
      <c r="N112" t="inlineStr">
        <is>
          <t>Apresentar link direto para a área do site que evidencie manifestação institucional do compromisso com a ética e a integridadee, e descrever o caminho de navegação a partir da página inicial.Evidências de mensagens disponibilizadas em mídias sociais.</t>
        </is>
      </c>
    </row>
    <row r="113" hidden="1">
      <c r="A113" t="inlineStr">
        <is>
          <t>23.2 A pessoa jurídica disponibiliza em seu site institucional, em português, informações completas e atualizadas sobre:</t>
        </is>
      </c>
      <c r="B113" t="n">
        <v>321</v>
      </c>
      <c r="C113" t="b">
        <v>1</v>
      </c>
      <c r="D113" t="b">
        <v>0</v>
      </c>
      <c r="E113" t="b">
        <v>0</v>
      </c>
      <c r="F113" t="b">
        <v>0</v>
      </c>
      <c r="G113" t="b">
        <v>0</v>
      </c>
      <c r="H113" t="b">
        <v>1</v>
      </c>
      <c r="I113" t="n">
        <v>2</v>
      </c>
      <c r="J113" t="n">
        <v>0</v>
      </c>
      <c r="K113" t="b">
        <v>0</v>
      </c>
      <c r="L113" t="b">
        <v>0</v>
      </c>
      <c r="M113" t="b">
        <v>0</v>
      </c>
      <c r="N113" t="inlineStr"/>
    </row>
    <row r="114" hidden="1">
      <c r="A114" t="inlineStr">
        <is>
          <t>23.2.1 principais atividades exercidas? Se sim, indicar o link e descrever o caminho, desde a página inicial da entidade, em que tal informação é disponibilizada.</t>
        </is>
      </c>
      <c r="B114" t="n">
        <v>321</v>
      </c>
      <c r="C114" t="b">
        <v>0</v>
      </c>
      <c r="D114" t="b">
        <v>0</v>
      </c>
      <c r="E114" t="b">
        <v>0</v>
      </c>
      <c r="F114" t="b">
        <v>0</v>
      </c>
      <c r="G114" t="b">
        <v>1</v>
      </c>
      <c r="H114" t="b">
        <v>1</v>
      </c>
      <c r="I114" t="n">
        <v>3</v>
      </c>
      <c r="J114" t="n">
        <v>5</v>
      </c>
      <c r="K114" t="b">
        <v>0</v>
      </c>
      <c r="L114" t="b">
        <v>0</v>
      </c>
      <c r="M114" t="b">
        <v>1</v>
      </c>
      <c r="N114" t="inlineStr">
        <is>
          <t>Apresentar link direto para a área do site que evidencie as principais atividades realizadas pela pessoa jurídica, e descrever o caminho de navegação a partir da página inicial.</t>
        </is>
      </c>
    </row>
    <row r="115" hidden="1">
      <c r="A115" t="inlineStr">
        <is>
          <t>23.2.2 identificação de seus proprietários ou principais acionistas?  Se sim, indicar o link e descrever o caminho, desde a página inicial da entidade, em que tal informação é disponibilizada.</t>
        </is>
      </c>
      <c r="B115" t="n">
        <v>321</v>
      </c>
      <c r="C115" t="b">
        <v>0</v>
      </c>
      <c r="D115" t="b">
        <v>0</v>
      </c>
      <c r="E115" t="b">
        <v>0</v>
      </c>
      <c r="F115" t="b">
        <v>0</v>
      </c>
      <c r="G115" t="b">
        <v>1</v>
      </c>
      <c r="H115" t="b">
        <v>1</v>
      </c>
      <c r="I115" t="n">
        <v>4</v>
      </c>
      <c r="J115" t="n">
        <v>5</v>
      </c>
      <c r="K115" t="b">
        <v>0</v>
      </c>
      <c r="L115" t="b">
        <v>0</v>
      </c>
      <c r="M115" t="b">
        <v>1</v>
      </c>
      <c r="N115" t="inlineStr">
        <is>
          <t>Apresentar link direto para a área do site que evidencie a identificação de seus proprietários ou principais acionistas, e descrever o caminho de navegação a partir da página inicial.</t>
        </is>
      </c>
    </row>
    <row r="116" hidden="1">
      <c r="A116" t="inlineStr">
        <is>
          <t>23.2.3 identificação e função de seus principais executivos e dirigentes? Se sim, indicar o link e descrever o caminho, desde a página inicial da entidade, em que tal informação é disponibilizada.</t>
        </is>
      </c>
      <c r="B116" t="n">
        <v>321</v>
      </c>
      <c r="C116" t="b">
        <v>0</v>
      </c>
      <c r="D116" t="b">
        <v>0</v>
      </c>
      <c r="E116" t="b">
        <v>0</v>
      </c>
      <c r="F116" t="b">
        <v>0</v>
      </c>
      <c r="G116" t="b">
        <v>1</v>
      </c>
      <c r="H116" t="b">
        <v>1</v>
      </c>
      <c r="I116" t="n">
        <v>5</v>
      </c>
      <c r="J116" t="n">
        <v>5</v>
      </c>
      <c r="K116" t="b">
        <v>0</v>
      </c>
      <c r="L116" t="b">
        <v>0</v>
      </c>
      <c r="M116" t="b">
        <v>1</v>
      </c>
      <c r="N116" t="inlineStr">
        <is>
          <t>Apresentar link direto para a área do site que evidencie  a identificação e função de seus executivos e dirigentes, incluindo membros do Conselho de Administração, e descrever o caminho de navegação a partir da página inicial.</t>
        </is>
      </c>
    </row>
    <row r="117" hidden="1">
      <c r="A117" t="inlineStr">
        <is>
          <t>23.2.4 os patrocínios e doações realizados ou a informação explícita de que não realiza tais ações?  Se sim, indicar o link e descrever o caminho, desde a página inicial da entidade, em que tal informação é disponibilizada.</t>
        </is>
      </c>
      <c r="B117" t="n">
        <v>321</v>
      </c>
      <c r="C117" t="b">
        <v>0</v>
      </c>
      <c r="D117" t="b">
        <v>0</v>
      </c>
      <c r="E117" t="b">
        <v>0</v>
      </c>
      <c r="F117" t="b">
        <v>0</v>
      </c>
      <c r="G117" t="b">
        <v>1</v>
      </c>
      <c r="H117" t="b">
        <v>1</v>
      </c>
      <c r="I117" t="n">
        <v>6</v>
      </c>
      <c r="J117" t="n">
        <v>5</v>
      </c>
      <c r="K117" t="b">
        <v>0</v>
      </c>
      <c r="L117" t="b">
        <v>0</v>
      </c>
      <c r="M117" t="b">
        <v>1</v>
      </c>
      <c r="N117" t="inlineStr">
        <is>
          <t>Apresentar link direto para a área do site que evidencie os patrocínios e doações realizados (beneficiário, objeto, data, forma de monitoramento), ou que informe a sua não realização, e descrever o caminho de navegação a partir da página inicial.</t>
        </is>
      </c>
    </row>
    <row r="118" hidden="1">
      <c r="A118" t="inlineStr">
        <is>
          <t>23.2.5 as participações em licitações públicas e contratos firmados com a Administração Pública? Se sim, indicar o link e descrever o caminho, desde a página inicial da entidade, em que tal informação é disponibilizada.</t>
        </is>
      </c>
      <c r="B118" t="n">
        <v>321</v>
      </c>
      <c r="C118" t="b">
        <v>0</v>
      </c>
      <c r="D118" t="b">
        <v>0</v>
      </c>
      <c r="E118" t="b">
        <v>0</v>
      </c>
      <c r="F118" t="b">
        <v>0</v>
      </c>
      <c r="G118" t="b">
        <v>1</v>
      </c>
      <c r="H118" t="b">
        <v>1</v>
      </c>
      <c r="I118" t="n">
        <v>7</v>
      </c>
      <c r="J118" t="n">
        <v>5</v>
      </c>
      <c r="K118" t="b">
        <v>0</v>
      </c>
      <c r="L118" t="b">
        <v>0</v>
      </c>
      <c r="M118" t="b">
        <v>1</v>
      </c>
      <c r="N118" t="inlineStr">
        <is>
          <t>Apresentar link direto para a área do site, que evidencie as participações em licitações (incluindo as não vencidas) e os contratos públicos firmados (partes, objeto, valor, prazo etc.), ainda que constem no Portal da Transparência, e descrever o caminho de navegação a partir da página inicial.</t>
        </is>
      </c>
    </row>
    <row r="119" hidden="1">
      <c r="A119" t="inlineStr">
        <is>
          <t>23.3 Existe uma seção específica no site da pessoa jurídica que reúna as informações sobre o programa de integridade? Se sim, indicar o link e descrever o caminho, desde a página inicial da entidade, em que tal informação é disponibilizada.</t>
        </is>
      </c>
      <c r="B119" t="n">
        <v>321</v>
      </c>
      <c r="C119" t="b">
        <v>0</v>
      </c>
      <c r="D119" t="b">
        <v>0</v>
      </c>
      <c r="E119" t="b">
        <v>0</v>
      </c>
      <c r="F119" t="b">
        <v>0</v>
      </c>
      <c r="G119" t="b">
        <v>1</v>
      </c>
      <c r="H119" t="b">
        <v>1</v>
      </c>
      <c r="I119" t="n">
        <v>8</v>
      </c>
      <c r="J119" t="n">
        <v>18</v>
      </c>
      <c r="K119" t="b">
        <v>0</v>
      </c>
      <c r="L119" t="b">
        <v>0</v>
      </c>
      <c r="M119" t="b">
        <v>1</v>
      </c>
      <c r="N119" t="inlineStr">
        <is>
          <t>Apresentar o link de acesso e o caminho desde a página inicial do site até a seção específica que contém as informações sobre o programa de integridade da pessoa jurídica.</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B1:AU119"/>
  <sheetViews>
    <sheetView workbookViewId="0">
      <selection activeCell="A1" sqref="A1"/>
    </sheetView>
  </sheetViews>
  <sheetFormatPr baseColWidth="8" defaultRowHeight="17.25" customHeight="1"/>
  <cols>
    <col width="97.7109375" customWidth="1" min="2" max="2"/>
    <col width="12.140625" bestFit="1" customWidth="1" min="3" max="3"/>
    <col width="9.140625" customWidth="1" min="5" max="5"/>
    <col width="19.7109375" customWidth="1" min="6" max="6"/>
    <col width="27.5703125" customWidth="1" min="7" max="7"/>
    <col width="12.140625" customWidth="1" min="8" max="8"/>
    <col width="9.140625" customWidth="1" min="9" max="11"/>
    <col width="12.140625" customWidth="1" min="12" max="12"/>
    <col width="9.140625" customWidth="1" min="13" max="15"/>
    <col width="12.140625" customWidth="1" min="16" max="16"/>
    <col width="9.140625" customWidth="1" min="17" max="18"/>
    <col width="24.5703125" customWidth="1" min="19" max="19"/>
    <col width="25.28515625" customWidth="1" min="20" max="20"/>
    <col width="12.140625" customWidth="1" min="21" max="21"/>
    <col width="9.140625" customWidth="1" min="22" max="24"/>
    <col width="12.140625" bestFit="1" customWidth="1" min="27" max="27"/>
    <col width="12.140625" bestFit="1" customWidth="1" min="33" max="33"/>
    <col width="12.140625" bestFit="1" customWidth="1" min="38" max="38"/>
    <col width="12.140625" bestFit="1" customWidth="1" min="43" max="43"/>
    <col width="12.140625" bestFit="1" customWidth="1" min="47" max="47"/>
  </cols>
  <sheetData>
    <row r="1" ht="17.25" customHeight="1">
      <c r="C1" t="inlineStr">
        <is>
          <t>Check</t>
        </is>
      </c>
      <c r="H1" t="inlineStr">
        <is>
          <t>CONF</t>
        </is>
      </c>
      <c r="L1" t="inlineStr">
        <is>
          <t>CONF</t>
        </is>
      </c>
      <c r="P1" t="inlineStr">
        <is>
          <t>CONF</t>
        </is>
      </c>
      <c r="Y1" t="inlineStr">
        <is>
          <t>SAMPI</t>
        </is>
      </c>
      <c r="Z1" t="inlineStr">
        <is>
          <t>FORM</t>
        </is>
      </c>
      <c r="AA1" t="inlineStr">
        <is>
          <t>CONF</t>
        </is>
      </c>
    </row>
    <row r="2" ht="17.25" customHeight="1">
      <c r="B2" s="1" t="inlineStr">
        <is>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is>
      </c>
      <c r="C2">
        <f>B2=Tabela_3__Validação_da_Tabela_PerguntaFormularioTipoAvaliacao[[#This Row],[DescTituloPerguntaFormularioTipoAvaliacao]]</f>
        <v/>
      </c>
      <c r="F2" s="57" t="inlineStr">
        <is>
          <t>1.2 A pessoa jurídica aplicou critérios de integridade para seleção dos ocupantes de cargos da alta direção contratados nos últimos 24 meses? Se sim, anexar documentos que comprovem a aplicação dos critérios de integridade para seleção.</t>
        </is>
      </c>
      <c r="G2" s="3" t="inlineStr">
        <is>
          <t>1.2 A pessoa jurídica aplicou critérios de integridade para seleção dos ocupantes de cargos da alta direção contratados nos últimos 24 meses? Se sim, anexar documentos que comprovem a aplicação dos critérios de integridade para seleção.</t>
        </is>
      </c>
      <c r="H2">
        <f>F2=G2</f>
        <v/>
      </c>
      <c r="J2" s="57"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K2" s="3"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L2">
        <f>J2=K2</f>
        <v/>
      </c>
      <c r="N2" s="58" t="n">
        <v>15</v>
      </c>
      <c r="O2" s="2" t="n">
        <v>15</v>
      </c>
      <c r="P2">
        <f>N2=O2</f>
        <v/>
      </c>
      <c r="S2" s="57"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T2" s="4"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U2">
        <f>S2=T2</f>
        <v/>
      </c>
      <c r="Y2" s="64" t="inlineStr">
        <is>
          <t>Evidências que comprovem que a pessoa jurídica possui critérios éticos, como políticas de seleção e procedimentos de contratação, para escolha de membros da alta direção.</t>
        </is>
      </c>
      <c r="Z2" s="3" t="inlineStr">
        <is>
          <t>Evidências que comprovem que a pessoa jurídica possui critérios éticos, como políticas de seleção e procedimentos de contratação, para escolha de membros da alta direção.</t>
        </is>
      </c>
      <c r="AA2">
        <f>Y2=Z2</f>
        <v/>
      </c>
      <c r="AE2" s="57" t="inlineStr">
        <is>
          <t>3.2 As manifestações de apoio ao programa de integridade por membros da alta direção:</t>
        </is>
      </c>
      <c r="AF2" s="3" t="inlineStr">
        <is>
          <t>3.2 As manifestações de apoio ao programa de integridade por membros da alta direção:</t>
        </is>
      </c>
      <c r="AG2">
        <f>AE2=AF2</f>
        <v/>
      </c>
      <c r="AJ2" s="58" t="inlineStr">
        <is>
          <t xml:space="preserve">DB1. Nome da pessoa jurídica - Razão Social: </t>
        </is>
      </c>
      <c r="AK2" s="1" t="inlineStr">
        <is>
          <t xml:space="preserve">DB1. Nome da pessoa jurídica - Razão Social: </t>
        </is>
      </c>
      <c r="AL2">
        <f>AJ2=AK2</f>
        <v/>
      </c>
      <c r="AO2" s="58" t="inlineStr">
        <is>
          <t>Informar a denominação pela qual a pessoa jurídica está registrada no Cadastro Nacional da Pessoa Jurídica.</t>
        </is>
      </c>
      <c r="AP2" s="1" t="inlineStr">
        <is>
          <t>Informar a denominação pela qual a pessoa jurídica está registrada no Cadastro Nacional da Pessoa Jurídica.</t>
        </is>
      </c>
      <c r="AQ2">
        <f>AO2=AP2</f>
        <v/>
      </c>
      <c r="AS2" s="58" t="inlineStr">
        <is>
          <t>1. Adoção de critérios de integridade para seleção e remuneração de candidatos a cargos da alta direção</t>
        </is>
      </c>
      <c r="AT2" s="30" t="inlineStr">
        <is>
          <t>1. Adoção de critérios de integridade para seleção e remuneração de candidatos a cargos da alta direção</t>
        </is>
      </c>
      <c r="AU2">
        <f>AS2=AT2</f>
        <v/>
      </c>
    </row>
    <row r="3" ht="17.25" customHeight="1">
      <c r="B3" s="3" t="inlineStr">
        <is>
          <t>1.2 A pessoa jurídica aplicou critérios de integridade para seleção dos ocupantes de cargos da alta direção contratados nos últimos 24 meses? Se sim, anexar documentos que comprovem a aplicação dos critérios de integridade para seleção.</t>
        </is>
      </c>
      <c r="C3">
        <f>B3=Tabela_3__Validação_da_Tabela_PerguntaFormularioTipoAvaliacao[[#This Row],[DescTituloPerguntaFormularioTipoAvaliacao]]</f>
        <v/>
      </c>
      <c r="F3" s="59"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G3" s="3"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H3">
        <f>F3=G3</f>
        <v/>
      </c>
      <c r="J3" s="59"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K3" s="3"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L3">
        <f>J3=K3</f>
        <v/>
      </c>
      <c r="N3" s="60" t="n">
        <v>18</v>
      </c>
      <c r="O3" s="2" t="n">
        <v>18</v>
      </c>
      <c r="P3">
        <f>N3=O3</f>
        <v/>
      </c>
      <c r="T3" s="4" t="inlineStr">
        <is>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is>
      </c>
      <c r="U3" s="66">
        <f>S3=T3</f>
        <v/>
      </c>
      <c r="V3" t="inlineStr">
        <is>
          <t xml:space="preserve">Corrigido </t>
        </is>
      </c>
      <c r="Y3" s="65" t="inlineStr">
        <is>
          <t>Evidências que comprovem a aplicação de critérios de integridade na escolha da alta direção, incluindo testes de integridade, background check, Know Your Employee - KYE, pesquisas em fontes abertas e análises de antecedentes sobre histórico profissional, práticas ilícitas e conduta ética.</t>
        </is>
      </c>
      <c r="Z3" s="3" t="inlineStr">
        <is>
          <t>Evidências que comprovem a aplicação de critérios de integridade na escolha da alta direção, incluindo testes de integridade, background check, Know Your Employee - KYE, pesquisas em fontes abertas e análises de antecedentes sobre histórico profissional, práticas ilícitas e conduta ética.</t>
        </is>
      </c>
      <c r="AA3">
        <f>Y3=Z3</f>
        <v/>
      </c>
      <c r="AE3" s="59" t="inlineStr">
        <is>
          <t>6.2 A política ou planejamento que trata da gestão de riscos:</t>
        </is>
      </c>
      <c r="AF3" s="3" t="inlineStr">
        <is>
          <t>6.2 A política ou planejamento que trata da gestão de riscos:</t>
        </is>
      </c>
      <c r="AG3">
        <f>AE3=AF3</f>
        <v/>
      </c>
      <c r="AJ3" s="60" t="inlineStr">
        <is>
          <t>DB2. E-mail institucional da área de integridade:</t>
        </is>
      </c>
      <c r="AK3" s="40" t="inlineStr">
        <is>
          <t>DB2. E-mail institucional da área de integridade:</t>
        </is>
      </c>
      <c r="AL3">
        <f>AJ3=AK3</f>
        <v/>
      </c>
      <c r="AO3" s="60" t="inlineStr">
        <is>
          <t>Informar o e-mail da área ou pessoa responsável pelo programa de integridade. Indicar e-mail institucional, evitando-se conta de uso pessoal. Este e-mail poderá ser utilizado pela CGU para dúvidas, informes, pedidos de esclarecimentos etc.</t>
        </is>
      </c>
      <c r="AP3" s="40" t="inlineStr">
        <is>
          <t>Informar o e-mail da área ou pessoa responsável pelo programa de integridade. Indicar e-mail institucional, evitando-se conta de uso pessoal. Este e-mail poderá ser utilizado pela CGU para dúvidas, informes, pedidos de esclarecimentos etc.</t>
        </is>
      </c>
      <c r="AQ3">
        <f>AO3=AP3</f>
        <v/>
      </c>
      <c r="AS3" s="60" t="inlineStr">
        <is>
          <t>2. Envolvimento da alta direção na implementação e supervisão do programa de integridade</t>
        </is>
      </c>
      <c r="AT3" s="30" t="inlineStr">
        <is>
          <t>2. Envolvimento da alta direção na implementação e supervisão do programa de integridade</t>
        </is>
      </c>
      <c r="AU3">
        <f>AS3=AT3</f>
        <v/>
      </c>
    </row>
    <row r="4" ht="17.25" customHeight="1">
      <c r="B4" s="3"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C4">
        <f>B4=Tabela_3__Validação_da_Tabela_PerguntaFormularioTipoAvaliacao[[#This Row],[DescTituloPerguntaFormularioTipoAvaliacao]]</f>
        <v/>
      </c>
      <c r="F4" s="57"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G4" s="3"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H4">
        <f>F4=G4</f>
        <v/>
      </c>
      <c r="J4" s="57"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K4" s="3"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L4">
        <f>J4=K4</f>
        <v/>
      </c>
      <c r="N4" s="58" t="n">
        <v>15</v>
      </c>
      <c r="O4" s="2" t="n">
        <v>15</v>
      </c>
      <c r="P4">
        <f>N4=O4</f>
        <v/>
      </c>
      <c r="S4" s="59"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T4" s="4"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U4">
        <f>S4=T4</f>
        <v/>
      </c>
      <c r="Y4" s="64" t="inlineStr">
        <is>
          <t>Evidências da adoção de norma formal que vincula a remuneração variável da alta direção ao cumprimento de metas relacionadas aos indicadores do programa de integridade.</t>
        </is>
      </c>
      <c r="Z4" s="3" t="inlineStr">
        <is>
          <t>Evidências da adoção de norma formal que vincula a remuneração variável da alta direção ao cumprimento de metas relacionadas aos indicadores do programa de integridade.</t>
        </is>
      </c>
      <c r="AA4">
        <f>Y4=Z4</f>
        <v/>
      </c>
      <c r="AE4" s="57" t="inlineStr">
        <is>
          <t>7.2 O código de ética e conduta ou documento equivalente:</t>
        </is>
      </c>
      <c r="AF4" s="3" t="inlineStr">
        <is>
          <t>7.2 O código de ética e conduta ou documento equivalente:</t>
        </is>
      </c>
      <c r="AG4">
        <f>AE4=AF4</f>
        <v/>
      </c>
      <c r="AJ4" s="58" t="inlineStr">
        <is>
          <t xml:space="preserve">DB3. CNPJ: </t>
        </is>
      </c>
      <c r="AK4" s="1" t="inlineStr">
        <is>
          <t xml:space="preserve">DB3. CNPJ: </t>
        </is>
      </c>
      <c r="AL4">
        <f>AJ4=AK4</f>
        <v/>
      </c>
      <c r="AO4" s="58" t="inlineStr">
        <is>
          <t>Informar o CNPJ da pessoa jurídica.</t>
        </is>
      </c>
      <c r="AP4" s="1" t="inlineStr">
        <is>
          <t>Informar o CNPJ da pessoa jurídica.</t>
        </is>
      </c>
      <c r="AQ4">
        <f>AO4=AP4</f>
        <v/>
      </c>
      <c r="AS4" s="58" t="inlineStr">
        <is>
          <t>3. Apoio visível e inequívoco da alta direção ao programa de integridade, incluindo a destinação de recursos adequados</t>
        </is>
      </c>
      <c r="AT4" s="30" t="inlineStr">
        <is>
          <t>3. Apoio visível e inequívoco da alta direção ao programa de integridade, incluindo a destinação de recursos adequados</t>
        </is>
      </c>
      <c r="AU4">
        <f>AS4=AT4</f>
        <v/>
      </c>
    </row>
    <row r="5" ht="17.25" customHeight="1">
      <c r="B5" s="4"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C5">
        <f>B5=Tabela_3__Validação_da_Tabela_PerguntaFormularioTipoAvaliacao[[#This Row],[DescTituloPerguntaFormularioTipoAvaliacao]]</f>
        <v/>
      </c>
      <c r="F5" s="59"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G5" s="3"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H5">
        <f>F5=G5</f>
        <v/>
      </c>
      <c r="J5" s="59"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K5" s="3"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L5">
        <f>J5=K5</f>
        <v/>
      </c>
      <c r="N5" s="60" t="n">
        <v>20</v>
      </c>
      <c r="O5" s="2" t="n">
        <v>20</v>
      </c>
      <c r="P5">
        <f>N5=O5</f>
        <v/>
      </c>
      <c r="S5" s="57"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T5" s="4"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U5">
        <f>S5=T5</f>
        <v/>
      </c>
      <c r="Y5" s="65" t="inlineStr">
        <is>
          <t>Evidências da participação da alta direção na aprovação de políticas do programa de integridade, como atas de reuniões, e-mails ou documentos que comprovem a criação ou atualização de políticas, estruturas e procedimentos, ou registros incluídos na própria política.</t>
        </is>
      </c>
      <c r="Z5" s="3" t="inlineStr">
        <is>
          <t>Evidências da participação da alta direção na aprovação de políticas do programa de integridade, como atas de reuniões, e-mails ou documentos que comprovem a criação ou atualização de políticas, estruturas e procedimentos, ou registros incluídos na própria política.</t>
        </is>
      </c>
      <c r="AA5">
        <f>Y5=Z5</f>
        <v/>
      </c>
      <c r="AE5" s="59" t="inlineStr">
        <is>
          <t>8.1 A pessoa jurídica possui políticas e procedimentos de integridade que:</t>
        </is>
      </c>
      <c r="AF5" s="4" t="inlineStr">
        <is>
          <t>8.1 A pessoa jurídica possui políticas e procedimentos de integridade que:</t>
        </is>
      </c>
      <c r="AG5">
        <f>AE5=AF5</f>
        <v/>
      </c>
      <c r="AJ5" s="60" t="inlineStr">
        <is>
          <t xml:space="preserve">DB4. Representante do programa de integridade: </t>
        </is>
      </c>
      <c r="AK5" s="1" t="inlineStr">
        <is>
          <t xml:space="preserve">DB4. Representante do programa de integridade: </t>
        </is>
      </c>
      <c r="AL5">
        <f>AJ5=AK5</f>
        <v/>
      </c>
      <c r="AO5" s="60" t="inlineStr">
        <is>
          <t>Informar o nome do representante da pessoa jurídica para ser comunicado em relação à avaliação do programa de integridade</t>
        </is>
      </c>
      <c r="AP5" s="1" t="inlineStr">
        <is>
          <t>Informar o nome do representante da pessoa jurídica para ser comunicado em relação à avaliação do programa de integridade</t>
        </is>
      </c>
      <c r="AQ5">
        <f>AO5=AP5</f>
        <v/>
      </c>
      <c r="AS5" s="58" t="inlineStr">
        <is>
          <t>4. Existência e estrutura da instância interna responsável pela aplicação do programa de integridade</t>
        </is>
      </c>
      <c r="AT5" s="30" t="inlineStr">
        <is>
          <t>4. Existência e estrutura da instância interna responsável pela aplicação do programa de integridade</t>
        </is>
      </c>
      <c r="AU5">
        <f>AS5=AT5</f>
        <v/>
      </c>
    </row>
    <row r="6" ht="17.25" customHeight="1">
      <c r="B6" s="3"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C6">
        <f>B6=Tabela_3__Validação_da_Tabela_PerguntaFormularioTipoAvaliacao[[#This Row],[DescTituloPerguntaFormularioTipoAvaliacao]]</f>
        <v/>
      </c>
      <c r="F6" s="57" t="inlineStr">
        <is>
          <t>13.1 A pessoa jurídica possui função de auditoria interna formalmente estabelecida, seja de forma direta ou terceirizada? Se sim, anexar oi estatuto ou documento que demonstre o estabelecimento da função de auditoria interna.</t>
        </is>
      </c>
      <c r="G6" s="12" t="inlineStr">
        <is>
          <t>13.1 A pessoa jurídica possui função de auditoria interna formalmente estabelecida, seja de forma direta ou terceirizada? Se sim, anexar oi estatuto ou documento que demonstre o estabelecimento da função de auditoria interna.</t>
        </is>
      </c>
      <c r="H6">
        <f>F6=G6</f>
        <v/>
      </c>
      <c r="J6" s="57"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K6" s="3"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L6">
        <f>J6=K6</f>
        <v/>
      </c>
      <c r="N6" s="58" t="n">
        <v>15</v>
      </c>
      <c r="O6" s="2" t="n">
        <v>15</v>
      </c>
      <c r="P6">
        <f>N6=O6</f>
        <v/>
      </c>
      <c r="S6" s="59" t="inlineStr">
        <is>
          <t>7.1 A pessoa jurídica possui código de ética e conduta, ou documento equivalente, disponível em português? Se sim, anexar o código ou documento equivalente.</t>
        </is>
      </c>
      <c r="T6" s="4" t="inlineStr">
        <is>
          <t>7.1 A pessoa jurídica possui código de ética e conduta, ou documento equivalente, disponível em português? Se sim, anexar o código ou documento equivalente.</t>
        </is>
      </c>
      <c r="U6">
        <f>S6=T6</f>
        <v/>
      </c>
      <c r="Y6" s="64" t="inlineStr">
        <is>
          <t>Evidências da existência de um órgão colegiado responsável por tratar de temas do programa de integridade, como estatutos, regimentos, políticas internas e atas, demonstrando a participação ativa dos membros da alta direção nesse colegiado.</t>
        </is>
      </c>
      <c r="Z6" s="3" t="inlineStr">
        <is>
          <t>Evidências da existência de um órgão colegiado responsável por tratar de temas do programa de integridade, como estatutos, regimentos, políticas internas e atas, demonstrando a participação ativa dos membros da alta direção nesse colegiado.</t>
        </is>
      </c>
      <c r="AA6">
        <f>Y6=Z6</f>
        <v/>
      </c>
      <c r="AE6" s="57" t="inlineStr">
        <is>
          <t>9.2 As política ou procedimentos:</t>
        </is>
      </c>
      <c r="AF6" s="1" t="inlineStr">
        <is>
          <t>9.2 As política ou procedimentos:</t>
        </is>
      </c>
      <c r="AG6">
        <f>AE6=AF6</f>
        <v/>
      </c>
      <c r="AJ6" s="58" t="inlineStr">
        <is>
          <t xml:space="preserve">DB5. Cargo do representante: </t>
        </is>
      </c>
      <c r="AK6" s="1" t="inlineStr">
        <is>
          <t xml:space="preserve">DB5. Cargo do representante: </t>
        </is>
      </c>
      <c r="AL6">
        <f>AJ6=AK6</f>
        <v/>
      </c>
      <c r="AO6" s="58" t="inlineStr">
        <is>
          <t>Informar o cargo do representante da pessoa jurídica.</t>
        </is>
      </c>
      <c r="AP6" s="1" t="inlineStr">
        <is>
          <t>Informar o cargo do representante da pessoa jurídica.</t>
        </is>
      </c>
      <c r="AQ6">
        <f>AO6=AP6</f>
        <v/>
      </c>
      <c r="AS6" s="60" t="inlineStr">
        <is>
          <t>5. Garantias atribuídas ao responsável pela instância interna para o exercício de suas atividades com autoridade e independência</t>
        </is>
      </c>
      <c r="AT6" s="30" t="inlineStr">
        <is>
          <t>5. Garantias atribuídas ao responsável pela instância interna para o exercício de suas atividades com autoridade e independência</t>
        </is>
      </c>
      <c r="AU6">
        <f>AS6=AT6</f>
        <v/>
      </c>
    </row>
    <row r="7" ht="17.25" customHeight="1">
      <c r="B7" s="3"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C7">
        <f>B7=Tabela_3__Validação_da_Tabela_PerguntaFormularioTipoAvaliacao[[#This Row],[DescTituloPerguntaFormularioTipoAvaliacao]]</f>
        <v/>
      </c>
      <c r="F7" s="59" t="inlineStr">
        <is>
          <t>13.2 A função de auditoria interna reporta-se diretamente à alta direção ou instância de governança da pessoa jurídica? Se sim, anexar o estatuto ou outro documento que demonstre o nível de reporte da função de auditoria interna.</t>
        </is>
      </c>
      <c r="G7" s="12" t="inlineStr">
        <is>
          <t>13.2 A função de auditoria interna reporta-se diretamente à alta direção ou instância de governança da pessoa jurídica? Se sim, anexar o estatuto ou outro documento que demonstre o nível de reporte da função de auditoria interna.</t>
        </is>
      </c>
      <c r="H7">
        <f>F7=G7</f>
        <v/>
      </c>
      <c r="J7" s="59"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K7" s="8"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L7">
        <f>J7=K7</f>
        <v/>
      </c>
      <c r="N7" s="60" t="n">
        <v>18</v>
      </c>
      <c r="O7" s="2" t="n">
        <v>18</v>
      </c>
      <c r="P7">
        <f>N7=O7</f>
        <v/>
      </c>
      <c r="S7" s="57" t="inlineStr">
        <is>
          <t>8.1.1 vedam expressamente a concessão de vantagens indevidas, econômicas ou não, a agentes públicos? Se sim, anexar a política ou procedimento e indicar o(s) dispositivo(s) do documento que atenda(m) ao requisito.</t>
        </is>
      </c>
      <c r="T7" s="4" t="inlineStr">
        <is>
          <t>8.1.1 vedam expressamente a concessão de vantagens indevidas, econômicas ou não, a agentes públicos? Se sim, anexar a política ou procedimento e indicar o(s) dispositivo(s) do documento que atenda(m) ao requisito.</t>
        </is>
      </c>
      <c r="U7">
        <f>S7=T7</f>
        <v/>
      </c>
      <c r="Y7" s="65" t="inlineStr">
        <is>
          <t>Evidências que comprovem a supervisão da alta direção na implantação e aplicação do programa de integridade, como atas de reuniões, e-mails, apresentações feitas em reuniões, registros de frequência das ações de supervisão, relatórios assinados e documentos que demonstrem o acompanhamento das atividades do programa.</t>
        </is>
      </c>
      <c r="Z7" s="3" t="inlineStr">
        <is>
          <t>Evidências que comprovem a supervisão da alta direção na implantação e aplicação do programa de integridade, como atas de reuniões, e-mails, apresentações feitas em reuniões, registros de frequência das ações de supervisão, relatórios assinados e documentos que demonstrem o acompanhamento das atividades do programa.</t>
        </is>
      </c>
      <c r="AA7">
        <f>Y7=Z7</f>
        <v/>
      </c>
      <c r="AE7" s="59" t="inlineStr">
        <is>
          <t>14.1 A pessoa jurídica possui políticas e procedimentos baseadas em risco para a realização de diligências, contratação e supervisão de terceiros, que:</t>
        </is>
      </c>
      <c r="AF7" s="4" t="inlineStr">
        <is>
          <t>14.1 A pessoa jurídica possui políticas e procedimentos baseadas em risco para a realização de diligências, contratação e supervisão de terceiros, que:</t>
        </is>
      </c>
      <c r="AG7">
        <f>AE7=AF7</f>
        <v/>
      </c>
      <c r="AJ7" s="60" t="inlineStr">
        <is>
          <t xml:space="preserve">DB6. Telefone do representante: </t>
        </is>
      </c>
      <c r="AK7" s="1" t="inlineStr">
        <is>
          <t xml:space="preserve">DB6. Telefone do representante: </t>
        </is>
      </c>
      <c r="AL7">
        <f>AJ7=AK7</f>
        <v/>
      </c>
      <c r="AO7" s="60" t="inlineStr">
        <is>
          <t>Informar o telefone do representante da pessoa jurídica.</t>
        </is>
      </c>
      <c r="AP7" s="1" t="inlineStr">
        <is>
          <t>Informar o telefone do representante da pessoa jurídica.</t>
        </is>
      </c>
      <c r="AQ7">
        <f>AO7=AP7</f>
        <v/>
      </c>
      <c r="AS7" s="60" t="inlineStr">
        <is>
          <t>6. Gestão de riscos para integridade</t>
        </is>
      </c>
      <c r="AT7" s="30" t="inlineStr">
        <is>
          <t>6. Gestão de riscos para integridade</t>
        </is>
      </c>
      <c r="AU7">
        <f>AS7=AT7</f>
        <v/>
      </c>
    </row>
    <row r="8" ht="17.25" customHeight="1">
      <c r="B8" s="4" t="inlineStr">
        <is>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is>
      </c>
      <c r="C8">
        <f>B8=Tabela_3__Validação_da_Tabela_PerguntaFormularioTipoAvaliacao[[#This Row],[DescTituloPerguntaFormularioTipoAvaliacao]]</f>
        <v/>
      </c>
      <c r="F8" s="57"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G8" s="12"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H8">
        <f>F8=G8</f>
        <v/>
      </c>
      <c r="J8" s="57" t="inlineStr">
        <is>
          <t>7.2.3 está alinhado com a legislação anticorrupção brasileira, contendo vedações expressas à prática de atos de corrupção e fraude e prevenção de conflito de interesses? Se sim, indicar o(s) dispositivo(s) do código que atenda(m) ao requisito.</t>
        </is>
      </c>
      <c r="K8" s="3" t="inlineStr">
        <is>
          <t>7.2.3 está alinhado com a legislação anticorrupção brasileira, contendo vedações expressas à prática de atos de corrupção e fraude e prevenção de conflito de interesses? Se sim, indicar o(s) dispositivo(s) do código que atenda(m) ao requisito.</t>
        </is>
      </c>
      <c r="L8">
        <f>J8=K8</f>
        <v/>
      </c>
      <c r="N8" s="58" t="n">
        <v>20</v>
      </c>
      <c r="O8" s="2" t="n">
        <v>20</v>
      </c>
      <c r="P8">
        <f>N8=O8</f>
        <v/>
      </c>
      <c r="S8" s="59" t="inlineStr">
        <is>
          <t>9.1. A pessoa jurídica possui políticas ou procedimentos específicos para prevenção de ilícitos em licitações e contratos administrativos? Se sim, anexar a política ou procedimentos que atenda(m) ao requisito.</t>
        </is>
      </c>
      <c r="T8" s="4" t="inlineStr">
        <is>
          <t>9.1. A pessoa jurídica possui políticas ou procedimentos específicos para prevenção de ilícitos em licitações e contratos administrativos? Se sim, anexar a política ou procedimentos que atenda(m) ao requisito.</t>
        </is>
      </c>
      <c r="U8">
        <f>S8=T8</f>
        <v/>
      </c>
      <c r="Y8" s="64" t="inlineStr">
        <is>
          <t>Evidências de que a alta direção, de forma individualizada, reforça seu compromisso com a ética e a integridade, por meio de comunicados estratégicos em canais como e-mails, redes sociais, intranet, vídeos institucionais e comunicados internos e externos, demonstrando apoio ao programa de integridade.</t>
        </is>
      </c>
      <c r="Z8" s="3" t="inlineStr">
        <is>
          <t>Evidências de que a alta direção, de forma individualizada, reforça seu compromisso com a ética e a integridade, por meio de comunicados estratégicos em canais como e-mails, redes sociais, intranet, vídeos institucionais e comunicados internos e externos, demonstrando apoio ao programa de integridade.</t>
        </is>
      </c>
      <c r="AA8">
        <f>Y8=Z8</f>
        <v/>
      </c>
      <c r="AE8" s="57" t="inlineStr">
        <is>
          <t>15.1 As políticas e procedimentos sobre contratação de terceiros estabeleçam a inclusão de cláusulas, nos contratos relevantes celebrados com terceiros, que:</t>
        </is>
      </c>
      <c r="AF8" s="10" t="inlineStr">
        <is>
          <t>15.1 As políticas e procedimentos sobre contratação de terceiros estabeleçam a inclusão de cláusulas, nos contratos relevantes celebrados com terceiros, que:</t>
        </is>
      </c>
      <c r="AG8">
        <f>AE8=AF8</f>
        <v/>
      </c>
      <c r="AJ8" s="58" t="inlineStr">
        <is>
          <t xml:space="preserve">EA1. Qual a atividade econômica principal? </t>
        </is>
      </c>
      <c r="AK8" s="1" t="inlineStr">
        <is>
          <t xml:space="preserve">EA1. Qual a atividade econômica principal? </t>
        </is>
      </c>
      <c r="AL8">
        <f>AJ8=AK8</f>
        <v/>
      </c>
      <c r="AO8" s="58" t="inlineStr">
        <is>
          <t>Selecionar a opção que se refere a sua atividade econômica principal. A pessoa jurídica deverá observar os dois primeiros dígitos do CNAE e correlacioná-los com alguma das atividades descritas na lista. Exemplo: 
CNAE: 64.62-0-00
Atividade a ser selecionada na lista: (64 a 66)</t>
        </is>
      </c>
      <c r="AP8" s="1" t="inlineStr">
        <is>
          <t>Selecionar a opção que se refere a sua atividade econômica principal. A pessoa jurídica deverá observar os dois primeiros dígitos do CNAE e correlacioná-los com alguma das atividades descritas na lista. Exemplo: 
CNAE: 64.62-0-00
Atividade a ser selecionada na lista: (64 a 66)</t>
        </is>
      </c>
      <c r="AQ8">
        <f>AO8=AP8</f>
        <v/>
      </c>
      <c r="AS8" s="58" t="inlineStr">
        <is>
          <t>7. Código de Ética e Conduta</t>
        </is>
      </c>
      <c r="AT8" s="30" t="inlineStr">
        <is>
          <t>7. Código de Ética e Conduta</t>
        </is>
      </c>
      <c r="AU8">
        <f>AS8=AT8</f>
        <v/>
      </c>
    </row>
    <row r="9" ht="17.25" customHeight="1">
      <c r="B9" s="3" t="inlineStr">
        <is>
          <t>3.2 As manifestações de apoio ao programa de integridade por membros da alta direção:</t>
        </is>
      </c>
      <c r="C9">
        <f>B9=Tabela_3__Validação_da_Tabela_PerguntaFormularioTipoAvaliacao[[#This Row],[DescTituloPerguntaFormularioTipoAvaliacao]]</f>
        <v/>
      </c>
      <c r="F9" s="59" t="inlineStr">
        <is>
          <t>13.4 São produzidos relatórios periódicos de auditoria interna? Se sim, anexar o último relatório anual de atividades da unidade de auditoria interna.</t>
        </is>
      </c>
      <c r="G9" s="12" t="inlineStr">
        <is>
          <t>13.4 São produzidos relatórios periódicos de auditoria interna? Se sim, anexar o último relatório anual de atividades da unidade de auditoria interna.</t>
        </is>
      </c>
      <c r="H9">
        <f>F9=G9</f>
        <v/>
      </c>
      <c r="J9" s="59" t="inlineStr">
        <is>
          <t>7.2.4 expressa o compromisso da pessoa jurídica em combater o preconceito, a discriminação e o assédio de qualquer natureza em suas relações internas e externas?  Se sim, indicar o(s) dispositivo(s) do código que atenda(m) ao requisito.</t>
        </is>
      </c>
      <c r="K9" s="3" t="inlineStr">
        <is>
          <t>7.2.4 expressa o compromisso da pessoa jurídica em combater o preconceito, a discriminação e o assédio de qualquer natureza em suas relações internas e externas?  Se sim, indicar o(s) dispositivo(s) do código que atenda(m) ao requisito.</t>
        </is>
      </c>
      <c r="L9">
        <f>J9=K9</f>
        <v/>
      </c>
      <c r="N9" s="60" t="n">
        <v>0</v>
      </c>
      <c r="O9" s="2" t="n">
        <v>0</v>
      </c>
      <c r="P9">
        <f>N9=O9</f>
        <v/>
      </c>
      <c r="S9" s="57"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T9" s="4"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U9">
        <f>S9=T9</f>
        <v/>
      </c>
      <c r="Y9" s="65" t="inlineStr"/>
      <c r="Z9" s="3" t="n"/>
      <c r="AA9">
        <f>Y9=Z9</f>
        <v/>
      </c>
      <c r="AE9" s="59" t="inlineStr">
        <is>
          <t>17.2 O canal de denúncias da pessoa jurídica:</t>
        </is>
      </c>
      <c r="AF9" s="3" t="inlineStr">
        <is>
          <t>17.2 O canal de denúncias da pessoa jurídica:</t>
        </is>
      </c>
      <c r="AG9">
        <f>AE9=AF9</f>
        <v/>
      </c>
      <c r="AJ9" s="60" t="inlineStr">
        <is>
          <t>EA2. Qual o porte da pessoa jurídica?</t>
        </is>
      </c>
      <c r="AK9" s="41" t="inlineStr">
        <is>
          <t>EA2. Qual o porte da pessoa jurídica?</t>
        </is>
      </c>
      <c r="AL9">
        <f>AJ9=AK9</f>
        <v/>
      </c>
      <c r="AO9" s="60" t="inlineStr">
        <is>
          <t>Critério para a definição do porte conf. faturamento anual:
- Microempresa: até R$ 360 mil
- Empresa de Pequeno Porte: de R$ 360 mil até R$ 4,8 milhões
- Média empresa: de R$ 4,8 milhões até R$ 300 milhões
- Grande empresa: acima de R$ 300 milhões.</t>
        </is>
      </c>
      <c r="AP9" s="40" t="inlineStr">
        <is>
          <t>Critério para a definição do porte conf. faturamento anual:
- Microempresa: até R$ 360 mil
- Empresa de Pequeno Porte: de R$ 360 mil até R$ 4,8 milhões
- Média empresa: de R$ 4,8 milhões até R$ 300 milhões
- Grande empresa: acima de R$ 300 milhões.</t>
        </is>
      </c>
      <c r="AQ9">
        <f>AO9=AP9</f>
        <v/>
      </c>
      <c r="AS9" s="60" t="inlineStr">
        <is>
          <t>8. Políticas e procedimentos de integridade</t>
        </is>
      </c>
      <c r="AT9" s="30" t="inlineStr">
        <is>
          <t>8. Políticas e procedimentos de integridade</t>
        </is>
      </c>
      <c r="AU9">
        <f>AS9=AT9</f>
        <v/>
      </c>
    </row>
    <row r="10" ht="17.25" customHeight="1">
      <c r="B10" s="3"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C10">
        <f>B10=Tabela_3__Validação_da_Tabela_PerguntaFormularioTipoAvaliacao[[#This Row],[DescTituloPerguntaFormularioTipoAvaliacao]]</f>
        <v/>
      </c>
      <c r="F10" s="57"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G10" s="13"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H10">
        <f>F10=G10</f>
        <v/>
      </c>
      <c r="J10" s="57" t="inlineStr">
        <is>
          <t>7.2.6 menciona a possibilidade de aplicação de sanções para aqueles que cometerem violações éticas/legais, inclusive para os membros da alta direção da pessoa jurídica? Se sim, indicar o(s) dispositivo(s) do código que atenda(m) ao requisito.</t>
        </is>
      </c>
      <c r="K10" s="3" t="inlineStr">
        <is>
          <t>7.2.6 menciona a possibilidade de aplicação de sanções para aqueles que cometerem violações éticas/legais, inclusive para os membros da alta direção da pessoa jurídica? Se sim, indicar o(s) dispositivo(s) do código que atenda(m) ao requisito.</t>
        </is>
      </c>
      <c r="L10">
        <f>J10=K10</f>
        <v/>
      </c>
      <c r="N10" s="58" t="n">
        <v>5</v>
      </c>
      <c r="O10" s="2" t="n">
        <v>5</v>
      </c>
      <c r="P10">
        <f>N10=O10</f>
        <v/>
      </c>
      <c r="S10" s="59"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T10" s="4"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U10">
        <f>S10=T10</f>
        <v/>
      </c>
      <c r="Y10" s="64" t="inlineStr">
        <is>
          <t>Evidências de que as declarações de apoio ao programa de integridade foram feitas por diferentes membros da alta direção e de forma periódica, reforçando o compromisso da liderança com a ética e a transparência.</t>
        </is>
      </c>
      <c r="Z10" s="3" t="inlineStr">
        <is>
          <t>Evidências de que as declarações de apoio ao programa de integridade foram feitas por diferentes membros da alta direção e de forma periódica, reforçando o compromisso da liderança com a ética e a transparência.</t>
        </is>
      </c>
      <c r="AA10">
        <f>Y10=Z10</f>
        <v/>
      </c>
      <c r="AE10" s="57" t="inlineStr">
        <is>
          <t>18.2 As políticas e procedimentos definem:</t>
        </is>
      </c>
      <c r="AF10" s="3" t="inlineStr">
        <is>
          <t>18.2 As políticas e procedimentos definem:</t>
        </is>
      </c>
      <c r="AG10">
        <f>AE10=AF10</f>
        <v/>
      </c>
      <c r="AJ10" s="58" t="inlineStr">
        <is>
          <t xml:space="preserve">EA3. Qual o faturamento anual? </t>
        </is>
      </c>
      <c r="AK10" s="1" t="inlineStr">
        <is>
          <t xml:space="preserve">EA3. Qual o faturamento anual? </t>
        </is>
      </c>
      <c r="AL10">
        <f>AJ10=AK10</f>
        <v/>
      </c>
      <c r="AO10" s="58" t="inlineStr">
        <is>
          <t>Selecionar a opção que se refere ao faturamento estimado, obtido pela pessoa jurídica a cada ano.</t>
        </is>
      </c>
      <c r="AP10" s="1" t="inlineStr">
        <is>
          <t>Selecionar a opção que se refere ao faturamento estimado, obtido pela pessoa jurídica a cada ano.</t>
        </is>
      </c>
      <c r="AQ10">
        <f>AO10=AP10</f>
        <v/>
      </c>
      <c r="AS10" s="58" t="inlineStr">
        <is>
          <t>9. Políticas e procedimentos específicos para prevenção de ilícitos em licitações e contratos administrativos</t>
        </is>
      </c>
      <c r="AT10" s="30" t="inlineStr">
        <is>
          <t>9. Políticas e procedimentos específicos para prevenção de ilícitos em licitações e contratos administrativos</t>
        </is>
      </c>
      <c r="AU10">
        <f>AS10=AT10</f>
        <v/>
      </c>
    </row>
    <row r="11" ht="17.25" customHeight="1">
      <c r="B11" s="3" t="inlineStr">
        <is>
          <t>3.2.2 expressam uma mensagem de incentivo à adoção de uma conduta ética, seguindo os ditames do programa de integridade? Se sim, demonstrar a medida em que as manifestações de apoio ao programa de integridade expressaram o compromisso com os temas.</t>
        </is>
      </c>
      <c r="C11">
        <f>B11=Tabela_3__Validação_da_Tabela_PerguntaFormularioTipoAvaliacao[[#This Row],[DescTituloPerguntaFormularioTipoAvaliacao]]</f>
        <v/>
      </c>
      <c r="F11" s="59" t="inlineStr">
        <is>
          <t>14.1.3 determinam a verificação de possível envolvimento do terceiro em crimes ambientais ou em práticas nocivas ao meio ambiente?  Se sim, anexar as políticas e/ou procedimentos, indicando o artigo, item e/ou página onde consta essa previsão.</t>
        </is>
      </c>
      <c r="G11" s="3" t="inlineStr">
        <is>
          <t>14.1.3 determinam a verificação de possível envolvimento do terceiro em crimes ambientais ou em práticas nocivas ao meio ambiente?  Se sim, anexar as políticas e/ou procedimentos, indicando o artigo, item e/ou página onde consta essa previsão.</t>
        </is>
      </c>
      <c r="H11">
        <f>F11=G11</f>
        <v/>
      </c>
      <c r="J11" s="59"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K11" s="3"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L11">
        <f>J11=K11</f>
        <v/>
      </c>
      <c r="N11" s="60" t="n">
        <v>5</v>
      </c>
      <c r="O11" s="2" t="n">
        <v>5</v>
      </c>
      <c r="P11">
        <f>N11=O11</f>
        <v/>
      </c>
      <c r="S11" s="57" t="inlineStr">
        <is>
          <t>12.1 A pessoa jurídica possui procedimentos definidos para a realização dos lançamentos contábeis e financeiros? Se sim, anexar os documentos ou informações que estabeleçam os procedimentos existentes.</t>
        </is>
      </c>
      <c r="T11" s="4" t="inlineStr">
        <is>
          <t>12.1 A pessoa jurídica possui procedimentos definidos para a realização dos lançamentos contábeis e financeiros? Se sim, anexar os documentos ou informações que estabeleçam os procedimentos existentes.</t>
        </is>
      </c>
      <c r="U11">
        <f>S11=T11</f>
        <v/>
      </c>
      <c r="Y11" s="65" t="inlineStr">
        <is>
          <t>Evidências de mensagens claras da alta direção aos colaboradores, sociedade, mercado e stakeholders, reforçando o compromisso da pessoa jurídica no combate ao preconceito, discriminação e assédio em qualquer forma.</t>
        </is>
      </c>
      <c r="Z11" s="3" t="inlineStr">
        <is>
          <t>Evidências de mensagens claras da alta direção aos colaboradores, sociedade, mercado e stakeholders, reforçando o compromisso da pessoa jurídica com a adoção de uma conduta ética, seguindo os ditames do programa de integridade.</t>
        </is>
      </c>
      <c r="AA11" s="67">
        <f>Y11=Z11</f>
        <v/>
      </c>
      <c r="AB11" t="inlineStr">
        <is>
          <t>Corrigir</t>
        </is>
      </c>
      <c r="AE11" s="59" t="inlineStr">
        <is>
          <t>19.1 As políticas e procedimentos relacionadas ao tratamento, apuração e remediação de casos de fraudes, corrupção ou violação de direitos humanos e trabalhistas definem:</t>
        </is>
      </c>
      <c r="AF11" s="3" t="inlineStr">
        <is>
          <t>19.1 As políticas e procedimentos relacionadas ao tratamento, apuração e remediação de casos de fraudes, corrupção ou violação de direitos humanos e trabalhistas definem:</t>
        </is>
      </c>
      <c r="AG11">
        <f>AE11=AF11</f>
        <v/>
      </c>
      <c r="AJ11" s="60" t="inlineStr">
        <is>
          <t>EA4. Descrever a estrutura organizacional da pessoa jurídica (Ex.: presidência, conselhos, comitês, diretorias etc.):</t>
        </is>
      </c>
      <c r="AK11" s="3" t="inlineStr">
        <is>
          <t>EA4. Descrever a estrutura organizacional da pessoa jurídica (Ex.: presidência, conselhos, comitês, diretorias etc.):</t>
        </is>
      </c>
      <c r="AL11">
        <f>AJ11=AK11</f>
        <v/>
      </c>
      <c r="AO11" s="60" t="inlineStr">
        <is>
          <t>Informar a estrutura organizacional, apresentando breve resumo das instâncias que a compõem, suas atribuições, membros e as relações de hierarquia/subordinação existentes.</t>
        </is>
      </c>
      <c r="AP11" s="1" t="inlineStr">
        <is>
          <t>Informar a estrutura organizacional, apresentando breve resumo das instâncias que a compõem, suas atribuições, membros e as relações de hierarquia/subordinação existentes.</t>
        </is>
      </c>
      <c r="AQ11">
        <f>AO11=AP11</f>
        <v/>
      </c>
      <c r="AS11" s="60" t="inlineStr">
        <is>
          <t>10. Treinamentos sobre o Programa de Integridade</t>
        </is>
      </c>
      <c r="AT11" s="30" t="inlineStr">
        <is>
          <t>10. Treinamentos sobre o Programa de Integridade</t>
        </is>
      </c>
      <c r="AU11">
        <f>AS11=AT11</f>
        <v/>
      </c>
    </row>
    <row r="12" ht="17.25" customHeight="1">
      <c r="B12" s="3" t="inlineStr">
        <is>
          <t>3.2.3 expressam o compromisso da alta direção com o combate ao preconceito, à discriminação e ao assédio de qualquer natureza?  Se sim, demonstrar a medida em que as manifestações de apoio ao programa de integridade expressaram o compromisso com os temas.</t>
        </is>
      </c>
      <c r="C12">
        <f>B12=Tabela_3__Validação_da_Tabela_PerguntaFormularioTipoAvaliacao[[#This Row],[DescTituloPerguntaFormularioTipoAvaliacao]]</f>
        <v/>
      </c>
      <c r="F12" s="57"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G12" s="3"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H12">
        <f>F12=G12</f>
        <v/>
      </c>
      <c r="J12" s="57"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K12" s="3"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L12">
        <f>J12=K12</f>
        <v/>
      </c>
      <c r="N12" s="58" t="n">
        <v>5</v>
      </c>
      <c r="O12" s="2" t="n">
        <v>5</v>
      </c>
      <c r="P12">
        <f>N12=O12</f>
        <v/>
      </c>
      <c r="S12" s="59"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T12" s="4"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U12">
        <f>S12=T12</f>
        <v/>
      </c>
      <c r="Y12" s="64" t="inlineStr">
        <is>
          <t>Evidências de mensagens claras da alta direção aos colaboradores, sociedade, mercado e stakeholders, reforçando o compromisso da pessoa jurídica no combate ao preconceito, discriminação e assédio em qualquer forma.</t>
        </is>
      </c>
      <c r="Z12" s="3" t="inlineStr">
        <is>
          <t>Evidências de mensagens claras da alta direção aos colaboradores, sociedade, mercado e stakeholders, reforçando o compromisso da pessoa jurídica no combate ao preconceito, discriminação e assédio em qualquer forma.</t>
        </is>
      </c>
      <c r="AA12">
        <f>Y12=Z12</f>
        <v/>
      </c>
      <c r="AE12" s="57" t="inlineStr">
        <is>
          <t>20.2 A política ou procedimentos que estabelecem o monitoramento contínuo do programa de integridade definem:</t>
        </is>
      </c>
      <c r="AF12" s="3" t="inlineStr">
        <is>
          <t>20.2 A política ou procedimentos que estabelecem o monitoramento contínuo do programa de integridade definem:</t>
        </is>
      </c>
      <c r="AG12">
        <f>AE12=AF12</f>
        <v/>
      </c>
      <c r="AJ12" s="58" t="inlineStr">
        <is>
          <t>EA5. Integra algum grupo econômico?</t>
        </is>
      </c>
      <c r="AK12" s="40" t="inlineStr">
        <is>
          <t>EA5. Integra algum grupo econômico?</t>
        </is>
      </c>
      <c r="AL12">
        <f>AJ12=AK12</f>
        <v/>
      </c>
      <c r="AO12" s="58" t="inlineStr">
        <is>
          <t>Selecionar “Sim” ou “Não”, conforme o caso.</t>
        </is>
      </c>
      <c r="AP12" s="40" t="inlineStr">
        <is>
          <t>Selecionar “Sim” ou “Não”, conforme o caso.</t>
        </is>
      </c>
      <c r="AQ12">
        <f>AO12=AP12</f>
        <v/>
      </c>
      <c r="AS12" s="58" t="inlineStr">
        <is>
          <t>11. Comunicações sobre o Programa de Integridade</t>
        </is>
      </c>
      <c r="AT12" s="30" t="inlineStr">
        <is>
          <t>11. Comunicações sobre o Programa de Integridade</t>
        </is>
      </c>
      <c r="AU12">
        <f>AS12=AT12</f>
        <v/>
      </c>
    </row>
    <row r="13" ht="17.25" customHeight="1">
      <c r="B13" s="8" t="inlineStr">
        <is>
          <t>3.3 A pessoa jurídica destina recursos em seu orçamento para a manutenção das atividades relacionadas ao programa de integridade?  Se sim, anexar documentos que comprovem a destinação de recursos para o programa de integridade.</t>
        </is>
      </c>
      <c r="C13">
        <f>B13=Tabela_3__Validação_da_Tabela_PerguntaFormularioTipoAvaliacao[[#This Row],[DescTituloPerguntaFormularioTipoAvaliacao]]</f>
        <v/>
      </c>
      <c r="F13" s="59" t="inlineStr">
        <is>
          <t>16.2 A pessoa jurídica realizou diligências prévias a fusões, aquisições e outras operações societárias nos últimos 24 meses? Se sim, anexar documentos que comprovem a aplicação das políticas/procedimentos.</t>
        </is>
      </c>
      <c r="G13" s="8" t="inlineStr">
        <is>
          <t>16.2 A pessoa jurídica realizou diligências prévias a fusões, aquisições e outras operações societárias nos últimos 24 meses? Se sim, anexar documentos que comprovem a aplicação das políticas/procedimentos.</t>
        </is>
      </c>
      <c r="H13">
        <f>F13=G13</f>
        <v/>
      </c>
      <c r="J13" s="59"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K13" s="3"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L13">
        <f>J13=K13</f>
        <v/>
      </c>
      <c r="N13" s="60" t="n">
        <v>18</v>
      </c>
      <c r="O13" s="9" t="n">
        <v>18</v>
      </c>
      <c r="P13">
        <f>N13=O13</f>
        <v/>
      </c>
      <c r="S13" s="57"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T13" s="4"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U13">
        <f>S13=T13</f>
        <v/>
      </c>
      <c r="Y13" s="65" t="inlineStr">
        <is>
          <t>Evidências que comprovem a elaboração de orçamento que destine recursos específicos para a área responsável pelo programa de integridade, antes de cada exercício, tais como: orçamento,  atas de reunião com aprovação orçamentária etc., que contemplem as despesas programadas para a área.</t>
        </is>
      </c>
      <c r="Z13" s="3" t="inlineStr">
        <is>
          <t>Evidências que comprovem a elaboração de orçamento que destine recursos específicos para a área responsável pelo programa de integridade, antes de cada exercício, tais como: orçamento,  atas de reunião com aprovação orçamentária etc., que contemplem as despesas programadas para a área.</t>
        </is>
      </c>
      <c r="AA13">
        <f>Y13=Z13</f>
        <v/>
      </c>
      <c r="AE13" s="59" t="inlineStr">
        <is>
          <t>20.3 A pessoa jurídica realiza um monitoramento contínuo do programa de integridade por meio de:</t>
        </is>
      </c>
      <c r="AF13" s="3" t="inlineStr">
        <is>
          <t>20.3 A pessoa jurídica realiza um monitoramento contínuo do programa de integridade por meio de:</t>
        </is>
      </c>
      <c r="AG13">
        <f>AE13=AF13</f>
        <v/>
      </c>
      <c r="AJ13" s="60" t="inlineStr">
        <is>
          <t xml:space="preserve">EA5.1. Informar o nome do grupo econômico: </t>
        </is>
      </c>
      <c r="AK13" s="51" t="inlineStr">
        <is>
          <t xml:space="preserve">EA5.1. Informar o nome do grupo econômico: </t>
        </is>
      </c>
      <c r="AL13">
        <f>AJ13=AK13</f>
        <v/>
      </c>
      <c r="AO13" s="60" t="inlineStr">
        <is>
          <t>Informar o nome do grupo econômico ao qual a pessoa jurídica pertence.</t>
        </is>
      </c>
      <c r="AP13" s="40" t="inlineStr">
        <is>
          <t>Informar o nome do grupo econômico ao qual a pessoa jurídica pertence.</t>
        </is>
      </c>
      <c r="AQ13">
        <f>AO13=AP13</f>
        <v/>
      </c>
      <c r="AS13" s="60" t="inlineStr">
        <is>
          <t>12. Controles Contábeis e Financeiros</t>
        </is>
      </c>
      <c r="AT13" s="30" t="inlineStr">
        <is>
          <t>12. Controles Contábeis e Financeiros</t>
        </is>
      </c>
      <c r="AU13">
        <f>AS13=AT13</f>
        <v/>
      </c>
    </row>
    <row r="14" ht="17.25" customHeight="1">
      <c r="B14" s="4"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C14">
        <f>B14=Tabela_3__Validação_da_Tabela_PerguntaFormularioTipoAvaliacao[[#This Row],[DescTituloPerguntaFormularioTipoAvaliacao]]</f>
        <v/>
      </c>
      <c r="F14" s="57" t="inlineStr">
        <is>
          <t>18.3 A pessoa jurídica realizou o tratamento das denúncias recebidas nos últimos 24 meses? Se sim, anexar documentos que demonstrem o tratamento do universo de denúncias recebidas no período.</t>
        </is>
      </c>
      <c r="G14" s="10" t="inlineStr">
        <is>
          <t>18.3 A pessoa jurídica realizou o tratamento das denúncias recebidas nos últimos 24 meses? Se sim, anexar documentos que demonstrem o tratamento do universo de denúncias recebidas no período.</t>
        </is>
      </c>
      <c r="H14">
        <f>F14=G14</f>
        <v/>
      </c>
      <c r="J14" s="57" t="inlineStr">
        <is>
          <t>9.2.1 estabelecem orientações sobre a conduta esperada (o que é permitido/proibido) para seus empregados e para terceiros que atuam em seu nome? Se sim, indicar o(s) dispositivo(s) da política ou procedimentos que atenda(m) ao requisito.</t>
        </is>
      </c>
      <c r="K14" s="1" t="inlineStr">
        <is>
          <t>9.2.1 estabelecem orientações sobre a conduta esperada (o que é permitido/proibido) para seus empregados e para terceiros que atuam em seu nome? Se sim, indicar o(s) dispositivo(s) da política ou procedimentos que atenda(m) ao requisito.</t>
        </is>
      </c>
      <c r="L14">
        <f>J14=K14</f>
        <v/>
      </c>
      <c r="N14" s="58" t="n">
        <v>20</v>
      </c>
      <c r="O14" s="2" t="n">
        <v>20</v>
      </c>
      <c r="P14">
        <f>N14=O14</f>
        <v/>
      </c>
      <c r="S14" s="59" t="inlineStr">
        <is>
          <t>20.1 A pessoa jurídica possui política ou procedimentos que estabelecem o monitoramento contínuo do programa de integridade? Se sim, anexar a política ou procedimentos e indicar o(s) dispositivo(s) do documento que atenda(m) ao requisito.</t>
        </is>
      </c>
      <c r="T14" s="4" t="inlineStr">
        <is>
          <t>20.1 A pessoa jurídica possui política ou procedimentos que estabelecem o monitoramento contínuo do programa de integridade? Se sim, anexar a política ou procedimentos e indicar o(s) dispositivo(s) do documento que atenda(m) ao requisito.</t>
        </is>
      </c>
      <c r="U14">
        <f>S14=T14</f>
        <v/>
      </c>
      <c r="Y14" s="64" t="inlineStr">
        <is>
          <t>Evidências sobre a existência de uma instância interna (seja uma área ou pessoa designada) responsável pela implementação, fiscalização e monitoramento contínuo do programa de integridade no Brasil, tais como: políticas, regimento interno, estatuto, job description etc. Não serão considerados órgãos colegiados (comitês, conselhos etc).</t>
        </is>
      </c>
      <c r="Z14" s="3" t="inlineStr">
        <is>
          <t>Evidências sobre a existência de uma instância interna (seja uma área ou pessoa designada) responsável pela implementação, fiscalização e monitoramento contínuo do programa de integridade no Brasil, tais como: políticas, regimento interno, estatuto, job description etc. Não serão considerados órgãos colegiados (comitês, conselhos etc).</t>
        </is>
      </c>
      <c r="AA14">
        <f>Y14=Z14</f>
        <v/>
      </c>
      <c r="AE14" s="57" t="inlineStr">
        <is>
          <t>23.2 A pessoa jurídica disponibiliza em seu site institucional, em português, informações completas e atualizadas sobre:</t>
        </is>
      </c>
      <c r="AF14" s="3" t="inlineStr">
        <is>
          <t>23.2 A pessoa jurídica disponibiliza em seu site institucional, em português, informações completas e atualizadas sobre:</t>
        </is>
      </c>
      <c r="AG14">
        <f>AE14=AF14</f>
        <v/>
      </c>
      <c r="AJ14" s="58" t="inlineStr">
        <is>
          <t xml:space="preserve">EA5.2. Informar se o programa de integridade se aplica a mais de uma pessoa jurídica do grupo e para quais pessoas jurídicas se aplica: </t>
        </is>
      </c>
      <c r="AK14" s="51" t="inlineStr">
        <is>
          <t xml:space="preserve">EA5.2. Informar se o programa de integridade se aplica a mais de uma pessoa jurídica do grupo e para quais pessoas jurídicas se aplica: </t>
        </is>
      </c>
      <c r="AL14">
        <f>AJ14=AK14</f>
        <v/>
      </c>
      <c r="AO14" s="58" t="inlineStr">
        <is>
          <t>Informar para quais outras pessoas jurídicas do grupo econômico o programa de integridade é aplicado.</t>
        </is>
      </c>
      <c r="AP14" s="40" t="inlineStr">
        <is>
          <t>Informar para quais outras pessoas jurídicas do grupo econômico o programa de integridade é aplicado.</t>
        </is>
      </c>
      <c r="AQ14">
        <f>AO14=AP14</f>
        <v/>
      </c>
      <c r="AS14" s="58" t="inlineStr">
        <is>
          <t>13. Auditoria Interna</t>
        </is>
      </c>
      <c r="AT14" s="30" t="inlineStr">
        <is>
          <t>13. Auditoria Interna</t>
        </is>
      </c>
      <c r="AU14">
        <f>AS14=AT14</f>
        <v/>
      </c>
    </row>
    <row r="15" ht="17.25" customHeight="1">
      <c r="B15" s="3"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C15">
        <f>B15=Tabela_3__Validação_da_Tabela_PerguntaFormularioTipoAvaliacao[[#This Row],[DescTituloPerguntaFormularioTipoAvaliacao]]</f>
        <v/>
      </c>
      <c r="F15" s="59"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G15" s="1"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H15">
        <f>F15=G15</f>
        <v/>
      </c>
      <c r="J15" s="59"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K15" s="3"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L15">
        <f>J15=K15</f>
        <v/>
      </c>
      <c r="N15" s="60" t="n">
        <v>15</v>
      </c>
      <c r="O15" s="2" t="n">
        <v>15</v>
      </c>
      <c r="P15">
        <f>N15=O15</f>
        <v/>
      </c>
      <c r="S15" s="57"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T15" s="4"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U15">
        <f>S15=T15</f>
        <v/>
      </c>
      <c r="Y15" s="65" t="inlineStr">
        <is>
          <t>Evidências documentais que descrevam explicitamente a área responsável pelo programa de integridade, com suas atribuições e responsabilidades detalhadas, tais como regimentos internos, estatuto social, regimentos, políticas e atas de reuniões que comprovem a criação, estrutura e funcionamento do setor, aprovado pela alta direção.</t>
        </is>
      </c>
      <c r="Z15" s="3" t="inlineStr">
        <is>
          <t>Evidências documentais que descrevam explicitamente a área responsável pelo programa de integridade, com suas atribuições e responsabilidades detalhadas, tais como regimentos internos, estatuto social, regimentos, políticas e atas de reuniões que comprovem a criação, estrutura e funcionamento do setor, aprovado pela alta direção.</t>
        </is>
      </c>
      <c r="AA15">
        <f>Y15=Z15</f>
        <v/>
      </c>
      <c r="AJ15" s="60" t="inlineStr">
        <is>
          <t xml:space="preserve">EA5.3. Informar se é controladora, controlada, coligada, subsidiária, etc., indicando as principais pessoas jurídicas que integram o grupo e os países em que atuam: </t>
        </is>
      </c>
      <c r="AK15" s="51" t="inlineStr">
        <is>
          <t xml:space="preserve">EA5.3. Informar se é controladora, controlada, coligada, subsidiária, etc., indicando as principais pessoas jurídicas que integram o grupo e os países em que atuam: </t>
        </is>
      </c>
      <c r="AL15">
        <f>AJ15=AK15</f>
        <v/>
      </c>
      <c r="AO15" s="60" t="inlineStr">
        <is>
          <t>Informar a condição da pessoa jurídica no seu grupo econômico, bem como citar as principais pessoa jurídicas que integram esse grupo e os países em que elas exercem atividade.</t>
        </is>
      </c>
      <c r="AP15" s="40" t="inlineStr">
        <is>
          <t>Informar a condição da pessoa jurídica no seu grupo econômico, bem como citar as principais pessoa jurídicas que integram esse grupo e os países em que elas exercem atividade.</t>
        </is>
      </c>
      <c r="AQ15">
        <f>AO15=AP15</f>
        <v/>
      </c>
      <c r="AS15" s="60" t="inlineStr">
        <is>
          <t>14. Diligências para contratação e supervisão de terceiros</t>
        </is>
      </c>
      <c r="AT15" s="30" t="inlineStr">
        <is>
          <t>14. Diligências para contratação e supervisão de terceiros</t>
        </is>
      </c>
      <c r="AU15">
        <f>AS15=AT15</f>
        <v/>
      </c>
    </row>
    <row r="16" ht="17.25" customHeight="1">
      <c r="B16" s="3"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C16">
        <f>B16=Tabela_3__Validação_da_Tabela_PerguntaFormularioTipoAvaliacao[[#This Row],[DescTituloPerguntaFormularioTipoAvaliacao]]</f>
        <v/>
      </c>
      <c r="F16" s="57"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G16" s="8"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H16">
        <f>F16=G16</f>
        <v/>
      </c>
      <c r="J16" s="57"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K16" s="8"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L16">
        <f>J16=K16</f>
        <v/>
      </c>
      <c r="N16" s="58" t="n">
        <v>15</v>
      </c>
      <c r="O16" s="2" t="n">
        <v>15</v>
      </c>
      <c r="P16">
        <f>N16=O16</f>
        <v/>
      </c>
      <c r="Y16" s="64" t="inlineStr">
        <is>
          <t>Evidência como política ou procedimento que formalize tal estrutura, organograma da pessoa jurídica que demonstre a posição hierárquica e as linhas de reporte da área de integridade.</t>
        </is>
      </c>
      <c r="Z16" s="3" t="inlineStr">
        <is>
          <t>Evidência como política ou procedimento que formalize tal estrutura, organograma da pessoa jurídica que demonstre a posição hierárquica e as linhas de reporte da área de integridade.</t>
        </is>
      </c>
      <c r="AA16">
        <f>Y16=Z16</f>
        <v/>
      </c>
      <c r="AJ16" s="58" t="inlineStr">
        <is>
          <t>EA6. Realizou, nos últimos 24 meses, operações societárias envolvendo outras pessoas jurídicas (Ex.:  fusão, incorporação etc.)?</t>
        </is>
      </c>
      <c r="AK16" s="42" t="inlineStr">
        <is>
          <t>EA6. Realizou, nos últimos 24 meses, operações societárias envolvendo outras pessoas jurídicas (Ex.:  fusão, incorporação etc.)?</t>
        </is>
      </c>
      <c r="AL16">
        <f>AJ16=AK16</f>
        <v/>
      </c>
      <c r="AO16" s="58" t="inlineStr">
        <is>
          <t>Selecionar “Sim” ou “Não”, conforme o caso. As operações societárias incluem: fusões, incorporações, aquisições, cisões etc.</t>
        </is>
      </c>
      <c r="AP16" s="12" t="inlineStr">
        <is>
          <t>Selecionar “Sim” ou “Não”, conforme o caso. As operações societárias incluem: fusões, incorporações, aquisições, cisões etc.</t>
        </is>
      </c>
      <c r="AQ16">
        <f>AO16=AP16</f>
        <v/>
      </c>
      <c r="AS16" s="58" t="inlineStr">
        <is>
          <t>15. Cláusulas contratuais</t>
        </is>
      </c>
      <c r="AT16" s="30" t="inlineStr">
        <is>
          <t>15. Cláusulas contratuais</t>
        </is>
      </c>
      <c r="AU16">
        <f>AS16=AT16</f>
        <v/>
      </c>
    </row>
    <row r="17" ht="17.25" customHeight="1">
      <c r="B17" s="3" t="inlineStr">
        <is>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is>
      </c>
      <c r="C17">
        <f>B17=Tabela_3__Validação_da_Tabela_PerguntaFormularioTipoAvaliacao[[#This Row],[DescTituloPerguntaFormularioTipoAvaliacao]]</f>
        <v/>
      </c>
      <c r="F17" s="59"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G17" s="3"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H17">
        <f>F17=G17</f>
        <v/>
      </c>
      <c r="J17" s="59"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K17" s="3"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L17">
        <f>J17=K17</f>
        <v/>
      </c>
      <c r="N17" s="60" t="n">
        <v>18</v>
      </c>
      <c r="O17" s="2" t="n">
        <v>18</v>
      </c>
      <c r="P17">
        <f>N17=O17</f>
        <v/>
      </c>
      <c r="Y17" s="65" t="inlineStr">
        <is>
          <t>Evidências que demonstrem o quantitativo de funcionários alocados na área de integridade, exclusiva ou parcialmente, correlacionando essa estrutura às atribuições previstas para a instância responsável pelo programa de integridade.</t>
        </is>
      </c>
      <c r="Z17" s="3" t="inlineStr">
        <is>
          <t>Evidências que demonstrem o quantitativo de funcionários alocados na área de integridade, exclusiva ou parcialmente, correlacionando essa estrutura às atribuições previstas para a instância responsável pelo programa de integridade.</t>
        </is>
      </c>
      <c r="AA17">
        <f>Y17=Z17</f>
        <v/>
      </c>
      <c r="AJ17" s="60" t="inlineStr">
        <is>
          <t xml:space="preserve">EA6.1. Descrever as operações societárias realizadas: </t>
        </is>
      </c>
      <c r="AK17" s="51" t="inlineStr">
        <is>
          <t xml:space="preserve">EA6.1. Descrever as operações societárias realizadas: </t>
        </is>
      </c>
      <c r="AL17">
        <f>AJ17=AK17</f>
        <v/>
      </c>
      <c r="AO17" s="60" t="inlineStr">
        <is>
          <t>Ex.: data, tipo de operação, empresas envolvidas, ações relacionadas à operação, alterações na estrutura societária e de mercado das empresas envolvidas, aprovação pelos órgãos de fiscalização e de defesa econômica etc.</t>
        </is>
      </c>
      <c r="AP17" s="40" t="inlineStr">
        <is>
          <t>Ex.: data, tipo de operação, empresas envolvidas, ações relacionadas à operação, alterações na estrutura societária e de mercado das empresas envolvidas, aprovação pelos órgãos de fiscalização e de defesa econômica etc.</t>
        </is>
      </c>
      <c r="AQ17">
        <f>AO17=AP17</f>
        <v/>
      </c>
      <c r="AS17" s="60" t="inlineStr">
        <is>
          <t>16. Diligências prévias a fusões, aquisições e outras operações societárias</t>
        </is>
      </c>
      <c r="AT17" s="30" t="inlineStr">
        <is>
          <t>16. Diligências prévias a fusões, aquisições e outras operações societárias</t>
        </is>
      </c>
      <c r="AU17">
        <f>AS17=AT17</f>
        <v/>
      </c>
    </row>
    <row r="18" ht="17.25" customHeight="1">
      <c r="B18" s="3"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C18">
        <f>B18=Tabela_3__Validação_da_Tabela_PerguntaFormularioTipoAvaliacao[[#This Row],[DescTituloPerguntaFormularioTipoAvaliacao]]</f>
        <v/>
      </c>
      <c r="F18" s="57" t="inlineStr">
        <is>
          <t>21.2 A pessoa jurídica observa a legislação ambiental e mantém atualizadas as licenças ambientais exigidas para o exercício de suas atividades? Se sim, anexar documentos que comprovem o atendimento ao requisito.</t>
        </is>
      </c>
      <c r="G18" s="3" t="inlineStr">
        <is>
          <t>21.2 A pessoa jurídica observa a legislação ambiental e mantém atualizadas as licenças ambientais exigidas para o exercício de suas atividades? Se sim, anexar documentos que comprovem o atendimento ao requisito.</t>
        </is>
      </c>
      <c r="H18">
        <f>F18=G18</f>
        <v/>
      </c>
      <c r="J18" s="57" t="inlineStr">
        <is>
          <t>10.3 A pessoa jurídica realizou, nos últimos 12 meses, treinamento(s) direcionado(s) a públicos específicos, abordando conteúdo alinhado aos principais riscos daqueles públicos, como prevenção de fraudes e ilícitos em licitações e contratos administrativos, controles contábeis e financeiros, realização de diligências para contratação e supervisão de terceiros? Se sim, anexar documentos e/ou indicar, no campo correspondente, link em que seja possível visualizar os treinamentos realizados e descrever as ocasiões, temas, carga horária e público alcançado.</t>
        </is>
      </c>
      <c r="K18" s="3" t="inlineStr">
        <is>
          <t>10.3 A pessoa jurídica realizou, nos últimos 12 meses, treinamento(s) direcionado(s) a públicos específicos, abordando conteúdo alinhado aos principais riscos daqueles públicos, como prevenção de fraudes e ilícitos em licitações e contratos administrativos, controles contábeis e financeiros, realização de diligências para contratação e supervisão de terceiros? Se sim, anexar documentos e/ou indicar, no campo correspondente, link em que seja possível visualizar os treinamentos realizados e descrever as ocasiões, temas, carga horária e público alcançado.</t>
        </is>
      </c>
      <c r="L18">
        <f>J18=K18</f>
        <v/>
      </c>
      <c r="N18" s="58" t="n">
        <v>15</v>
      </c>
      <c r="O18" s="2" t="n">
        <v>15</v>
      </c>
      <c r="P18">
        <f>N18=O18</f>
        <v/>
      </c>
      <c r="Y18" s="64" t="inlineStr">
        <is>
          <t>Evidências como estatuto, política de integridade ou job description, que definem garantias da área responsável pelo programa de integridade, incluindo independência, acesso a informações, proteção contra punições arbitrárias e validade de decisões.</t>
        </is>
      </c>
      <c r="Z18" s="3" t="inlineStr">
        <is>
          <t>Evidências como estatuto, política de integridade ou job description, que definem garantias da área responsável pelo programa de integridade, incluindo independência, acesso a informações, proteção contra punições arbitrárias e validade de decisões.</t>
        </is>
      </c>
      <c r="AA18">
        <f>Y18=Z18</f>
        <v/>
      </c>
      <c r="AJ18" s="58" t="inlineStr">
        <is>
          <t>EA7. Qual o percentual de colaboradores  que possuem acesso à internet, fornecido pela pessoa jurídica, no local de trabalho?</t>
        </is>
      </c>
      <c r="AK18" s="49" t="inlineStr">
        <is>
          <t>EA7. Qual o percentual de colaboradores  que possuem acesso à internet, fornecido pela pessoa jurídica, no local de trabalho?</t>
        </is>
      </c>
      <c r="AL18">
        <f>AJ18=AK18</f>
        <v/>
      </c>
      <c r="AO18" s="58" t="inlineStr">
        <is>
          <t>Selecionar a opção que se refere ao percentual de colaboradores com acesso à internet no local de trabalho.</t>
        </is>
      </c>
      <c r="AP18" s="40" t="inlineStr">
        <is>
          <t>Selecionar a opção que se refere ao percentual de colaboradores com acesso à internet no local de trabalho.</t>
        </is>
      </c>
      <c r="AQ18">
        <f>AO18=AP18</f>
        <v/>
      </c>
      <c r="AS18" s="58" t="inlineStr">
        <is>
          <t>17. Canais disponíveis para realização de denúncias</t>
        </is>
      </c>
      <c r="AT18" s="30" t="inlineStr">
        <is>
          <t>17. Canais disponíveis para realização de denúncias</t>
        </is>
      </c>
      <c r="AU18">
        <f>AS18=AT18</f>
        <v/>
      </c>
    </row>
    <row r="19" ht="17.25" customHeight="1">
      <c r="B19" s="8" t="inlineStr">
        <is>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is>
      </c>
      <c r="C19">
        <f>B19=Tabela_3__Validação_da_Tabela_PerguntaFormularioTipoAvaliacao[[#This Row],[DescTituloPerguntaFormularioTipoAvaliacao]]</f>
        <v/>
      </c>
      <c r="J19" s="59"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K19" s="3"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L19">
        <f>J19=K19</f>
        <v/>
      </c>
      <c r="N19" s="60" t="n">
        <v>25</v>
      </c>
      <c r="O19" s="9" t="n">
        <v>25</v>
      </c>
      <c r="P19">
        <f>N19=O19</f>
        <v/>
      </c>
      <c r="Y19" s="65" t="inlineStr">
        <is>
          <t>Evidências como estatuto, política de integridade ou job description, que estabelecem a atuação direta ou supervisão da instância de integridade no fluxo de investigações e apurações.</t>
        </is>
      </c>
      <c r="Z19" s="3" t="inlineStr">
        <is>
          <t>Evidências como estatuto, política de integridade ou job description, que estabelecem a atuação direta ou supervisão da instância de integridade no fluxo de investigações e apurações.</t>
        </is>
      </c>
      <c r="AA19">
        <f>Y19=Z19</f>
        <v/>
      </c>
      <c r="AJ19" s="60" t="inlineStr">
        <is>
          <t xml:space="preserve">EA8. Quantos colaboradores possui? </t>
        </is>
      </c>
      <c r="AK19" s="1" t="inlineStr">
        <is>
          <t xml:space="preserve">EA8. Quantos colaboradores possui? </t>
        </is>
      </c>
      <c r="AL19">
        <f>AJ19=AK19</f>
        <v/>
      </c>
      <c r="AO19" s="60" t="inlineStr">
        <is>
          <t>Informar a quantidade de colaboradores que a empresa possui, incluindo funcionários, terceirizados, estagiários e aprendizes.</t>
        </is>
      </c>
      <c r="AP19" s="40" t="inlineStr">
        <is>
          <t>Informar a quantidade de colaboradores que a empresa possui, incluindo funcionários, terceirizados, estagiários e aprendizes.</t>
        </is>
      </c>
      <c r="AQ19">
        <f>AO19=AP19</f>
        <v/>
      </c>
      <c r="AS19" s="60" t="inlineStr">
        <is>
          <t>18. Tratamento e apuração de denúncias</t>
        </is>
      </c>
      <c r="AT19" s="30" t="inlineStr">
        <is>
          <t>18. Tratamento e apuração de denúncias</t>
        </is>
      </c>
      <c r="AU19">
        <f>AS19=AT19</f>
        <v/>
      </c>
    </row>
    <row r="20" ht="17.25" customHeight="1">
      <c r="B20" s="3"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C20">
        <f>B20=Tabela_3__Validação_da_Tabela_PerguntaFormularioTipoAvaliacao[[#This Row],[DescTituloPerguntaFormularioTipoAvaliacao]]</f>
        <v/>
      </c>
      <c r="J20" s="57"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K20" s="12"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L20">
        <f>J20=K20</f>
        <v/>
      </c>
      <c r="N20" s="58" t="n">
        <v>15</v>
      </c>
      <c r="O20" s="2" t="n">
        <v>15</v>
      </c>
      <c r="P20">
        <f>N20=O20</f>
        <v/>
      </c>
      <c r="Y20" s="64" t="inlineStr">
        <is>
          <t>Evidências como normas ou planejamento da pessoa jurídica que detalham a gestão de riscos, incluindo responsáveis, fluxo de aprovação, monitoramento e revisões.</t>
        </is>
      </c>
      <c r="Z20" s="3" t="inlineStr">
        <is>
          <t>Evidências como normas ou planejamento da pessoa jurídica que detalham a gestão de riscos, incluindo responsáveis, fluxo de aprovação, monitoramento e revisões.</t>
        </is>
      </c>
      <c r="AA20">
        <f>Y20=Z20</f>
        <v/>
      </c>
      <c r="AJ20" s="58" t="inlineStr">
        <is>
          <t>IP1. A pessoa jurídica se submete à regulação de agência/órgão governamental?</t>
        </is>
      </c>
      <c r="AK20" s="1" t="inlineStr">
        <is>
          <t>IP1. A pessoa jurídica se submete à regulação de agência/órgão governamental?</t>
        </is>
      </c>
      <c r="AL20">
        <f>AJ20=AK20</f>
        <v/>
      </c>
      <c r="AO20" s="58" t="inlineStr">
        <is>
          <t>Selecionar “Sim” ou “Não”, conforme o caso.</t>
        </is>
      </c>
      <c r="AP20" s="1" t="inlineStr">
        <is>
          <t>Selecionar “Sim” ou “Não”, conforme o caso.</t>
        </is>
      </c>
      <c r="AQ20">
        <f>AO20=AP20</f>
        <v/>
      </c>
      <c r="AS20" s="58" t="inlineStr">
        <is>
          <t>19. Procedimentos para interrupção de irregularidades, remediação e aplicação de medidas disciplinares</t>
        </is>
      </c>
      <c r="AT20" s="30" t="inlineStr">
        <is>
          <t>19. Procedimentos para interrupção de irregularidades, remediação e aplicação de medidas disciplinares</t>
        </is>
      </c>
      <c r="AU20">
        <f>AS20=AT20</f>
        <v/>
      </c>
    </row>
    <row r="21" ht="17.25" customHeight="1">
      <c r="B21" s="3" t="inlineStr">
        <is>
          <t>6.2 A política ou planejamento que trata da gestão de riscos:</t>
        </is>
      </c>
      <c r="C21">
        <f>B21=Tabela_3__Validação_da_Tabela_PerguntaFormularioTipoAvaliacao[[#This Row],[DescTituloPerguntaFormularioTipoAvaliacao]]</f>
        <v/>
      </c>
      <c r="J21" s="59"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K21" s="13"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L21">
        <f>J21=K21</f>
        <v/>
      </c>
      <c r="N21" s="60" t="n">
        <v>0</v>
      </c>
      <c r="O21" s="2" t="n">
        <v>0</v>
      </c>
      <c r="P21">
        <f>N21=O21</f>
        <v/>
      </c>
      <c r="Y21" s="65" t="inlineStr"/>
      <c r="Z21" s="3" t="n"/>
      <c r="AA21">
        <f>Y21=Z21</f>
        <v/>
      </c>
      <c r="AJ21" s="60" t="inlineStr">
        <is>
          <t xml:space="preserve">IP1.1. Informar quais são as agências/órgãos reguladores a que a pessoa jurídica está submetida: </t>
        </is>
      </c>
      <c r="AK21" s="51" t="inlineStr">
        <is>
          <t xml:space="preserve">IP1.1. Informar quais são as agências/órgãos reguladores a que a pessoa jurídica está submetida: </t>
        </is>
      </c>
      <c r="AL21">
        <f>AJ21=AK21</f>
        <v/>
      </c>
      <c r="AO21" s="60" t="inlineStr">
        <is>
          <t>Informar as agências/órgãos governamentais responsáveis por regular as atividades exercidas pela pessoa jurídica.</t>
        </is>
      </c>
      <c r="AP21" s="1" t="inlineStr">
        <is>
          <t>Informar as agências/órgãos governamentais responsáveis por regular as atividades exercidas pela pessoa jurídica.</t>
        </is>
      </c>
      <c r="AQ21">
        <f>AO21=AP21</f>
        <v/>
      </c>
      <c r="AS21" s="60" t="inlineStr">
        <is>
          <t>20. Monitoramento contínuo do programa de integridade</t>
        </is>
      </c>
      <c r="AT21" s="30" t="inlineStr">
        <is>
          <t>20. Monitoramento contínuo do programa de integridade</t>
        </is>
      </c>
      <c r="AU21">
        <f>AS21=AT21</f>
        <v/>
      </c>
    </row>
    <row r="22" ht="17.25" customHeight="1">
      <c r="B22" s="3" t="inlineStr">
        <is>
          <t>6.2.1 institui a periodicidade mínima para atualização/revisão do processo de análise de riscos? Se sim, informar o item ou página da política, metodologia ou outro documento que comprove a existência do requisito.</t>
        </is>
      </c>
      <c r="C22">
        <f>B22=Tabela_3__Validação_da_Tabela_PerguntaFormularioTipoAvaliacao[[#This Row],[DescTituloPerguntaFormularioTipoAvaliacao]]</f>
        <v/>
      </c>
      <c r="J22" s="57"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K22" s="3"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L22">
        <f>J22=K22</f>
        <v/>
      </c>
      <c r="N22" s="58" t="n">
        <v>5</v>
      </c>
      <c r="O22" s="2" t="n">
        <v>5</v>
      </c>
      <c r="P22">
        <f>N22=O22</f>
        <v/>
      </c>
      <c r="Y22" s="64" t="inlineStr">
        <is>
          <t>Evidências como normas ou planejamento da pessoa jurídica que detalham revisões e a periodicidade mínima para atualização/revisão do processo de análise de riscos.</t>
        </is>
      </c>
      <c r="Z22" s="3" t="inlineStr">
        <is>
          <t>Evidências como normas ou planejamento da pessoa jurídica que detalham revisões e a periodicidade mínima para atualização/revisão do processo de análise de riscos.</t>
        </is>
      </c>
      <c r="AA22">
        <f>Y22=Z22</f>
        <v/>
      </c>
      <c r="AJ22" s="58" t="inlineStr">
        <is>
          <t xml:space="preserve">IP2. Em relação à obtenção de licenças, autorizações e permissões governamentais, como poderia ser classificada a situação da pessoa jurídica? </t>
        </is>
      </c>
      <c r="AK22" s="1" t="inlineStr">
        <is>
          <t xml:space="preserve">IP2. Em relação à obtenção de licenças, autorizações e permissões governamentais, como poderia ser classificada a situação da pessoa jurídica? </t>
        </is>
      </c>
      <c r="AL22">
        <f>AJ22=AK22</f>
        <v/>
      </c>
      <c r="AO22" s="58" t="inlineStr">
        <is>
          <t>Selecionar a opção que se refere à situação da pessoa jurídica com relação às licenças, autorizações e permissões governamentais.</t>
        </is>
      </c>
      <c r="AP22" s="1" t="inlineStr">
        <is>
          <t>Selecionar a opção que se refere à situação da pessoa jurídica com relação às licenças, autorizações e permissões governamentais.</t>
        </is>
      </c>
      <c r="AQ22">
        <f>AO22=AP22</f>
        <v/>
      </c>
      <c r="AS22" s="58" t="inlineStr">
        <is>
          <t>21. Responsabilidade Ambiental</t>
        </is>
      </c>
      <c r="AT22" s="31" t="inlineStr">
        <is>
          <t>21. Responsabilidade Ambiental</t>
        </is>
      </c>
      <c r="AU22">
        <f>AS22=AT22</f>
        <v/>
      </c>
    </row>
    <row r="23" ht="17.25" customHeight="1">
      <c r="B23" s="3" t="inlineStr">
        <is>
          <t>6.2.2 determina a área ou pessoa responsável pela gestão de riscos? Se sim, informar o item ou página da política, metodologia ou outro documento que comprove a existência do requisito.</t>
        </is>
      </c>
      <c r="C23">
        <f>B23=Tabela_3__Validação_da_Tabela_PerguntaFormularioTipoAvaliacao[[#This Row],[DescTituloPerguntaFormularioTipoAvaliacao]]</f>
        <v/>
      </c>
      <c r="J23" s="59"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K23" s="3"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L23">
        <f>J23=K23</f>
        <v/>
      </c>
      <c r="N23" s="60" t="n">
        <v>5</v>
      </c>
      <c r="O23" s="2" t="n">
        <v>5</v>
      </c>
      <c r="P23">
        <f>N23=O23</f>
        <v/>
      </c>
      <c r="Y23" s="65" t="inlineStr">
        <is>
          <t>Evidências como normas ou planejamento da pessoa jurídica que determina a área ou pessoa responsável pela gestão de riscos no âmbito do processo de análise de riscos.</t>
        </is>
      </c>
      <c r="Z23" s="3" t="inlineStr">
        <is>
          <t>Evidências como normas ou planejamento da pessoa jurídica que determina a área ou pessoa responsável pela gestão de riscos no âmbito do processo de análise de riscos.</t>
        </is>
      </c>
      <c r="AA23">
        <f>Y23=Z23</f>
        <v/>
      </c>
      <c r="AJ23" s="60" t="inlineStr">
        <is>
          <t xml:space="preserve">IP2.1. Descrever as licenças, autorizações e permissões das quais a pessoa jurídica necessite: </t>
        </is>
      </c>
      <c r="AK23" s="51" t="inlineStr">
        <is>
          <t xml:space="preserve">IP2.1. Descrever as licenças, autorizações e permissões das quais a pessoa jurídica necessite: </t>
        </is>
      </c>
      <c r="AL23">
        <f>AJ23=AK23</f>
        <v/>
      </c>
      <c r="AO23" s="60" t="inlineStr">
        <is>
          <t>Informar as licenças, autorizações e permissões das quais a pessoa jurídica necessite no exercício de suas atividades, incluindo licenças básicas para funcionamento.</t>
        </is>
      </c>
      <c r="AP23" s="1" t="inlineStr">
        <is>
          <t>Informar as licenças, autorizações e permissões das quais a pessoa jurídica necessite no exercício de suas atividades, incluindo licenças básicas para funcionamento.</t>
        </is>
      </c>
      <c r="AQ23">
        <f>AO23=AP23</f>
        <v/>
      </c>
      <c r="AS23" s="60" t="inlineStr">
        <is>
          <t>22. Responsabilidade Social</t>
        </is>
      </c>
      <c r="AT23" s="31" t="inlineStr">
        <is>
          <t>22. Responsabilidade Social</t>
        </is>
      </c>
      <c r="AU23">
        <f>AS23=AT23</f>
        <v/>
      </c>
    </row>
    <row r="24" ht="17.25" customHeight="1">
      <c r="B24" s="3" t="inlineStr">
        <is>
          <t>6.2.3 inclui sua revisão e aprovação pela alta direção? Se sim, informar o item ou página da política, metodologia ou outro documento que comprove a existência do requisito.</t>
        </is>
      </c>
      <c r="C24">
        <f>B24=Tabela_3__Validação_da_Tabela_PerguntaFormularioTipoAvaliacao[[#This Row],[DescTituloPerguntaFormularioTipoAvaliacao]]</f>
        <v/>
      </c>
      <c r="J24" s="57" t="inlineStr">
        <is>
          <t>16.2 A pessoa jurídica realizou diligências prévias a fusões, aquisições e outras operações societárias nos últimos 24 meses? Se sim, anexar documentos que comprovem a aplicação das políticas/procedimentos.</t>
        </is>
      </c>
      <c r="K24" s="8" t="inlineStr">
        <is>
          <t>16.2 A pessoa jurídica realizou diligências prévias a fusões, aquisições e outras operações societárias nos últimos 24 meses? Se sim, anexar documentos que comprovem a aplicação das políticas/procedimentos.</t>
        </is>
      </c>
      <c r="L24">
        <f>J24=K24</f>
        <v/>
      </c>
      <c r="N24" s="58" t="n">
        <v>5</v>
      </c>
      <c r="O24" s="2" t="n">
        <v>5</v>
      </c>
      <c r="P24">
        <f>N24=O24</f>
        <v/>
      </c>
      <c r="Y24" s="64" t="inlineStr">
        <is>
          <t>Evidências como normas, atas de reunião ou planejamento da pessoa jurídica que incluem e detalham revisões e aprovação, por parte da alta direção, na gestão dos riscos.</t>
        </is>
      </c>
      <c r="Z24" s="3" t="inlineStr">
        <is>
          <t>Evidências como normas, atas de reunião ou planejamento da pessoa jurídica que incluem e detalham revisões e aprovação, por parte da alta direção, na gestão dos riscos.</t>
        </is>
      </c>
      <c r="AA24">
        <f>Y24=Z24</f>
        <v/>
      </c>
      <c r="AJ24" s="58" t="inlineStr">
        <is>
          <t xml:space="preserve">IP3. Em relação à participação em licitações públicas, como poderia ser classificada a situação da pessoa jurídica? </t>
        </is>
      </c>
      <c r="AK24" s="1" t="inlineStr">
        <is>
          <t xml:space="preserve">IP3. Em relação à participação em licitações públicas, como poderia ser classificada a situação da pessoa jurídica? </t>
        </is>
      </c>
      <c r="AL24">
        <f>AJ24=AK24</f>
        <v/>
      </c>
      <c r="AO24" s="58" t="inlineStr">
        <is>
          <t>Selecionar a opção que se refere à situação da pessoa jurídica com relação a sua participação em licitações públicas.</t>
        </is>
      </c>
      <c r="AP24" s="1" t="inlineStr">
        <is>
          <t>Selecionar a opção que se refere à situação da pessoa jurídica com relação a sua participação em licitações públicas.</t>
        </is>
      </c>
      <c r="AQ24">
        <f>AO24=AP24</f>
        <v/>
      </c>
      <c r="AS24" s="58" t="inlineStr">
        <is>
          <t>23. Transparência</t>
        </is>
      </c>
      <c r="AT24" s="32" t="inlineStr">
        <is>
          <t>23. Transparência</t>
        </is>
      </c>
      <c r="AU24">
        <f>AS24=AT24</f>
        <v/>
      </c>
    </row>
    <row r="25" ht="17.25" customHeight="1">
      <c r="B25" s="4"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C25">
        <f>B25=Tabela_3__Validação_da_Tabela_PerguntaFormularioTipoAvaliacao[[#This Row],[DescTituloPerguntaFormularioTipoAvaliacao]]</f>
        <v/>
      </c>
      <c r="J25" s="59"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K25" s="3"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L25">
        <f>J25=K25</f>
        <v/>
      </c>
      <c r="N25" s="60" t="n">
        <v>20</v>
      </c>
      <c r="O25" s="2" t="n">
        <v>20</v>
      </c>
      <c r="P25">
        <f>N25=O25</f>
        <v/>
      </c>
      <c r="Y25" s="65" t="inlineStr">
        <is>
          <t>Evidências da análise de riscos para integridade, relacionadas à corrupção e fraude, realizada pela própria pessoa jurídica ou por terceiros, como relatórios internos, matriz de risco, e relatórios de consultorias.</t>
        </is>
      </c>
      <c r="Z25" s="3" t="inlineStr">
        <is>
          <t>Evidências da análise de riscos para integridade, relacionadas à corrupção e fraude, realizada pela própria pessoa jurídica ou por terceiros, como relatórios internos, matriz de risco, e relatórios de consultorias.</t>
        </is>
      </c>
      <c r="AA25">
        <f>Y25=Z25</f>
        <v/>
      </c>
      <c r="AJ25" s="60" t="inlineStr">
        <is>
          <t xml:space="preserve">IP4. Em relação à celebração de contratos com a Administração Pública, como poderia ser classificada a situação da pessoa jurídica? </t>
        </is>
      </c>
      <c r="AK25" s="1" t="inlineStr">
        <is>
          <t xml:space="preserve">IP4. Em relação à celebração de contratos com a Administração Pública, como poderia ser classificada a situação da pessoa jurídica? </t>
        </is>
      </c>
      <c r="AL25">
        <f>AJ25=AK25</f>
        <v/>
      </c>
      <c r="AO25" s="60" t="inlineStr">
        <is>
          <t>Selecionar a opção que se refere à situação da pessoa jurídica com relação à celebração de contratos com a Administração Pública.</t>
        </is>
      </c>
      <c r="AP25" s="1" t="inlineStr">
        <is>
          <t>Selecionar a opção que se refere à situação da pessoa jurídica com relação à celebração de contratos com a Administração Pública.</t>
        </is>
      </c>
      <c r="AQ25">
        <f>AO25=AP25</f>
        <v/>
      </c>
    </row>
    <row r="26" ht="17.25" customHeight="1">
      <c r="B26" s="10" t="inlineStr">
        <is>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is>
      </c>
      <c r="C26">
        <f>B26=Tabela_3__Validação_da_Tabela_PerguntaFormularioTipoAvaliacao[[#This Row],[DescTituloPerguntaFormularioTipoAvaliacao]]</f>
        <v/>
      </c>
      <c r="J26" s="57" t="inlineStr">
        <is>
          <t>18.2.1 salvaguardas e prerrogativas de acesso a documentos, sistemas e pessoas por parte dos responsáveis pela apuração? Se sim, anexar a política ou procedimentos e indicar o(s) dispositivo(s) do documento que atenda(m) ao requisito.</t>
        </is>
      </c>
      <c r="K26" s="3" t="inlineStr">
        <is>
          <t>18.2.1 salvaguardas e prerrogativas de acesso a documentos, sistemas e pessoas por parte dos responsáveis pela apuração? Se sim, anexar a política ou procedimentos e indicar o(s) dispositivo(s) do documento que atenda(m) ao requisito.</t>
        </is>
      </c>
      <c r="L26">
        <f>J26=K26</f>
        <v/>
      </c>
      <c r="N26" s="58" t="n">
        <v>5</v>
      </c>
      <c r="O26" s="2" t="n">
        <v>5</v>
      </c>
      <c r="P26">
        <f>N26=O26</f>
        <v/>
      </c>
      <c r="Y26" s="64" t="inlineStr">
        <is>
          <t>Evidências como matriz de riscos e relatórios, que identificam e classificam riscos de integridade relacionados à participação em licitações e na execução de contratos administrativos</t>
        </is>
      </c>
      <c r="Z26" s="3" t="inlineStr">
        <is>
          <t>Evidências como matriz de riscos e relatórios, que identificam e classificam riscos de integridade relacionados à participação em licitações e na execução de contratos administrativos</t>
        </is>
      </c>
      <c r="AA26">
        <f>Y26=Z26</f>
        <v/>
      </c>
      <c r="AJ26" s="58" t="inlineStr">
        <is>
          <t xml:space="preserve">IP5. Qual das faixas mais se aproxima do percentual médio do faturamento proveniente de contratos firmados com o poder público? </t>
        </is>
      </c>
      <c r="AK26" s="40" t="inlineStr">
        <is>
          <t xml:space="preserve">IP5. Qual das faixas mais se aproxima do percentual médio do faturamento proveniente de contratos firmados com o poder público? </t>
        </is>
      </c>
      <c r="AL26">
        <f>AJ26=AK26</f>
        <v/>
      </c>
      <c r="AO26" s="58" t="inlineStr">
        <is>
          <t>Selecionar a opção que se refere ao % que os contratos representam do faturamento total da pessoa jurídica. Caso não os possua, selecionar “0%”.</t>
        </is>
      </c>
      <c r="AP26" s="40" t="inlineStr">
        <is>
          <t>Selecionar a opção que se refere ao % que os contratos representam do faturamento total da pessoa jurídica. Caso não os possua, selecionar “0%”.</t>
        </is>
      </c>
      <c r="AQ26">
        <f>AO26=AP26</f>
        <v/>
      </c>
    </row>
    <row r="27" ht="17.25" customHeight="1">
      <c r="B27" s="3" t="inlineStr">
        <is>
          <t>6.3.2 A análise de riscos realizada contempla a classificação dos riscos com base em sua probabilidade e impacto?  Se sim, anexar a matriz de riscos ou documento equivalente que contenha a análise e avaliação dos riscos com base em seu impacto e probabilidade.</t>
        </is>
      </c>
      <c r="C27">
        <f>B27=Tabela_3__Validação_da_Tabela_PerguntaFormularioTipoAvaliacao[[#This Row],[DescTituloPerguntaFormularioTipoAvaliacao]]</f>
        <v/>
      </c>
      <c r="J27" s="59"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K27" s="3"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L27">
        <f>J27=K27</f>
        <v/>
      </c>
      <c r="N27" s="60" t="n">
        <v>5</v>
      </c>
      <c r="O27" s="2" t="n">
        <v>5</v>
      </c>
      <c r="P27">
        <f>N27=O27</f>
        <v/>
      </c>
      <c r="Y27" s="65" t="inlineStr">
        <is>
          <t>Evidências como matriz de riscos e relatórios, que identificam e classificam riscos de integridade, avaliando sua probabilidade e impacto.</t>
        </is>
      </c>
      <c r="Z27" s="3" t="inlineStr">
        <is>
          <t>Evidências como matriz de riscos e relatórios, que identificam e classificam riscos de integridade, avaliando sua probabilidade e impacto.</t>
        </is>
      </c>
      <c r="AA27">
        <f>Y27=Z27</f>
        <v/>
      </c>
      <c r="AJ27" s="60" t="inlineStr">
        <is>
          <t>IP6. Utiliza intermediários no contato com a Administração Pública para execução de contratos administrativos, obtenção de autorizações, licenças e permissões, protocolo de documentos, desembaraço aduaneiro etc.?</t>
        </is>
      </c>
      <c r="AK27" s="40" t="inlineStr">
        <is>
          <t>IP6. Utiliza intermediários no contato com a Administração Pública para execução de contratos administrativos, obtenção de autorizações, licenças e permissões, protocolo de documentos, desembaraço aduaneiro etc.?</t>
        </is>
      </c>
      <c r="AL27">
        <f>AJ27=AK27</f>
        <v/>
      </c>
      <c r="AO27" s="60" t="inlineStr">
        <is>
          <t>Selecionar “Sim” ou “Não”, conforme o caso. Intermediários incluem: consultores, advogados, assessores, despachantes, procuradores etc.</t>
        </is>
      </c>
      <c r="AP27" s="40" t="inlineStr">
        <is>
          <t>Selecionar “Sim” ou “Não”, conforme o caso. Intermediários incluem: consultores, advogados, assessores, despachantes, procuradores etc.</t>
        </is>
      </c>
      <c r="AQ27">
        <f>AO27=AP27</f>
        <v/>
      </c>
    </row>
    <row r="28" ht="17.25" customHeight="1">
      <c r="B28" s="8"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C28">
        <f>B28=Tabela_3__Validação_da_Tabela_PerguntaFormularioTipoAvaliacao[[#This Row],[DescTituloPerguntaFormularioTipoAvaliacao]]</f>
        <v/>
      </c>
      <c r="J28" s="57" t="inlineStr">
        <is>
          <t>21.2 A pessoa jurídica observa a legislação ambiental e mantém atualizadas as licenças ambientais exigidas para o exercício de suas atividades? Se sim, anexar documentos que comprovem o atendimento ao requisito.</t>
        </is>
      </c>
      <c r="K28" s="3" t="inlineStr">
        <is>
          <t>21.2 A pessoa jurídica observa a legislação ambiental e mantém atualizadas as licenças ambientais exigidas para o exercício de suas atividades? Se sim, anexar documentos que comprovem o atendimento ao requisito.</t>
        </is>
      </c>
      <c r="L28">
        <f>J28=K28</f>
        <v/>
      </c>
      <c r="N28" s="58" t="n">
        <v>18</v>
      </c>
      <c r="O28" s="9" t="n">
        <v>18</v>
      </c>
      <c r="P28">
        <f>N28=O28</f>
        <v/>
      </c>
      <c r="Y28" s="64" t="inlineStr">
        <is>
          <t>Evidências como matriz de riscos e relatórios, com as medidas voltadas para a mitigação dos riscos identificados.</t>
        </is>
      </c>
      <c r="Z28" s="3" t="inlineStr">
        <is>
          <t>Evidências como matriz de riscos e relatórios, com as medidas voltadas para a mitigação dos riscos identificados.</t>
        </is>
      </c>
      <c r="AA28">
        <f>Y28=Z28</f>
        <v/>
      </c>
      <c r="AJ28" s="58" t="inlineStr">
        <is>
          <t xml:space="preserve">IP6.1. Descrever como ocorreu a utilização de intermediários no contato com a Administração Pública por parte da pessoa jurídica: </t>
        </is>
      </c>
      <c r="AK28" s="51" t="inlineStr">
        <is>
          <t xml:space="preserve">IP6.1. Descrever como ocorreu a utilização de intermediários no contato com a Administração Pública por parte da pessoa jurídica: </t>
        </is>
      </c>
      <c r="AL28">
        <f>AJ28=AK28</f>
        <v/>
      </c>
      <c r="AO28" s="58" t="inlineStr">
        <is>
          <t>Ex.: data, terceiro contratado, objeto, órgão ou entidade pública relacionada, atividades desempenhadas etc.</t>
        </is>
      </c>
      <c r="AP28" s="40" t="inlineStr">
        <is>
          <t>Ex.: data, terceiro contratado, objeto, órgão ou entidade pública relacionada, atividades desempenhadas etc.</t>
        </is>
      </c>
      <c r="AQ28">
        <f>AO28=AP28</f>
        <v/>
      </c>
    </row>
    <row r="29" ht="17.25" customHeight="1">
      <c r="B29" s="4" t="inlineStr">
        <is>
          <t>7.1 A pessoa jurídica possui código de ética e conduta, ou documento equivalente, disponível em português? Se sim, anexar o código ou documento equivalente.</t>
        </is>
      </c>
      <c r="C29">
        <f>B29=Tabela_3__Validação_da_Tabela_PerguntaFormularioTipoAvaliacao[[#This Row],[DescTituloPerguntaFormularioTipoAvaliacao]]</f>
        <v/>
      </c>
      <c r="J29" s="59"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K29" s="3"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L29">
        <f>J29=K29</f>
        <v/>
      </c>
      <c r="N29" s="60" t="n">
        <v>20</v>
      </c>
      <c r="O29" s="2" t="n">
        <v>20</v>
      </c>
      <c r="P29">
        <f>N29=O29</f>
        <v/>
      </c>
      <c r="Y29" s="65" t="inlineStr">
        <is>
          <t>Evidência baseada no Código de Ética e Conduta, ou documento equivalente, em língua portuguesa.</t>
        </is>
      </c>
      <c r="Z29" s="3" t="inlineStr">
        <is>
          <t>Evidência baseada no Código de Ética e Conduta, ou documento equivalente, em língua portuguesa.</t>
        </is>
      </c>
      <c r="AA29">
        <f>Y29=Z29</f>
        <v/>
      </c>
      <c r="AJ29" s="60" t="inlineStr">
        <is>
          <t>IP7. A pessoa jurídica subcontratou atividades relacionadas à execução de contratos administrativos?</t>
        </is>
      </c>
      <c r="AK29" s="12" t="inlineStr">
        <is>
          <t>IP7. A pessoa jurídica subcontratou atividades relacionadas à execução de contratos administrativos?</t>
        </is>
      </c>
      <c r="AL29">
        <f>AJ29=AK29</f>
        <v/>
      </c>
      <c r="AO29" s="60" t="inlineStr">
        <is>
          <t>Selecionar “Sim” ou “Não”, conforme o caso. Entende-se por “subcontratação” a situação em que a pessoa jurídica contrata um terceiro para executar determinada parcela do contrato administrativo.</t>
        </is>
      </c>
      <c r="AP29" s="50" t="inlineStr">
        <is>
          <t>Selecionar “Sim” ou “Não”, conforme o caso. Entende-se por “subcontratação” a situação em que a pessoa jurídica contrata um terceiro para executar determinada parcela do contrato administrativo.</t>
        </is>
      </c>
      <c r="AQ29">
        <f>AO29=AP29</f>
        <v/>
      </c>
    </row>
    <row r="30" ht="17.25" customHeight="1">
      <c r="B30" s="3" t="inlineStr">
        <is>
          <t>7.2 O código de ética e conduta ou documento equivalente:</t>
        </is>
      </c>
      <c r="C30">
        <f>B30=Tabela_3__Validação_da_Tabela_PerguntaFormularioTipoAvaliacao[[#This Row],[DescTituloPerguntaFormularioTipoAvaliacao]]</f>
        <v/>
      </c>
      <c r="J30" s="57"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K30" s="3"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L30">
        <f>J30=K30</f>
        <v/>
      </c>
      <c r="N30" s="58" t="n">
        <v>0</v>
      </c>
      <c r="O30" s="2" t="n">
        <v>0</v>
      </c>
      <c r="P30">
        <f>N30=O30</f>
        <v/>
      </c>
      <c r="Y30" s="64" t="inlineStr"/>
      <c r="Z30" s="3" t="n"/>
      <c r="AA30">
        <f>Y30=Z30</f>
        <v/>
      </c>
      <c r="AJ30" s="58" t="inlineStr">
        <is>
          <t xml:space="preserve">IP7.1. Explicar como ocorreram as subcontratações de atividades relacionadas à execução de contratos administrativos por parte da pessoa jurídica: </t>
        </is>
      </c>
      <c r="AK30" s="51" t="inlineStr">
        <is>
          <t xml:space="preserve">IP7.1. Explicar como ocorreram as subcontratações de atividades relacionadas à execução de contratos administrativos por parte da pessoa jurídica: </t>
        </is>
      </c>
      <c r="AL30">
        <f>AJ30=AK30</f>
        <v/>
      </c>
      <c r="AO30" s="58" t="inlineStr">
        <is>
          <t>Ex.: data, contrato administrativo, terceiro e objeto subcontratado, aprovação pelo órgão ou entidade pública etc.</t>
        </is>
      </c>
      <c r="AP30" s="40" t="inlineStr">
        <is>
          <t>Ex.: data, contrato administrativo, terceiro e objeto subcontratado, aprovação pelo órgão ou entidade pública etc.</t>
        </is>
      </c>
      <c r="AQ30">
        <f>AO30=AP30</f>
        <v/>
      </c>
    </row>
    <row r="31" ht="17.25" customHeight="1">
      <c r="B31" s="3" t="inlineStr">
        <is>
          <t>7.2.1 foi formalmente aprovado pela alta direção da pessoa jurídica? Se sim, anexar documento ou registro que comprove a aprovação do código pela alta direção da entidade.</t>
        </is>
      </c>
      <c r="C31">
        <f>B31=Tabela_3__Validação_da_Tabela_PerguntaFormularioTipoAvaliacao[[#This Row],[DescTituloPerguntaFormularioTipoAvaliacao]]</f>
        <v/>
      </c>
      <c r="N31" s="60" t="n">
        <v>5</v>
      </c>
      <c r="O31" s="2" t="n">
        <v>5</v>
      </c>
      <c r="P31">
        <f>N31=O31</f>
        <v/>
      </c>
      <c r="Y31" s="65" t="inlineStr">
        <is>
          <t>Evidência que valide a aprovação da alta direção, como ata de reunião, aprovação ou mensagem constante no próprio Código.</t>
        </is>
      </c>
      <c r="Z31" s="3" t="inlineStr">
        <is>
          <t>Evidência que valide a aprovação da alta direção, como ata de reunião, aprovação ou mensagem constante no próprio Código.</t>
        </is>
      </c>
      <c r="AA31">
        <f>Y31=Z31</f>
        <v/>
      </c>
      <c r="AJ31" s="60" t="inlineStr">
        <is>
          <t xml:space="preserve">DP1. A pessoa jurídica realizou patrocínios esportivos ou culturais, nos últimos 24 meses? </t>
        </is>
      </c>
      <c r="AK31" s="40" t="inlineStr">
        <is>
          <t xml:space="preserve">DP1. A pessoa jurídica realizou patrocínios esportivos ou culturais, nos últimos 24 meses? </t>
        </is>
      </c>
      <c r="AL31">
        <f>AJ31=AK31</f>
        <v/>
      </c>
      <c r="AO31" s="60" t="inlineStr">
        <is>
          <t>Selecionar “Sim” ou “Não”, conforme o caso.</t>
        </is>
      </c>
      <c r="AP31" s="40" t="inlineStr">
        <is>
          <t>Selecionar “Sim” ou “Não”, conforme o caso.</t>
        </is>
      </c>
      <c r="AQ31">
        <f>AO31=AP31</f>
        <v/>
      </c>
    </row>
    <row r="32" ht="17.25" customHeight="1">
      <c r="B32" s="3" t="inlineStr">
        <is>
          <t>7.2.2 inclui expressamente a ética e/ou a integridade entre os princípios ou valores da pessoa jurídica?  Se sim, indicar o dispositivo do código que atenda ao requisito.</t>
        </is>
      </c>
      <c r="C32">
        <f>B32=Tabela_3__Validação_da_Tabela_PerguntaFormularioTipoAvaliacao[[#This Row],[DescTituloPerguntaFormularioTipoAvaliacao]]</f>
        <v/>
      </c>
      <c r="N32" s="58" t="n">
        <v>5</v>
      </c>
      <c r="O32" s="2" t="n">
        <v>5</v>
      </c>
      <c r="P32">
        <f>N32=O32</f>
        <v/>
      </c>
      <c r="Y32" s="64" t="inlineStr">
        <is>
          <t>Evidência que destaque a seção e a página do Código de Ética e Conduta ou documento equivalente onde a ética e/ou integridade são mencionadas expressamente como princípios ou valores da pessoa jurídica.</t>
        </is>
      </c>
      <c r="Z32" s="3" t="inlineStr">
        <is>
          <t>Evidência que destaque a seção e a página do Código de Ética e Conduta ou documento equivalente onde a ética e/ou integridade são mencionadas expressamente como princípios ou valores da pessoa jurídica.</t>
        </is>
      </c>
      <c r="AA32">
        <f>Y32=Z32</f>
        <v/>
      </c>
      <c r="AJ32" s="58" t="inlineStr">
        <is>
          <t xml:space="preserve">DP2. A pessoa jurídica efetuou doações, nos últimos 24 meses? </t>
        </is>
      </c>
      <c r="AK32" s="40" t="inlineStr">
        <is>
          <t xml:space="preserve">DP2. A pessoa jurídica efetuou doações, nos últimos 24 meses? </t>
        </is>
      </c>
      <c r="AL32">
        <f>AJ32=AK32</f>
        <v/>
      </c>
      <c r="AO32" s="58" t="inlineStr">
        <is>
          <t>Selecionar “Sim” ou “Não”, conforme o caso.</t>
        </is>
      </c>
      <c r="AP32" s="40" t="inlineStr">
        <is>
          <t>Selecionar “Sim” ou “Não”, conforme o caso.</t>
        </is>
      </c>
      <c r="AQ32">
        <f>AO32=AP32</f>
        <v/>
      </c>
    </row>
    <row r="33" ht="17.25" customHeight="1">
      <c r="B33" s="3" t="inlineStr">
        <is>
          <t>7.2.3 está alinhado com a legislação anticorrupção brasileira, contendo vedações expressas à prática de atos de corrupção e fraude e prevenção de conflito de interesses? Se sim, indicar o(s) dispositivo(s) do código que atenda(m) ao requisito.</t>
        </is>
      </c>
      <c r="C33">
        <f>B33=Tabela_3__Validação_da_Tabela_PerguntaFormularioTipoAvaliacao[[#This Row],[DescTituloPerguntaFormularioTipoAvaliacao]]</f>
        <v/>
      </c>
      <c r="N33" s="60" t="n">
        <v>5</v>
      </c>
      <c r="O33" s="2" t="n">
        <v>5</v>
      </c>
      <c r="P33">
        <f>N33=O33</f>
        <v/>
      </c>
      <c r="Y33" s="65" t="inlineStr">
        <is>
          <t>Evidência que indique a seção e a página do Código de Ética e Conduta ou documento equivalente onde constam vedações expressas à prática de atos de corrupção e fraude e a prevenção de conflitos de interesses, alinhados com a legislação anticorrupção brasileira.</t>
        </is>
      </c>
      <c r="Z33" s="3" t="inlineStr">
        <is>
          <t>Evidência que indique a seção e a página do Código de Ética e Conduta ou documento equivalente onde constam vedações expressas à prática de atos de corrupção e fraude e a prevenção de conflitos de interesses, alinhados com a legislação anticorrupção brasileira.</t>
        </is>
      </c>
      <c r="AA33">
        <f>Y33=Z33</f>
        <v/>
      </c>
      <c r="AJ33" s="60" t="inlineStr">
        <is>
          <t>PS1. A atividade da pessoa jurídica envolve potencial de dano ao meio ambiente?</t>
        </is>
      </c>
      <c r="AK33" s="47" t="inlineStr">
        <is>
          <t>PS1. A atividade da pessoa jurídica envolve potencial de dano ao meio ambiente?</t>
        </is>
      </c>
      <c r="AL33">
        <f>AJ33=AK33</f>
        <v/>
      </c>
      <c r="AO33" s="60" t="inlineStr">
        <is>
          <t>Selecionar “Sim” ou “Não”, conforme o caso.</t>
        </is>
      </c>
      <c r="AP33" s="47" t="inlineStr">
        <is>
          <t>Selecionar “Sim” ou “Não”, conforme o caso.</t>
        </is>
      </c>
      <c r="AQ33">
        <f>AO33=AP33</f>
        <v/>
      </c>
    </row>
    <row r="34" ht="17.25" customHeight="1">
      <c r="B34" s="3" t="inlineStr">
        <is>
          <t>7.2.4 expressa o compromisso da pessoa jurídica em combater o preconceito, a discriminação e o assédio de qualquer natureza em suas relações internas e externas?  Se sim, indicar o(s) dispositivo(s) do código que atenda(m) ao requisito.</t>
        </is>
      </c>
      <c r="C34">
        <f>B34=Tabela_3__Validação_da_Tabela_PerguntaFormularioTipoAvaliacao[[#This Row],[DescTituloPerguntaFormularioTipoAvaliacao]]</f>
        <v/>
      </c>
      <c r="N34" s="58" t="n">
        <v>5</v>
      </c>
      <c r="O34" s="2" t="n">
        <v>5</v>
      </c>
      <c r="P34">
        <f>N34=O34</f>
        <v/>
      </c>
      <c r="Y34" s="64" t="inlineStr">
        <is>
          <t>Evidência que destaque a seção e a página do Código de Ética e Conduta ou documento equivalente onde a pessoa jurídica reafirma seu compromisso contra o preconceito, a discriminação e o assédio em todas as suas relações.</t>
        </is>
      </c>
      <c r="Z34" s="3" t="inlineStr">
        <is>
          <t>Evidência que destaque a seção e a página do Código de Ética e Conduta ou documento equivalente onde a pessoa jurídica reafirma seu compromisso contra o preconceito, a discriminação e o assédio em todas as suas relações.</t>
        </is>
      </c>
      <c r="AA34">
        <f>Y34=Z34</f>
        <v/>
      </c>
      <c r="AJ34" s="58" t="inlineStr">
        <is>
          <t>PS1. 1 Apresentar justificativas por entender que não possui atividades que podem causar impactos ambientais:</t>
        </is>
      </c>
      <c r="AK34" s="55" t="inlineStr">
        <is>
          <t>PS1. 1 Apresentar justificativas por entender que não possui atividades que podem causar impactos ambientais:</t>
        </is>
      </c>
      <c r="AL34">
        <f>AJ34=AK34</f>
        <v/>
      </c>
      <c r="AO34" s="58" t="inlineStr">
        <is>
          <t>Explique os motivos que levaram a pessoa jurídica a concluir que suas atividades não geram impactos ambientais, tais como: localização, natureza das operações, uso mínimo de recursos naturais etc., e outras avaliações que fundamentem essa avaliação.</t>
        </is>
      </c>
      <c r="AP34" s="47" t="inlineStr">
        <is>
          <t>Explique os motivos que levaram a pessoa jurídica a concluir que suas atividades não geram impactos ambientais, tais como: localização, natureza das operações, uso mínimo de recursos naturais etc., e outras avaliações que fundamentem essa avaliação.</t>
        </is>
      </c>
      <c r="AQ34">
        <f>AO34=AP34</f>
        <v/>
      </c>
    </row>
    <row r="35" ht="17.25" customHeight="1">
      <c r="B35" s="3" t="inlineStr">
        <is>
          <t>7.2.5 estabelece as condutas permitidas e proibidas na pessoa jurídica?  Se sim, indicar o(s) dispositivo(s) do código que atenda(m) ao requisito.</t>
        </is>
      </c>
      <c r="C35">
        <f>B35=Tabela_3__Validação_da_Tabela_PerguntaFormularioTipoAvaliacao[[#This Row],[DescTituloPerguntaFormularioTipoAvaliacao]]</f>
        <v/>
      </c>
      <c r="N35" s="60" t="n">
        <v>5</v>
      </c>
      <c r="O35" s="2" t="n">
        <v>5</v>
      </c>
      <c r="P35">
        <f>N35=O35</f>
        <v/>
      </c>
      <c r="Y35" s="65" t="inlineStr">
        <is>
          <t>Evidência que indique a seção e a página do Código de Ética e Conduta ou documento equivalente onde se estabelecem as condutas permitidas e proibidas dentro da pessoa jurídica.</t>
        </is>
      </c>
      <c r="Z35" s="3" t="inlineStr">
        <is>
          <t>Evidência que indique a seção e a página do Código de Ética e Conduta ou documento equivalente onde se estabelecem as condutas permitidas e proibidas dentro da pessoa jurídica.</t>
        </is>
      </c>
      <c r="AA35">
        <f>Y35=Z35</f>
        <v/>
      </c>
      <c r="AJ35" s="60" t="inlineStr">
        <is>
          <t>PI1. Quando entende que seu programa de integridade foi formalmente instituído?</t>
        </is>
      </c>
      <c r="AK35" s="1" t="inlineStr">
        <is>
          <t>PI1. Quando entende que seu programa de integridade foi formalmente instituído?</t>
        </is>
      </c>
      <c r="AL35">
        <f>AJ35=AK35</f>
        <v/>
      </c>
      <c r="AO35" s="60" t="inlineStr">
        <is>
          <t>Selecionar a opção que se refere ao tempo decorrido desde o ano de instituição do programa de integridade. Conforme a existência dos seguintes elementos básicos: Código de Ética/Conduta; Canal de Denúncias; e Área Específica ou Pessoa Responsável pelo programa.</t>
        </is>
      </c>
      <c r="AP35" s="1" t="inlineStr">
        <is>
          <t>Selecionar a opção que se refere ao tempo decorrido desde o ano de instituição do programa de integridade. Conforme a existência dos seguintes elementos básicos: Código de Ética/Conduta; Canal de Denúncias; e Área Específica ou Pessoa Responsável pelo programa.</t>
        </is>
      </c>
      <c r="AQ35">
        <f>AO35=AP35</f>
        <v/>
      </c>
    </row>
    <row r="36" ht="17.25" customHeight="1">
      <c r="B36" s="3" t="inlineStr">
        <is>
          <t>7.2.6 menciona a possibilidade de aplicação de sanções para aqueles que cometerem violações éticas/legais, inclusive para os membros da alta direção da pessoa jurídica? Se sim, indicar o(s) dispositivo(s) do código que atenda(m) ao requisito.</t>
        </is>
      </c>
      <c r="C36">
        <f>B36=Tabela_3__Validação_da_Tabela_PerguntaFormularioTipoAvaliacao[[#This Row],[DescTituloPerguntaFormularioTipoAvaliacao]]</f>
        <v/>
      </c>
      <c r="N36" s="58" t="n">
        <v>5</v>
      </c>
      <c r="O36" s="2" t="n">
        <v>5</v>
      </c>
      <c r="P36">
        <f>N36=O36</f>
        <v/>
      </c>
      <c r="Y36" s="64" t="inlineStr">
        <is>
          <t>Evidência que destaque a seção e a página do Código de Ética e Conduta ou documento equivalente que tratam das sanções aplicáveis a violações éticas ou legais, incluindo penalidades para membros da alta direção.</t>
        </is>
      </c>
      <c r="Z36" s="3" t="inlineStr">
        <is>
          <t>Evidência que destaque a seção e a página do Código de Ética e Conduta ou documento equivalente que tratam das sanções aplicáveis a violações éticas ou legais, incluindo penalidades para membros da alta direção.</t>
        </is>
      </c>
      <c r="AA36">
        <f>Y36=Z36</f>
        <v/>
      </c>
      <c r="AJ36" s="58" t="inlineStr">
        <is>
          <t xml:space="preserve">PI2. Descrever a estrutura da área de integridade, a sua posição hierárquica e o seu reporte com a alta direção e, no caso de empresa multinacional com programa global de integridade, com a área de integridade da matriz: </t>
        </is>
      </c>
      <c r="AK36" s="1" t="inlineStr">
        <is>
          <t xml:space="preserve">PI2. Descrever a estrutura da área de integridade, a sua posição hierárquica e o seu reporte com a alta direção e, no caso de empresa multinacional com programa global de integridade, com a área de integridade da matriz: </t>
        </is>
      </c>
      <c r="AL36">
        <f>AJ36=AK36</f>
        <v/>
      </c>
      <c r="AO36" s="58" t="inlineStr">
        <is>
          <t>Informar aspectos da estrutura da área de integridade da pessoa jurídica, conforme solicitado no item.</t>
        </is>
      </c>
      <c r="AP36" s="1" t="inlineStr">
        <is>
          <t>Informar aspectos da estrutura da área de integridade da pessoa jurídica, conforme solicitado no item.</t>
        </is>
      </c>
      <c r="AQ36">
        <f>AO36=AP36</f>
        <v/>
      </c>
    </row>
    <row r="37" ht="17.25" customHeight="1">
      <c r="B37" s="3" t="inlineStr">
        <is>
          <t>7.3 O código de ética e conduta, ou documento equivalente, encontra-se disponível na página institucional da pessoa jurídica na internet?  Se sim, informar o link e descrever o caminho, desde a página inicial da entidade, para acesso ao documento.</t>
        </is>
      </c>
      <c r="C37">
        <f>B37=Tabela_3__Validação_da_Tabela_PerguntaFormularioTipoAvaliacao[[#This Row],[DescTituloPerguntaFormularioTipoAvaliacao]]</f>
        <v/>
      </c>
      <c r="N37" s="60" t="n">
        <v>18</v>
      </c>
      <c r="O37" s="2" t="n">
        <v>18</v>
      </c>
      <c r="P37">
        <f>N37=O37</f>
        <v/>
      </c>
      <c r="Y37" s="65" t="inlineStr">
        <is>
          <t xml:space="preserve">Evidência que informe tanto o link de acesso quanto o caminho da página inicial do site da pessoa jurídica até o Código de Ética e Conduta ou documento equivalente. </t>
        </is>
      </c>
      <c r="Z37" s="3" t="inlineStr">
        <is>
          <t xml:space="preserve">Evidência que informe tanto o link de acesso quanto o caminho da página inicial do site da pessoa jurídica até o Código de Ética e Conduta ou documento equivalente. </t>
        </is>
      </c>
      <c r="AA37">
        <f>Y37=Z37</f>
        <v/>
      </c>
      <c r="AJ37" s="60" t="inlineStr">
        <is>
          <t xml:space="preserve">PI3. A área de integridade conta com quantos colaboradores que se dedicam exclusivamente ao programa de integridade da pessoa jurídica? </t>
        </is>
      </c>
      <c r="AK37" s="1" t="inlineStr">
        <is>
          <t xml:space="preserve">PI3. A área de integridade conta com quantos colaboradores que se dedicam exclusivamente ao programa de integridade da pessoa jurídica? </t>
        </is>
      </c>
      <c r="AL37">
        <f>AJ37=AK37</f>
        <v/>
      </c>
      <c r="AO37" s="60" t="inlineStr">
        <is>
          <t>Informar a quantidade de colaboradores com dedicação exclusiva ao programa de integridade, isto é, que não desempenham funções em outras áreas.</t>
        </is>
      </c>
      <c r="AP37" s="1" t="inlineStr">
        <is>
          <t>Informar a quantidade de colaboradores com dedicação exclusiva ao programa de integridade, isto é, que não desempenham funções em outras áreas.</t>
        </is>
      </c>
      <c r="AQ37">
        <f>AO37=AP37</f>
        <v/>
      </c>
    </row>
    <row r="38" ht="17.25" customHeight="1">
      <c r="B38" s="3" t="inlineStr">
        <is>
          <t>7.4 A pessoa jurídica possui código de ética e conduta, ou documento equivalente, aplicável a terceiros e disponível em português? Se sim, informar o link e descrever o caminho, desde a página inicial da entidade para acesso ao documento.</t>
        </is>
      </c>
      <c r="C38">
        <f>B38=Tabela_3__Validação_da_Tabela_PerguntaFormularioTipoAvaliacao[[#This Row],[DescTituloPerguntaFormularioTipoAvaliacao]]</f>
        <v/>
      </c>
      <c r="N38" s="58" t="n">
        <v>5</v>
      </c>
      <c r="O38" s="2" t="n">
        <v>5</v>
      </c>
      <c r="P38">
        <f>N38=O38</f>
        <v/>
      </c>
      <c r="Y38" s="64" t="inlineStr">
        <is>
          <t>Evidência baseada no Código de Ética e Conduta aplicável a terceiros, ou documento equivalente, em língua portuguesa. Caso seja parte do Código de Ética geral, este deve conter regras específicas para terceiros (disposições genéricas não serão aceitas).</t>
        </is>
      </c>
      <c r="Z38" s="3" t="inlineStr">
        <is>
          <t>Evidência baseada no Código de Ética e Conduta aplicável a terceiros, ou documento equivalente, em língua portuguesa. Caso seja parte do Código de Ética geral, este deve conter regras específicas para terceiros (disposições genéricas não serão aceitas).</t>
        </is>
      </c>
      <c r="AA38">
        <f>Y38=Z38</f>
        <v/>
      </c>
      <c r="AJ38" s="58" t="inlineStr">
        <is>
          <t xml:space="preserve">PI4. A pessoa jurídica conta com quantos colaboradores que se dedicam parcialmente ao programa de integridade? </t>
        </is>
      </c>
      <c r="AK38" s="1" t="inlineStr">
        <is>
          <t xml:space="preserve">PI4. A pessoa jurídica conta com quantos colaboradores que se dedicam parcialmente ao programa de integridade? </t>
        </is>
      </c>
      <c r="AL38">
        <f>AJ38=AK38</f>
        <v/>
      </c>
      <c r="AO38" s="58" t="inlineStr">
        <is>
          <t>Informar a quantidade de colaboradores com dedicação parcial ao programa de integridade, isto é, que desempenham funções em outras áreas (ex.: embaixadores de integridade lotados em regionais)</t>
        </is>
      </c>
      <c r="AP38" s="1" t="inlineStr">
        <is>
          <t>Informar a quantidade de colaboradores com dedicação parcial ao programa de integridade, isto é, que desempenham funções em outras áreas (ex.: embaixadores de integridade lotados em regionais)</t>
        </is>
      </c>
      <c r="AQ38">
        <f>AO38=AP38</f>
        <v/>
      </c>
    </row>
    <row r="39" ht="17.25" customHeight="1">
      <c r="B39" s="8" t="inlineStr">
        <is>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is>
      </c>
      <c r="C39">
        <f>B39=Tabela_3__Validação_da_Tabela_PerguntaFormularioTipoAvaliacao[[#This Row],[DescTituloPerguntaFormularioTipoAvaliacao]]</f>
        <v/>
      </c>
      <c r="N39" s="60" t="n">
        <v>18</v>
      </c>
      <c r="O39" s="9" t="n">
        <v>18</v>
      </c>
      <c r="P39">
        <f>N39=O39</f>
        <v/>
      </c>
      <c r="Y39" s="65" t="inlineStr">
        <is>
          <t>Evidências como termos de ciência, contratos ou declarações assinadas por terceiros, confirmando a ciência e o compromisso com o Código de Ética e Conduta ou documento equivalente, incluindo atualizações.</t>
        </is>
      </c>
      <c r="Z39" s="3" t="inlineStr">
        <is>
          <t>Evidências como termos de ciência, contratos ou declarações assinadas por terceiros, confirmando a ciência e o compromisso com o Código de Ética e Conduta ou documento equivalente, incluindo atualizações.</t>
        </is>
      </c>
      <c r="AA39">
        <f>Y39=Z39</f>
        <v/>
      </c>
      <c r="AJ39" s="60" t="inlineStr">
        <is>
          <t>PI5. Recebeu alguma denúncia relacionada com atos de fraude e corrupção, atos de desrespeito à legislação ambiental, preconceito, discriminação e assédio de qualquer natureza nos últimos 24 meses?</t>
        </is>
      </c>
      <c r="AK39" s="12" t="inlineStr">
        <is>
          <t>PI5. Recebeu alguma denúncia relacionada com atos de fraude e corrupção, atos de desrespeito à legislação ambiental, preconceito, discriminação e assédio de qualquer natureza nos últimos 24 meses?</t>
        </is>
      </c>
      <c r="AL39">
        <f>AJ39=AK39</f>
        <v/>
      </c>
      <c r="AO39" s="60" t="inlineStr">
        <is>
          <t>Selecionar “Sim” ou “Não”, conforme o caso.</t>
        </is>
      </c>
      <c r="AP39" s="47" t="inlineStr">
        <is>
          <t>Selecionar “Sim” ou “Não”, conforme o caso.</t>
        </is>
      </c>
      <c r="AQ39">
        <f>AO39=AP39</f>
        <v/>
      </c>
    </row>
    <row r="40" ht="17.25" customHeight="1">
      <c r="B40" s="4" t="inlineStr">
        <is>
          <t>8.1 A pessoa jurídica possui políticas e procedimentos de integridade que:</t>
        </is>
      </c>
      <c r="C40">
        <f>B40=Tabela_3__Validação_da_Tabela_PerguntaFormularioTipoAvaliacao[[#This Row],[DescTituloPerguntaFormularioTipoAvaliacao]]</f>
        <v/>
      </c>
      <c r="N40" s="58" t="n">
        <v>0</v>
      </c>
      <c r="O40" s="2" t="n">
        <v>0</v>
      </c>
      <c r="P40">
        <f>N40=O40</f>
        <v/>
      </c>
      <c r="Y40" s="64" t="inlineStr"/>
      <c r="Z40" s="3" t="n"/>
      <c r="AA40">
        <f>Y40=Z40</f>
        <v/>
      </c>
      <c r="AJ40" s="58" t="inlineStr">
        <is>
          <t>PI6. Está sendo investigada ou é parte em processo administrativo ou judicial, ou já foi condenada, nos últimos 3 (três) anos, pela prática de atos de corrupção, improbidade administrativa e/ou fraudes em licitação?</t>
        </is>
      </c>
      <c r="AK40" s="1" t="inlineStr">
        <is>
          <t>PI6. Está sendo investigada ou é parte em processo administrativo ou judicial, ou já foi condenada, nos últimos 3 (três) anos, pela prática de atos de corrupção, improbidade administrativa e/ou fraudes em licitação?</t>
        </is>
      </c>
      <c r="AL40">
        <f>AJ40=AK40</f>
        <v/>
      </c>
      <c r="AO40" s="58" t="inlineStr">
        <is>
          <t>Selecionar “Sim” ou “Não”, conforme o caso.</t>
        </is>
      </c>
      <c r="AP40" s="47" t="inlineStr">
        <is>
          <t>Selecionar “Sim” ou “Não”, conforme o caso.</t>
        </is>
      </c>
      <c r="AQ40">
        <f>AO40=AP40</f>
        <v/>
      </c>
    </row>
    <row r="41" ht="17.25" customHeight="1">
      <c r="B41" s="4" t="inlineStr">
        <is>
          <t>8.1.1 vedam expressamente a concessão de vantagens indevidas, econômicas ou não, a agentes públicos? Se sim, anexar a política ou procedimento e indicar o(s) dispositivo(s) do documento que atenda(m) ao requisito.</t>
        </is>
      </c>
      <c r="C41">
        <f>B41=Tabela_3__Validação_da_Tabela_PerguntaFormularioTipoAvaliacao[[#This Row],[DescTituloPerguntaFormularioTipoAvaliacao]]</f>
        <v/>
      </c>
      <c r="N41" s="60" t="n">
        <v>20</v>
      </c>
      <c r="O41" s="2" t="n">
        <v>20</v>
      </c>
      <c r="P41">
        <f>N41=O41</f>
        <v/>
      </c>
      <c r="Y41" s="65" t="inlineStr">
        <is>
          <t>Evidência que indique a seção e a página de políticas, regras, orientações e/ou procedimentos que vedem expressamente a concessão de vantagens indevidas, econômicas ou não, a agentes públicos.</t>
        </is>
      </c>
      <c r="Z41" s="3" t="inlineStr">
        <is>
          <t>Evidência que indique a seção e a página de políticas, regras, orientações e/ou procedimentos que vedem expressamente a concessão de vantagens indevidas, econômicas ou não, a agentes públicos.</t>
        </is>
      </c>
      <c r="AA41">
        <f>Y41=Z41</f>
        <v/>
      </c>
      <c r="AJ41" s="60" t="inlineStr">
        <is>
          <t xml:space="preserve">PI6.1. Apresentar breve esclarecimento sobre o caso indicado no item anterior, e as medidas de integridade adotadas em reação ao ilícito: </t>
        </is>
      </c>
      <c r="AK41" s="51" t="inlineStr">
        <is>
          <t xml:space="preserve">PI6.1. Apresentar breve esclarecimento sobre o caso indicado no item anterior, e as medidas de integridade adotadas em reação ao ilícito: </t>
        </is>
      </c>
      <c r="AL41">
        <f>AJ41=AK41</f>
        <v/>
      </c>
      <c r="AO41" s="60" t="inlineStr">
        <is>
          <t>Informar sobre o(s) caso(s) ocorrido(s) na pessoa jurídica no item anterior, bem como as medidas de integridades adotadas.</t>
        </is>
      </c>
      <c r="AP41" s="40" t="inlineStr">
        <is>
          <t>Informar sobre o(s) caso(s) ocorrido(s) na pessoa jurídica no item anterior, bem como as medidas de integridades adotadas.</t>
        </is>
      </c>
      <c r="AQ41">
        <f>AO41=AP41</f>
        <v/>
      </c>
    </row>
    <row r="42" ht="17.25" customHeight="1">
      <c r="B42" s="3" t="inlineStr">
        <is>
          <t>8.1.2 tratam do oferecimento de presentes, brindes e hospitalidades (refeições, entretenimento, viagem e hospedagem) a agentes públicos? Se sim, anexar a política ou procedimento e indicar o(s) dispositivo(s) do documento que atenda(m) ao requisito.</t>
        </is>
      </c>
      <c r="C42">
        <f>B42=Tabela_3__Validação_da_Tabela_PerguntaFormularioTipoAvaliacao[[#This Row],[DescTituloPerguntaFormularioTipoAvaliacao]]</f>
        <v/>
      </c>
      <c r="N42" s="58" t="n">
        <v>5</v>
      </c>
      <c r="O42" s="2" t="n">
        <v>5</v>
      </c>
      <c r="P42">
        <f>N42=O42</f>
        <v/>
      </c>
      <c r="Y42" s="64" t="inlineStr">
        <is>
          <t>Evidência que indique a seção e a página das políticas, regras, orientações ou procedimentos que regulem o oferecimento de presentes, brindes e hospitalidades (como refeições, entretenimento, viagens e hospedagem) a agentes públicos.</t>
        </is>
      </c>
      <c r="Z42" s="3" t="inlineStr">
        <is>
          <t>Evidência que indique a seção e a página das políticas, regras, orientações ou procedimentos que regulem o oferecimento de presentes, brindes e hospitalidades (como refeições, entretenimento, viagens e hospedagem) a agentes públicos.</t>
        </is>
      </c>
      <c r="AA42">
        <f>Y42=Z42</f>
        <v/>
      </c>
      <c r="AJ42" s="58" t="inlineStr">
        <is>
          <t>PI7. Algum membro da alta direção está sendo investigado ou é parte em processo administrativo ou judicial, ou já foi condenado, nos últimos 3 (três) anos, pela prática de atos de corrupção, improbidade administrativa e/ou fraudes em licitação?</t>
        </is>
      </c>
      <c r="AK42" s="1" t="inlineStr">
        <is>
          <t>PI7. Algum membro da alta direção está sendo investigado ou é parte em processo administrativo ou judicial, ou já foi condenado, nos últimos 3 (três) anos, pela prática de atos de corrupção, improbidade administrativa e/ou fraudes em licitação?</t>
        </is>
      </c>
      <c r="AL42">
        <f>AJ42=AK42</f>
        <v/>
      </c>
      <c r="AO42" s="58" t="inlineStr">
        <is>
          <t>Selecionar “Sim” ou “Não”, conforme o caso.</t>
        </is>
      </c>
      <c r="AP42" s="47" t="inlineStr">
        <is>
          <t>Selecionar “Sim” ou “Não”, conforme o caso.</t>
        </is>
      </c>
      <c r="AQ42">
        <f>AO42=AP42</f>
        <v/>
      </c>
    </row>
    <row r="43" ht="17.25" customHeight="1">
      <c r="B43" s="3"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C43">
        <f>B43=Tabela_3__Validação_da_Tabela_PerguntaFormularioTipoAvaliacao[[#This Row],[DescTituloPerguntaFormularioTipoAvaliacao]]</f>
        <v/>
      </c>
      <c r="N43" s="60" t="n">
        <v>5</v>
      </c>
      <c r="O43" s="2" t="n">
        <v>5</v>
      </c>
      <c r="P43">
        <f>N43=O43</f>
        <v/>
      </c>
      <c r="Y43" s="65" t="inlineStr">
        <is>
          <t>Evidência que indique a seção e a página das políticas, regras, orientações ou procedimentos que tratem da prevenção de conflitos de interesse nas relações com a Administração Pública, incluindo contratações de agentes públicos e seus familiares.</t>
        </is>
      </c>
      <c r="Z43" s="3" t="inlineStr">
        <is>
          <t>Evidência que indique a seção e a página das políticas, regras, orientações ou procedimentos que tratem da prevenção de conflitos de interesse nas relações com a Administração Pública, incluindo contratações de agentes públicos e seus familiares.</t>
        </is>
      </c>
      <c r="AA43">
        <f>Y43=Z43</f>
        <v/>
      </c>
      <c r="AJ43" s="60" t="inlineStr">
        <is>
          <t xml:space="preserve">PI7.1. Apresentar quais foram as medidas adotadas a partir da ciência da prática do ato lesivo por membro da alta direção, indicado no item anterior: </t>
        </is>
      </c>
      <c r="AK43" s="70" t="inlineStr">
        <is>
          <t xml:space="preserve">PI7.1. Apresentar quais foram as medidas adotadas a partir da ciência da prática do ato lesivo por membro da alta direção, indicado no item anterior: </t>
        </is>
      </c>
      <c r="AL43">
        <f>AJ43=AK43</f>
        <v/>
      </c>
      <c r="AO43" s="60" t="inlineStr">
        <is>
          <t>Informar sobre as medidas adotadas em resposta ao ato lesivo praticado por membro da alta direção, indicado no item anterior.</t>
        </is>
      </c>
      <c r="AP43" s="71" t="inlineStr">
        <is>
          <t>Informar sobre as medidas adotadas em resposta ao ato lesivo praticado por membro da alta direção, indicado no item anterior.</t>
        </is>
      </c>
      <c r="AQ43">
        <f>AO43=AP43</f>
        <v/>
      </c>
    </row>
    <row r="44" ht="17.25" customHeight="1">
      <c r="B44" s="3"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C44">
        <f>B44=Tabela_3__Validação_da_Tabela_PerguntaFormularioTipoAvaliacao[[#This Row],[DescTituloPerguntaFormularioTipoAvaliacao]]</f>
        <v/>
      </c>
      <c r="N44" s="58" t="n">
        <v>5</v>
      </c>
      <c r="O44" s="11" t="n">
        <v>5</v>
      </c>
      <c r="P44">
        <f>N44=O44</f>
        <v/>
      </c>
      <c r="Y44" s="64" t="inlineStr">
        <is>
          <t>Evidência que indique a seção e a página das políticas, regras, orientações ou procedimentos que definam diretrizes e controles sobre reuniões, encontros e outras interações entre administradores ou empregados da pessoa jurídica e agentes públicos.</t>
        </is>
      </c>
      <c r="Z44" s="36" t="inlineStr">
        <is>
          <t>Evidência que indique a seção e a página das políticas, regras, orientações ou procedimentos que definam diretrizes e controles sobre reuniões, encontros e outras interações entre administradores ou empregados da pessoa jurídica e agentes públicos.</t>
        </is>
      </c>
      <c r="AA44">
        <f>Y44=Z44</f>
        <v/>
      </c>
    </row>
    <row r="45" ht="17.25" customHeight="1">
      <c r="B45" s="3" t="inlineStr">
        <is>
          <t>8.1.5 tratam da realização de doação e patrocínio, ou informam claramente que a pessoa jurídica não realiza essas atividades? Se sim, anexar política/procedimento de integridade. Indicar, no campo correspondente, o artigo, item e/ou página em que há essa previsão.</t>
        </is>
      </c>
      <c r="C45">
        <f>B45=Tabela_3__Validação_da_Tabela_PerguntaFormularioTipoAvaliacao[[#This Row],[DescTituloPerguntaFormularioTipoAvaliacao]]</f>
        <v/>
      </c>
      <c r="N45" s="60" t="n">
        <v>5</v>
      </c>
      <c r="O45" s="2" t="n">
        <v>5</v>
      </c>
      <c r="P45">
        <f>N45=O45</f>
        <v/>
      </c>
      <c r="Y45" s="65" t="inlineStr">
        <is>
          <t>Evidência que indique a seção e a página das políticas, regras, orientações ou procedimentos que abordem a realização de doações e patrocínios, ou que deixem claro que a pessoa jurídica não realiza essas atividades.</t>
        </is>
      </c>
      <c r="Z45" s="3" t="inlineStr">
        <is>
          <t>Evidência que indique a seção e a página das políticas, regras, orientações ou procedimentos que abordem a realização de doações e patrocínios, ou que deixem claro que a pessoa jurídica não realiza essas atividades.</t>
        </is>
      </c>
      <c r="AA45">
        <f>Y45=Z45</f>
        <v/>
      </c>
    </row>
    <row r="46" ht="17.25" customHeight="1">
      <c r="B46" s="3"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C46">
        <f>B46=Tabela_3__Validação_da_Tabela_PerguntaFormularioTipoAvaliacao[[#This Row],[DescTituloPerguntaFormularioTipoAvaliacao]]</f>
        <v/>
      </c>
      <c r="N46" s="58" t="n">
        <v>25</v>
      </c>
      <c r="O46" s="2" t="n">
        <v>25</v>
      </c>
      <c r="P46">
        <f>N46=O46</f>
        <v/>
      </c>
      <c r="Y46" s="64" t="inlineStr">
        <is>
          <t>Evidências como relatórios, atas de reuniões, e-mails, due diligence, medidas disciplinares aplicadas a empregados, contratos rescindidos e/ou multas aplicadas a terceiros, monitoramento dos canais de denúncias etc.</t>
        </is>
      </c>
      <c r="Z46" s="3" t="inlineStr">
        <is>
          <t>Evidências como relatórios, atas de reuniões, e-mails, due diligence, medidas disciplinares aplicadas a empregados, contratos rescindidos e/ou multas aplicadas a terceiros, monitoramento dos canais de denúncias etc.</t>
        </is>
      </c>
      <c r="AA46">
        <f>Y46=Z46</f>
        <v/>
      </c>
    </row>
    <row r="47" ht="17.25" customHeight="1">
      <c r="B47" s="4" t="inlineStr">
        <is>
          <t>9.1. A pessoa jurídica possui políticas ou procedimentos específicos para prevenção de ilícitos em licitações e contratos administrativos? Se sim, anexar a política ou procedimentos que atenda(m) ao requisito.</t>
        </is>
      </c>
      <c r="C47">
        <f>B47=Tabela_3__Validação_da_Tabela_PerguntaFormularioTipoAvaliacao[[#This Row],[DescTituloPerguntaFormularioTipoAvaliacao]]</f>
        <v/>
      </c>
      <c r="N47" s="60" t="n">
        <v>20</v>
      </c>
      <c r="O47" s="2" t="n">
        <v>20</v>
      </c>
      <c r="P47">
        <f>N47=O47</f>
        <v/>
      </c>
      <c r="Y47" s="65" t="inlineStr">
        <is>
          <t>Evidência que indique a seção e a página das políticas, regras, orientações ou procedimentos para prevenção de ilícitos em licitações e contratos administrativos.</t>
        </is>
      </c>
      <c r="Z47" s="3" t="inlineStr">
        <is>
          <t>Evidência que indique a seção e a página das políticas, regras, orientações ou procedimentos para prevenção de ilícitos em licitações e contratos administrativos.</t>
        </is>
      </c>
      <c r="AA47">
        <f>Y47=Z47</f>
        <v/>
      </c>
    </row>
    <row r="48" ht="17.25" customHeight="1">
      <c r="B48" s="1" t="inlineStr">
        <is>
          <t>9.2 As política ou procedimentos:</t>
        </is>
      </c>
      <c r="C48">
        <f>B48=Tabela_3__Validação_da_Tabela_PerguntaFormularioTipoAvaliacao[[#This Row],[DescTituloPerguntaFormularioTipoAvaliacao]]</f>
        <v/>
      </c>
      <c r="N48" s="58" t="n">
        <v>0</v>
      </c>
      <c r="O48" s="2" t="n">
        <v>0</v>
      </c>
      <c r="P48">
        <f>N48=O48</f>
        <v/>
      </c>
      <c r="Y48" s="64" t="inlineStr"/>
      <c r="Z48" s="3" t="n"/>
      <c r="AA48">
        <f>Y48=Z48</f>
        <v/>
      </c>
    </row>
    <row r="49" ht="17.25" customHeight="1">
      <c r="B49" s="1" t="inlineStr">
        <is>
          <t>9.2.1 estabelecem orientações sobre a conduta esperada (o que é permitido/proibido) para seus empregados e para terceiros que atuam em seu nome? Se sim, indicar o(s) dispositivo(s) da política ou procedimentos que atenda(m) ao requisito.</t>
        </is>
      </c>
      <c r="C49">
        <f>B49=Tabela_3__Validação_da_Tabela_PerguntaFormularioTipoAvaliacao[[#This Row],[DescTituloPerguntaFormularioTipoAvaliacao]]</f>
        <v/>
      </c>
      <c r="N49" s="60" t="n">
        <v>5</v>
      </c>
      <c r="O49" s="2" t="n">
        <v>5</v>
      </c>
      <c r="P49">
        <f>N49=O49</f>
        <v/>
      </c>
      <c r="Y49" s="65" t="inlineStr">
        <is>
          <t>Evidência que indique a seção e a página das políticas, regras, orientações ou procedimentos que estabeleçam diretrizes claras sobre a conduta esperada dos empregados e terceiros, especificando ações permitidas e proibidas.</t>
        </is>
      </c>
      <c r="Z49" s="3" t="inlineStr">
        <is>
          <t>Evidência que indique a seção e a página das políticas, regras, orientações ou procedimentos que estabeleçam diretrizes claras sobre a conduta esperada dos empregados e terceiros, especificando ações permitidas e proibidas.</t>
        </is>
      </c>
      <c r="AA49">
        <f>Y49=Z49</f>
        <v/>
      </c>
    </row>
    <row r="50" ht="17.25" customHeight="1">
      <c r="B50" s="3"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C50">
        <f>B50=Tabela_3__Validação_da_Tabela_PerguntaFormularioTipoAvaliacao[[#This Row],[DescTituloPerguntaFormularioTipoAvaliacao]]</f>
        <v/>
      </c>
      <c r="N50" s="58" t="n">
        <v>5</v>
      </c>
      <c r="O50" s="2" t="n">
        <v>5</v>
      </c>
      <c r="P50">
        <f>N50=O50</f>
        <v/>
      </c>
      <c r="Y50" s="64" t="inlineStr">
        <is>
          <t>Evidência que indique a seção e a página das políticas, regras, orientações ou procedimentos que indiquem expressamente os responsáveis pela autorização de medidas vinculadas à participação da pessoa jurídica em licitações e à gestão do contrato.</t>
        </is>
      </c>
      <c r="Z50" s="3" t="inlineStr">
        <is>
          <t>Evidência que indique a seção e a página das políticas, regras, orientações ou procedimentos que indiquem expressamente os responsáveis pela autorização de medidas vinculadas à participação da pessoa jurídica em licitações e à gestão do contrato.</t>
        </is>
      </c>
      <c r="AA50">
        <f>Y50=Z50</f>
        <v/>
      </c>
    </row>
    <row r="51" ht="17.25" customHeight="1">
      <c r="B51" s="1" t="inlineStr">
        <is>
          <t>9.2.3 definem a necessidade de rotação periódica dos responsáveis por interagir com os agentes públicos em licitações e contratos administrativos? Se sim, indicar o(s) dispositivo(s) da política ou procedimentos que atenda(m) ao requisito.</t>
        </is>
      </c>
      <c r="C51">
        <f>B51=Tabela_3__Validação_da_Tabela_PerguntaFormularioTipoAvaliacao[[#This Row],[DescTituloPerguntaFormularioTipoAvaliacao]]</f>
        <v/>
      </c>
      <c r="N51" s="60" t="n">
        <v>5</v>
      </c>
      <c r="O51" s="2" t="n">
        <v>5</v>
      </c>
      <c r="P51">
        <f>N51=O51</f>
        <v/>
      </c>
      <c r="Y51" s="65" t="inlineStr">
        <is>
          <t>Evidência que indique a seção e a página das políticas, regras, orientações ou procedimentos que estabeleçam a alternância dos responsáveis pela comunicação com agentes públicos nas licitações e na execução do contrato, considerando seu prazo de vigência.</t>
        </is>
      </c>
      <c r="Z51" s="3" t="inlineStr">
        <is>
          <t>Evidência que indique a seção e a página das políticas, regras, orientações ou procedimentos que estabeleçam a alternância dos responsáveis pela comunicação com agentes públicos nas licitações e na execução do contrato, considerando seu prazo de vigência.</t>
        </is>
      </c>
      <c r="AA51">
        <f>Y51=Z51</f>
        <v/>
      </c>
    </row>
    <row r="52" ht="17.25" customHeight="1">
      <c r="B52" s="1" t="inlineStr">
        <is>
          <t>9.2.4 orientam a relação da pessoa jurídica com seus concorrentes, a fim de evitar práticas anticoncorrenciais que possibilitem fraude em processos licitatórios? Se sim, indicar o(s) dispositivo(s) da política ou procedimentos que atenda(m) ao requisito.</t>
        </is>
      </c>
      <c r="C52">
        <f>B52=Tabela_3__Validação_da_Tabela_PerguntaFormularioTipoAvaliacao[[#This Row],[DescTituloPerguntaFormularioTipoAvaliacao]]</f>
        <v/>
      </c>
      <c r="N52" s="58" t="n">
        <v>5</v>
      </c>
      <c r="O52" s="2" t="n">
        <v>5</v>
      </c>
      <c r="P52">
        <f>N52=O52</f>
        <v/>
      </c>
      <c r="Y52" s="64" t="inlineStr">
        <is>
          <t>Evidência que indique a seção e a página das políticas, regras, orientações ou procedimentos que estabeleçam diretrizes para a relação da pessoa jurídica com concorrentes, prevenindo práticas anticoncorrenciais e coibindo fraudes em processos licitatórios.</t>
        </is>
      </c>
      <c r="Z52" s="3" t="inlineStr">
        <is>
          <t>Evidência que indique a seção e a página das políticas, regras, orientações ou procedimentos que estabeleçam diretrizes para a relação da pessoa jurídica com concorrentes, prevenindo práticas anticoncorrenciais e coibindo fraudes em processos licitatórios.</t>
        </is>
      </c>
      <c r="AA52">
        <f>Y52=Z52</f>
        <v/>
      </c>
    </row>
    <row r="53" ht="17.25" customHeight="1">
      <c r="B53" s="8"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C53">
        <f>B53=Tabela_3__Validação_da_Tabela_PerguntaFormularioTipoAvaliacao[[#This Row],[DescTituloPerguntaFormularioTipoAvaliacao]]</f>
        <v/>
      </c>
      <c r="N53" s="60" t="n">
        <v>25</v>
      </c>
      <c r="O53" s="9" t="n">
        <v>25</v>
      </c>
      <c r="P53">
        <f>N53=O53</f>
        <v/>
      </c>
      <c r="Y53" s="65" t="inlineStr">
        <is>
          <t>Exemplos de processos reais contendo: matriz de riscos, atas de reuniões, aprovações, e-mails e documentos da alta direção, que comprovem a aplicação das políticas de prevenção a ilícitos em licitações e contratos administrativos, incluindo ações implementadas e resultados para empregados e terceiros.</t>
        </is>
      </c>
      <c r="Z53" s="3" t="inlineStr">
        <is>
          <t>Exemplos de processos reais contendo: matriz de riscos, atas de reuniões, aprovações, e-mails e documentos da alta direção, que comprovem a aplicação das políticas de prevenção a ilícitos em licitações e contratos administrativos, incluindo ações implementadas e resultados para empregados e terceiros.</t>
        </is>
      </c>
      <c r="AA53">
        <f>Y53=Z53</f>
        <v/>
      </c>
    </row>
    <row r="54" ht="17.25" customHeight="1">
      <c r="B54" s="4"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C54">
        <f>B54=Tabela_3__Validação_da_Tabela_PerguntaFormularioTipoAvaliacao[[#This Row],[DescTituloPerguntaFormularioTipoAvaliacao]]</f>
        <v/>
      </c>
      <c r="N54" s="58" t="n">
        <v>20</v>
      </c>
      <c r="O54" s="2" t="n">
        <v>20</v>
      </c>
      <c r="P54">
        <f>N54=O54</f>
        <v/>
      </c>
      <c r="Y54" s="64" t="inlineStr">
        <is>
          <t>Evidência que apresente o planejamento periódico das capacitações em integridade, especificando cronograma, temas, públicos-alvo, responsáveis e forma de execução.</t>
        </is>
      </c>
      <c r="Z54" s="3" t="inlineStr">
        <is>
          <t>Evidência que apresente o planejamento periódico das capacitações em integridade, especificando cronograma, temas, públicos-alvo, responsáveis e forma de execução.</t>
        </is>
      </c>
      <c r="AA54">
        <f>Y54=Z54</f>
        <v/>
      </c>
    </row>
    <row r="55" ht="17.25" customHeight="1">
      <c r="B55" s="3"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C55">
        <f>B55=Tabela_3__Validação_da_Tabela_PerguntaFormularioTipoAvaliacao[[#This Row],[DescTituloPerguntaFormularioTipoAvaliacao]]</f>
        <v/>
      </c>
      <c r="N55" s="60" t="n">
        <v>25</v>
      </c>
      <c r="O55" s="11" t="n">
        <v>25</v>
      </c>
      <c r="P55">
        <f>N55=O55</f>
        <v/>
      </c>
      <c r="Y55" s="65" t="inlineStr">
        <is>
          <t>Evidências como listas de presença, materiais de estudo, links de treinamentos online ou registros de frequência que demonstrem a participação dos colaboradores em capacitações sobre o código de ética, canais de denúncia, política anticorrupção etc.</t>
        </is>
      </c>
      <c r="Z55" s="36" t="inlineStr">
        <is>
          <t>Evidências como listas de presença, materiais de estudo, links de treinamentos online ou registros de frequência que demonstrem a participação dos colaboradores em capacitações sobre o código de ética, canais de denúncia, política anticorrupção etc.</t>
        </is>
      </c>
      <c r="AA55">
        <f>Y55=Z55</f>
        <v/>
      </c>
    </row>
    <row r="56" ht="17.25" customHeight="1">
      <c r="B56" s="3" t="inlineStr">
        <is>
          <t>10.3 A pessoa jurídica realizou, nos últimos 12 meses, treinamento(s) direcionado(s) a públicos específicos, abordando conteúdo alinhado aos principais riscos daqueles públicos, como prevenção de fraudes e ilícitos em licitações e contratos administrativos, controles contábeis e financeiros, realização de diligências para contratação e supervisão de terceiros? Se sim, anexar documentos e/ou indicar, no campo correspondente, link em que seja possível visualizar os treinamentos realizados e descrever as ocasiões, temas, carga horária e público alcançado.</t>
        </is>
      </c>
      <c r="C56">
        <f>B56=Tabela_3__Validação_da_Tabela_PerguntaFormularioTipoAvaliacao[[#This Row],[DescTituloPerguntaFormularioTipoAvaliacao]]</f>
        <v/>
      </c>
      <c r="N56" s="58" t="n">
        <v>18</v>
      </c>
      <c r="O56" s="11" t="n">
        <v>18</v>
      </c>
      <c r="P56">
        <f>N56=O56</f>
        <v/>
      </c>
      <c r="Y56" s="64" t="inlineStr">
        <is>
          <t>Evidências como listas de presença, materiais de estudo ou registros de frequência, que demonstrem treinamento direcionado a públicos expostos a riscos específicos, com temas relevantes para cada área, como licitações, controles financeiros e diligências em contratações etc.</t>
        </is>
      </c>
      <c r="Z56" s="36" t="inlineStr">
        <is>
          <t>Evidências como listas de presença, materiais de estudo ou registros de frequência, que demonstrem treinamento direcionado a públicos expostos a riscos específicos, com temas relevantes para cada área, como licitações, controles financeiros e diligências em contratações etc.</t>
        </is>
      </c>
      <c r="AA56">
        <f>Y56=Z56</f>
        <v/>
      </c>
    </row>
    <row r="57" ht="17.25" customHeight="1">
      <c r="B57" s="10" t="inlineStr">
        <is>
          <t>10.4 Os treinamentos relacionados ao programa de integridade realizados pela pessoa jurídica nos últimos 12 meses atingiram, em média, 70% de cada um dos públicos-alvo? Se sim, anexar documentos ou informações que demonstrem o cumprimento do requisito.</t>
        </is>
      </c>
      <c r="C57">
        <f>B57=Tabela_3__Validação_da_Tabela_PerguntaFormularioTipoAvaliacao[[#This Row],[DescTituloPerguntaFormularioTipoAvaliacao]]</f>
        <v/>
      </c>
      <c r="N57" s="60" t="n">
        <v>5</v>
      </c>
      <c r="O57" s="11" t="n">
        <v>5</v>
      </c>
      <c r="P57">
        <f>N57=O57</f>
        <v/>
      </c>
      <c r="Y57" s="65" t="inlineStr">
        <is>
          <t>Evidências documentais, como relatórios ou históricos de treinamentos contendo dados estatísticos ou percentuais de participação, acompanhados de listas de presença para comprovação.</t>
        </is>
      </c>
      <c r="Z57" s="36" t="inlineStr">
        <is>
          <t>Evidências documentais, como relatórios ou históricos de treinamentos contendo dados estatísticos ou percentuais de participação, acompanhados de listas de presença para comprovação.</t>
        </is>
      </c>
      <c r="AA57">
        <f>Y57=Z57</f>
        <v/>
      </c>
    </row>
    <row r="58" ht="17.25" customHeight="1">
      <c r="B58" s="4"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C58">
        <f>B58=Tabela_3__Validação_da_Tabela_PerguntaFormularioTipoAvaliacao[[#This Row],[DescTituloPerguntaFormularioTipoAvaliacao]]</f>
        <v/>
      </c>
      <c r="N58" s="58" t="n">
        <v>20</v>
      </c>
      <c r="O58" s="2" t="n">
        <v>20</v>
      </c>
      <c r="P58">
        <f>N58=O58</f>
        <v/>
      </c>
      <c r="Y58" s="64" t="inlineStr">
        <is>
          <t>Evidências documentais que estabeleçam o planejamento das ações de comunicação sobre integridade para o período avaliado, detalhando cronograma, temas, responsáveis, públicos-alvo e meios de divulgação.</t>
        </is>
      </c>
      <c r="Z58" s="3" t="inlineStr">
        <is>
          <t>Evidências documentais que estabeleçam o planejamento das ações de comunicação sobre integridade para o período avaliado, detalhando cronograma, temas, responsáveis, públicos-alvo e meios de divulgação.</t>
        </is>
      </c>
      <c r="AA58">
        <f>Y58=Z58</f>
        <v/>
      </c>
    </row>
    <row r="59" ht="17.25" customHeight="1">
      <c r="B59" s="3"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C59">
        <f>B59=Tabela_3__Validação_da_Tabela_PerguntaFormularioTipoAvaliacao[[#This Row],[DescTituloPerguntaFormularioTipoAvaliacao]]</f>
        <v/>
      </c>
      <c r="N59" s="60" t="n">
        <v>25</v>
      </c>
      <c r="O59" s="2" t="n">
        <v>25</v>
      </c>
      <c r="P59">
        <f>N59=O59</f>
        <v/>
      </c>
      <c r="Y59" s="65" t="inlineStr">
        <is>
          <t>Evidências de comunicações internas destinadas à divulgação do Código de Ética, da política anticorrupção e canais de denúncia, por meio de e-mails, vídeos, cartazes, folders, registros de páginas da intranet etc, assegurando a identificação dos destinatários.</t>
        </is>
      </c>
      <c r="Z59" s="3" t="inlineStr">
        <is>
          <t>Evidências de comunicações internas destinadas à divulgação do Código de Ética, da política anticorrupção e canais de denúncia, por meio de e-mails, vídeos, cartazes, folders, registros de páginas da intranet etc, assegurando a identificação dos destinatários.</t>
        </is>
      </c>
      <c r="AA59">
        <f>Y59=Z59</f>
        <v/>
      </c>
    </row>
    <row r="60" ht="17.25" customHeight="1">
      <c r="B60" s="8" t="inlineStr">
        <is>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is>
      </c>
      <c r="C60">
        <f>B60=Tabela_3__Validação_da_Tabela_PerguntaFormularioTipoAvaliacao[[#This Row],[DescTituloPerguntaFormularioTipoAvaliacao]]</f>
        <v/>
      </c>
      <c r="N60" s="58" t="n">
        <v>5</v>
      </c>
      <c r="O60" s="9" t="n">
        <v>5</v>
      </c>
      <c r="P60">
        <f>N60=O60</f>
        <v/>
      </c>
      <c r="Y60" s="64" t="inlineStr">
        <is>
          <t>Evidências de que as comunicações foram contínuas e frequentes, reforçando a cultura de integridade, adaptando-se ao mercado e à legislação anticorrupção, e não se limitando a ações sazonais.</t>
        </is>
      </c>
      <c r="Z60" s="3" t="inlineStr">
        <is>
          <t>Evidências de que as comunicações foram contínuas e frequentes, reforçando a cultura de integridade, adaptando-se ao mercado e à legislação anticorrupção, e não se limitando a ações sazonais.</t>
        </is>
      </c>
      <c r="AA60">
        <f>Y60=Z60</f>
        <v/>
      </c>
    </row>
    <row r="61" ht="17.25" customHeight="1">
      <c r="B61" s="4" t="inlineStr">
        <is>
          <t>12.1 A pessoa jurídica possui procedimentos definidos para a realização dos lançamentos contábeis e financeiros? Se sim, anexar os documentos ou informações que estabeleçam os procedimentos existentes.</t>
        </is>
      </c>
      <c r="C61">
        <f>B61=Tabela_3__Validação_da_Tabela_PerguntaFormularioTipoAvaliacao[[#This Row],[DescTituloPerguntaFormularioTipoAvaliacao]]</f>
        <v/>
      </c>
      <c r="N61" s="60" t="n">
        <v>20</v>
      </c>
      <c r="O61" s="2" t="n">
        <v>20</v>
      </c>
      <c r="P61">
        <f>N61=O61</f>
        <v/>
      </c>
      <c r="Y61" s="65" t="inlineStr">
        <is>
          <t>Evidências de políticas ou normas para controle interno que comprovem a existência de rotinas e atividades necessárias para efetuar registros: fluxogramas, dashboards, printscreen de sistemas, comunicações internas, troca de e-mails etc.</t>
        </is>
      </c>
      <c r="Z61" s="3" t="inlineStr">
        <is>
          <t>Evidências de políticas ou normas para controle interno que comprovem a existência de rotinas e atividades necessárias para efetuar registros: fluxogramas, dashboards, printscreen de sistemas, comunicações internas, troca de e-mails etc.</t>
        </is>
      </c>
      <c r="AA61">
        <f>Y61=Z61</f>
        <v/>
      </c>
    </row>
    <row r="62" ht="17.25" customHeight="1">
      <c r="B62" s="3" t="inlineStr">
        <is>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is>
      </c>
      <c r="C62">
        <f>B62=Tabela_3__Validação_da_Tabela_PerguntaFormularioTipoAvaliacao[[#This Row],[DescTituloPerguntaFormularioTipoAvaliacao]]</f>
        <v/>
      </c>
      <c r="N62" s="58" t="n">
        <v>5</v>
      </c>
      <c r="O62" s="2" t="n">
        <v>5</v>
      </c>
      <c r="P62">
        <f>N62=O62</f>
        <v/>
      </c>
      <c r="Y62" s="64" t="inlineStr">
        <is>
          <t>Evidências de normas ou documentos que estabeleçam mecanismos e controles para registros contábeis que possam identificar “red flags”, prints de sistemas demostrando alertas para transações suspeitas, ainda durante o fechamento da contabilidade.</t>
        </is>
      </c>
      <c r="Z62" s="3" t="inlineStr">
        <is>
          <t>Evidências de normas e/ou prints de sistemas com perfis segregados por funções que estabeleçam separação de competências e a necessidade de aprovações/autorizações por diferentes níveis hierárquicos para realização de pagamentos e recebimentos, aprovação de relatórios e outras atividades.</t>
        </is>
      </c>
      <c r="AA62" s="67">
        <f>Y62=Z62</f>
        <v/>
      </c>
      <c r="AB62" t="inlineStr">
        <is>
          <t>Corrigir</t>
        </is>
      </c>
    </row>
    <row r="63" ht="17.25" customHeight="1">
      <c r="B63" s="12" t="inlineStr">
        <is>
          <t>12.3 A pessoa jurídica possui mecanismos e/ou "red flags" para detectar receitas e despesas fora do padrão durante o registro de lançamentos contábeis? Se sim, anexar os documentos ou informações que estabeleçam os procedimentos existentes.</t>
        </is>
      </c>
      <c r="C63">
        <f>B63=Tabela_3__Validação_da_Tabela_PerguntaFormularioTipoAvaliacao[[#This Row],[DescTituloPerguntaFormularioTipoAvaliacao]]</f>
        <v/>
      </c>
      <c r="N63" s="60" t="n">
        <v>5</v>
      </c>
      <c r="O63" s="2" t="n">
        <v>5</v>
      </c>
      <c r="P63">
        <f>N63=O63</f>
        <v/>
      </c>
      <c r="Y63" s="65" t="inlineStr">
        <is>
          <t>Evidências de normas ou documentos que estabeleçam mecanismos e controles para registros contábeis que possam identificar “red flags”, prints de sistemas demostrando alertas para transações suspeitas, ainda durante o fechamento da contabilidade.</t>
        </is>
      </c>
      <c r="Z63" s="3" t="inlineStr">
        <is>
          <t>Evidências de normas ou documentos que estabeleçam mecanismos e controles para registros contábeis que possam identificar “red flags”, prints de sistemas demostrando alertas para transações suspeitas, ainda durante o fechamento da contabilidade.</t>
        </is>
      </c>
      <c r="AA63">
        <f>Y63=Z63</f>
        <v/>
      </c>
    </row>
    <row r="64" ht="17.25" customHeight="1">
      <c r="B64" s="12" t="inlineStr">
        <is>
          <t>12.4 A pessoa jurídica possui regras que exigem a verificação do cumprimento do objeto do contrato para realização do pagamento? Se sim, anexar documentos ou informações que estabeleçam os procedimentos existentes.</t>
        </is>
      </c>
      <c r="C64">
        <f>B64=Tabela_3__Validação_da_Tabela_PerguntaFormularioTipoAvaliacao[[#This Row],[DescTituloPerguntaFormularioTipoAvaliacao]]</f>
        <v/>
      </c>
      <c r="N64" s="58" t="n">
        <v>15</v>
      </c>
      <c r="O64" s="2" t="n">
        <v>15</v>
      </c>
      <c r="P64">
        <f>N64=O64</f>
        <v/>
      </c>
      <c r="Y64" s="64" t="inlineStr">
        <is>
          <t>Evidências de normas e/ou prints de sistemas que estabeleçam mecanismos e controles para verificação do cumprimento do objeto do contrato para realização do pagamento.</t>
        </is>
      </c>
      <c r="Z64" s="3" t="inlineStr">
        <is>
          <t>Evidências de normas e/ou prints de sistemas que estabeleçam mecanismos e controles para verificação do cumprimento do objeto do contrato para realização do pagamento.</t>
        </is>
      </c>
      <c r="AA64">
        <f>Y64=Z64</f>
        <v/>
      </c>
    </row>
    <row r="65" ht="17.25" customHeight="1">
      <c r="B65" s="12" t="inlineStr">
        <is>
          <t>13.1 A pessoa jurídica possui função de auditoria interna formalmente estabelecida, seja de forma direta ou terceirizada? Se sim, anexar oi estatuto ou documento que demonstre o estabelecimento da função de auditoria interna.</t>
        </is>
      </c>
      <c r="C65">
        <f>B65=Tabela_3__Validação_da_Tabela_PerguntaFormularioTipoAvaliacao[[#This Row],[DescTituloPerguntaFormularioTipoAvaliacao]]</f>
        <v/>
      </c>
      <c r="N65" s="60" t="n">
        <v>15</v>
      </c>
      <c r="O65" s="2" t="n">
        <v>15</v>
      </c>
      <c r="P65">
        <f>N65=O65</f>
        <v/>
      </c>
      <c r="Y65" s="65" t="inlineStr">
        <is>
          <t>Evidências de norma (política, regimento interno, estatuto social, organograma) formalmente aprovada que estabeleça a instituição de uma área de auditoria interna ou contrato vigente com pessoa jurídica terceirizada de auditoria interna.</t>
        </is>
      </c>
      <c r="Z65" s="3" t="inlineStr">
        <is>
          <t>Evidências de norma (política, regimento interno, estatuto social, organograma) formalmente aprovada que estabeleça a instituição de uma área de auditoria interna ou contrato vigente com pessoa jurídica terceirizada de auditoria interna.</t>
        </is>
      </c>
      <c r="AA65">
        <f>Y65=Z65</f>
        <v/>
      </c>
    </row>
    <row r="66" ht="17.25" customHeight="1">
      <c r="B66" s="12" t="inlineStr">
        <is>
          <t>13.2 A função de auditoria interna reporta-se diretamente à alta direção ou instância de governança da pessoa jurídica? Se sim, anexar o estatuto ou outro documento que demonstre o nível de reporte da função de auditoria interna.</t>
        </is>
      </c>
      <c r="C66">
        <f>B66=Tabela_3__Validação_da_Tabela_PerguntaFormularioTipoAvaliacao[[#This Row],[DescTituloPerguntaFormularioTipoAvaliacao]]</f>
        <v/>
      </c>
      <c r="N66" s="58" t="n">
        <v>5</v>
      </c>
      <c r="O66" s="2" t="n">
        <v>5</v>
      </c>
      <c r="P66">
        <f>N66=O66</f>
        <v/>
      </c>
      <c r="Y66" s="64" t="inlineStr">
        <is>
          <t>Evidências de norma (política, regimento interno, estatuto social, organograma) formalmente aprovada, ou contrato de audioria interna terceirizada, que estabeleçam o nível de reporte da área ou função de auditoria interna.</t>
        </is>
      </c>
      <c r="Z66" s="3" t="inlineStr">
        <is>
          <t>Evidências de norma (política, regimento interno, estatuto social, organograma) formalmente aprovada, ou contrato de audioria interna terceirizada, que estabeleçam o nível de reporte da área ou função de auditoria interna.</t>
        </is>
      </c>
      <c r="AA66">
        <f>Y66=Z66</f>
        <v/>
      </c>
    </row>
    <row r="67" ht="17.25" customHeight="1">
      <c r="B67" s="12"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C67">
        <f>B67=Tabela_3__Validação_da_Tabela_PerguntaFormularioTipoAvaliacao[[#This Row],[DescTituloPerguntaFormularioTipoAvaliacao]]</f>
        <v/>
      </c>
      <c r="N67" s="60" t="n">
        <v>5</v>
      </c>
      <c r="O67" s="2" t="n">
        <v>5</v>
      </c>
      <c r="P67">
        <f>N67=O67</f>
        <v/>
      </c>
      <c r="Y67" s="65" t="inlineStr">
        <is>
          <t>Evidências que comprovem a estrutura, recursos e nível de acesso adequado para a auditoria interna, tais como: política, regimento interno, estatuto social, organogram, orçamento, atas de reunião etc.</t>
        </is>
      </c>
      <c r="Z67" s="3" t="inlineStr">
        <is>
          <t>Evidências que comprovem a estrutura, recursos e nível de acesso adequado para a auditoria interna, tais como: política, regimento interno, estatuto social, organogram, orçamento, atas de reunião etc.</t>
        </is>
      </c>
      <c r="AA67">
        <f>Y67=Z67</f>
        <v/>
      </c>
    </row>
    <row r="68" ht="17.25" customHeight="1">
      <c r="B68" s="12" t="inlineStr">
        <is>
          <t>13.4 São produzidos relatórios periódicos de auditoria interna? Se sim, anexar o último relatório anual de atividades da unidade de auditoria interna.</t>
        </is>
      </c>
      <c r="C68">
        <f>B68=Tabela_3__Validação_da_Tabela_PerguntaFormularioTipoAvaliacao[[#This Row],[DescTituloPerguntaFormularioTipoAvaliacao]]</f>
        <v/>
      </c>
      <c r="N68" s="58" t="n">
        <v>18</v>
      </c>
      <c r="O68" s="2" t="n">
        <v>18</v>
      </c>
      <c r="P68">
        <f>N68=O68</f>
        <v/>
      </c>
      <c r="Y68" s="64" t="inlineStr">
        <is>
          <t>Evidências do último relatório anual de auditoria interna produzido, ou ata de reunião que comprove sua análise e aprovação.</t>
        </is>
      </c>
      <c r="Z68" s="3" t="inlineStr">
        <is>
          <t>Evidências do último relatório anual de auditoria interna produzido, ou ata de reunião que comprove sua análise e aprovação.</t>
        </is>
      </c>
      <c r="AA68">
        <f>Y68=Z68</f>
        <v/>
      </c>
    </row>
    <row r="69" ht="17.25" customHeight="1">
      <c r="B69" s="13"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C69">
        <f>B69=Tabela_3__Validação_da_Tabela_PerguntaFormularioTipoAvaliacao[[#This Row],[DescTituloPerguntaFormularioTipoAvaliacao]]</f>
        <v/>
      </c>
      <c r="N69" s="60" t="n">
        <v>18</v>
      </c>
      <c r="O69" s="9" t="n">
        <v>18</v>
      </c>
      <c r="P69">
        <f>N69=O69</f>
        <v/>
      </c>
      <c r="Y69" s="65" t="inlineStr">
        <is>
          <t>Evidências de tratamento das recomendações ou apontamentos emitidos pela função de auditoria interna, em que se constate, entre outros, o seu tempo médio de correção (print de sistemas, apresentações da área de auditoria interna, relatórios, atas de reuniões, plano de ação etc).</t>
        </is>
      </c>
      <c r="Z69" s="3" t="inlineStr">
        <is>
          <t>Evidências de tratamento das recomendações ou apontamentos emitidos pela função de auditoria interna, em que se constate, entre outros, o seu tempo médio de correção (print de sistemas, apresentações da área de auditoria interna, relatórios, atas de reuniões, plano de ação etc).</t>
        </is>
      </c>
      <c r="AA69">
        <f>Y69=Z69</f>
        <v/>
      </c>
    </row>
    <row r="70" ht="17.25" customHeight="1">
      <c r="B70" s="4" t="inlineStr">
        <is>
          <t>14.1 A pessoa jurídica possui políticas e procedimentos baseadas em risco para a realização de diligências, contratação e supervisão de terceiros, que:</t>
        </is>
      </c>
      <c r="C70">
        <f>B70=Tabela_3__Validação_da_Tabela_PerguntaFormularioTipoAvaliacao[[#This Row],[DescTituloPerguntaFormularioTipoAvaliacao]]</f>
        <v/>
      </c>
      <c r="N70" s="58" t="n">
        <v>0</v>
      </c>
      <c r="O70" s="2" t="n">
        <v>0</v>
      </c>
      <c r="P70">
        <f>N70=O70</f>
        <v/>
      </c>
      <c r="Y70" s="64" t="inlineStr"/>
      <c r="Z70" s="3" t="n"/>
      <c r="AA70">
        <f>Y70=Z70</f>
        <v/>
      </c>
    </row>
    <row r="71" ht="17.25" customHeight="1">
      <c r="B71" s="4"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C71">
        <f>B71=Tabela_3__Validação_da_Tabela_PerguntaFormularioTipoAvaliacao[[#This Row],[DescTituloPerguntaFormularioTipoAvaliacao]]</f>
        <v/>
      </c>
      <c r="N71" s="60" t="n">
        <v>20</v>
      </c>
      <c r="O71" s="2" t="n">
        <v>20</v>
      </c>
      <c r="P71">
        <f>N71=O71</f>
        <v/>
      </c>
      <c r="Y71" s="65" t="inlineStr">
        <is>
          <t>Evidências de normas para identificar histórico de envolvimento em atos de corrupção ou fraude contra a Administração Pública, tanto por parte de pessoa jurídica terceira quanto de seus sócios.</t>
        </is>
      </c>
      <c r="Z71" s="3" t="inlineStr">
        <is>
          <t>Evidências de normas para identificar histórico de envolvimento em atos de corrupção ou fraude contra a Administração Pública, tanto por parte de pessoa jurídica terceira quanto de seus sócios.</t>
        </is>
      </c>
      <c r="AA71">
        <f>Y71=Z71</f>
        <v/>
      </c>
    </row>
    <row r="72" ht="17.25" customHeight="1">
      <c r="B72" s="3" t="inlineStr">
        <is>
          <t>14.1.2 determinam a verificação da existência de registro do terceiro em “listas sujas” de trabalho escravo ou em condições análogas às de escravo? Se sim, anexar as políticas e/ou procedimentos, indicando o artigo, item e/ou página onde consta essa previsão.</t>
        </is>
      </c>
      <c r="C72">
        <f>B72=Tabela_3__Validação_da_Tabela_PerguntaFormularioTipoAvaliacao[[#This Row],[DescTituloPerguntaFormularioTipoAvaliacao]]</f>
        <v/>
      </c>
      <c r="N72" s="58" t="n">
        <v>5</v>
      </c>
      <c r="O72" s="2" t="n">
        <v>5</v>
      </c>
      <c r="P72">
        <f>N72=O72</f>
        <v/>
      </c>
      <c r="Y72" s="64" t="inlineStr">
        <is>
          <t>Evidências de normas para identificar histórico de registro em “listas sujas” de trabalho escravo ou em condições análogas às de escravo, tanto por parte de empresa terceira quanto de seus sócios.</t>
        </is>
      </c>
      <c r="Z72" s="3" t="inlineStr">
        <is>
          <t>Evidências de normas para identificar histórico de registro em “listas sujas” de trabalho escravo ou em condições análogas às de escravo, tanto por parte de empresa terceira quanto de seus sócios.</t>
        </is>
      </c>
      <c r="AA72">
        <f>Y72=Z72</f>
        <v/>
      </c>
    </row>
    <row r="73" ht="17.25" customHeight="1">
      <c r="B73" s="3" t="inlineStr">
        <is>
          <t>14.1.3 determinam a verificação de possível envolvimento do terceiro em crimes ambientais ou em práticas nocivas ao meio ambiente?  Se sim, anexar as políticas e/ou procedimentos, indicando o artigo, item e/ou página onde consta essa previsão.</t>
        </is>
      </c>
      <c r="C73">
        <f>B73=Tabela_3__Validação_da_Tabela_PerguntaFormularioTipoAvaliacao[[#This Row],[DescTituloPerguntaFormularioTipoAvaliacao]]</f>
        <v/>
      </c>
      <c r="N73" s="60" t="n">
        <v>5</v>
      </c>
      <c r="O73" s="2" t="n">
        <v>5</v>
      </c>
      <c r="P73">
        <f>N73=O73</f>
        <v/>
      </c>
      <c r="Y73" s="65" t="inlineStr">
        <is>
          <t>Evidências de normas para identificar histórico de envolvimento em crimes ambientais ou práticas nocivas ao meio ambiente, tanto por parte de empresa terceira quanto de seus sócios.</t>
        </is>
      </c>
      <c r="Z73" s="3" t="inlineStr">
        <is>
          <t>Evidências de normas para identificar histórico de envolvimento em crimes ambientais ou práticas nocivas ao meio ambiente, tanto por parte de empresa terceira quanto de seus sócios.</t>
        </is>
      </c>
      <c r="AA73">
        <f>Y73=Z73</f>
        <v/>
      </c>
    </row>
    <row r="74" ht="17.25" customHeight="1">
      <c r="B74" s="3" t="inlineStr">
        <is>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is>
      </c>
      <c r="C74">
        <f>B74=Tabela_3__Validação_da_Tabela_PerguntaFormularioTipoAvaliacao[[#This Row],[DescTituloPerguntaFormularioTipoAvaliacao]]</f>
        <v/>
      </c>
      <c r="N74" s="58" t="n">
        <v>5</v>
      </c>
      <c r="O74" s="2" t="n">
        <v>5</v>
      </c>
      <c r="P74">
        <f>N74=O74</f>
        <v/>
      </c>
      <c r="Y74" s="64" t="inlineStr">
        <is>
          <t>Evidências de normas definindo medidas de mitigação a serem aplicadas no caso de contração de terceiros de alto risco.</t>
        </is>
      </c>
      <c r="Z74" s="3" t="inlineStr">
        <is>
          <t>Evidências de normas definindo medidas de mitigação a serem aplicadas no caso de contração de terceiros de alto risco.</t>
        </is>
      </c>
      <c r="AA74">
        <f>Y74=Z74</f>
        <v/>
      </c>
    </row>
    <row r="75" ht="17.25" customHeight="1">
      <c r="B75" s="3" t="inlineStr">
        <is>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is>
      </c>
      <c r="C75">
        <f>B75=Tabela_3__Validação_da_Tabela_PerguntaFormularioTipoAvaliacao[[#This Row],[DescTituloPerguntaFormularioTipoAvaliacao]]</f>
        <v/>
      </c>
      <c r="N75" s="60" t="n">
        <v>18</v>
      </c>
      <c r="O75" s="2" t="n">
        <v>18</v>
      </c>
      <c r="P75">
        <f>N75=O75</f>
        <v/>
      </c>
      <c r="Y75" s="65" t="inlineStr">
        <is>
          <t>Exemplos de resultados de diligências na qual a pessoa jurídica demonstre que aplicou seus procedimentos de avaliação de parceiros de negócios, e o fluxo de deliberação sobre a contratação.</t>
        </is>
      </c>
      <c r="Z75" s="3" t="inlineStr">
        <is>
          <t>Exemplos de resultados de diligências na qual a pessoa jurídica demonstre que aplicou seus procedimentos de avaliação de parceiros de negócios, e o fluxo de deliberação sobre a contratação.</t>
        </is>
      </c>
      <c r="AA75">
        <f>Y75=Z75</f>
        <v/>
      </c>
    </row>
    <row r="76" ht="17.25" customHeight="1">
      <c r="B76" s="10" t="inlineStr">
        <is>
          <t>15.1 As políticas e procedimentos sobre contratação de terceiros estabeleçam a inclusão de cláusulas, nos contratos relevantes celebrados com terceiros, que:</t>
        </is>
      </c>
      <c r="C76">
        <f>B76=Tabela_3__Validação_da_Tabela_PerguntaFormularioTipoAvaliacao[[#This Row],[DescTituloPerguntaFormularioTipoAvaliacao]]</f>
        <v/>
      </c>
      <c r="N76" s="58" t="n">
        <v>0</v>
      </c>
      <c r="O76" s="12" t="n">
        <v>0</v>
      </c>
      <c r="P76">
        <f>N76=O76</f>
        <v/>
      </c>
      <c r="Y76" s="64" t="inlineStr"/>
      <c r="Z76" s="3" t="n"/>
      <c r="AA76">
        <f>Y76=Z76</f>
        <v/>
      </c>
    </row>
    <row r="77" ht="17.25" customHeight="1">
      <c r="B77" s="3" t="inlineStr">
        <is>
          <t>15.1.1 estabelecem a vedação de práticas de fraude e corrupção e exigem a observância do cumprimento de normas éticas, trabalhistas e sociais? Se sim, anexar as políticas e/ou procedimentos, indicando o artigo, item e/ou página onde consta essa previsão.</t>
        </is>
      </c>
      <c r="C77">
        <f>B77=Tabela_3__Validação_da_Tabela_PerguntaFormularioTipoAvaliacao[[#This Row],[DescTituloPerguntaFormularioTipoAvaliacao]]</f>
        <v/>
      </c>
      <c r="N77" s="60" t="n">
        <v>5</v>
      </c>
      <c r="O77" s="2" t="n">
        <v>5</v>
      </c>
      <c r="P77">
        <f>N77=O77</f>
        <v/>
      </c>
      <c r="Y77" s="65" t="inlineStr">
        <is>
          <t>Evidências de normas que exijam a utilização de cláusula anticorrupção e de cumprimento de normas éticas, trabalhistas e sociais nos contratos celebrados com terceiros.</t>
        </is>
      </c>
      <c r="Z77" s="3" t="inlineStr">
        <is>
          <t>Evidências de normas que exijam a utilização de cláusula anticorrupção e de cumprimento de normas éticas, trabalhistas e sociais nos contratos celebrados com terceiros.</t>
        </is>
      </c>
      <c r="AA77">
        <f>Y77=Z77</f>
        <v/>
      </c>
    </row>
    <row r="78" ht="17.25" customHeight="1">
      <c r="B78" s="3" t="inlineStr">
        <is>
          <t>15.1.2 preveem a aplicação de penalidades e/ou de rescisão contratual em caso de descumprimento de normas éticas e prática de fraude e corrupção? Se sim, anexar as políticas e/ou procedimentos, indicando o artigo, item e/ou página onde consta essa previsão.</t>
        </is>
      </c>
      <c r="C78">
        <f>B78=Tabela_3__Validação_da_Tabela_PerguntaFormularioTipoAvaliacao[[#This Row],[DescTituloPerguntaFormularioTipoAvaliacao]]</f>
        <v/>
      </c>
      <c r="N78" s="58" t="n">
        <v>5</v>
      </c>
      <c r="O78" s="2" t="n">
        <v>5</v>
      </c>
      <c r="P78">
        <f>N78=O78</f>
        <v/>
      </c>
      <c r="Y78" s="64" t="inlineStr">
        <is>
          <t>Evidências de normas que prevejam as penalidades ou rescisão do contrato por práticas de corrupção e descumprimento de normas normas éticas, trabalhistas e sociais, segundo a legislação vigente.</t>
        </is>
      </c>
      <c r="Z78" s="3" t="inlineStr">
        <is>
          <t>Evidências de normas que prevejam as penalidades ou rescisão do contrato por práticas de corrupção e descumprimento de normas normas éticas, trabalhistas e sociais, segundo a legislação vigente.</t>
        </is>
      </c>
      <c r="AA78">
        <f>Y78=Z78</f>
        <v/>
      </c>
    </row>
    <row r="79" ht="17.25" customHeight="1">
      <c r="B79" s="3"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C79">
        <f>B79=Tabela_3__Validação_da_Tabela_PerguntaFormularioTipoAvaliacao[[#This Row],[DescTituloPerguntaFormularioTipoAvaliacao]]</f>
        <v/>
      </c>
      <c r="N79" s="60" t="n">
        <v>18</v>
      </c>
      <c r="O79" s="2" t="n">
        <v>18</v>
      </c>
      <c r="P79">
        <f>N79=O79</f>
        <v/>
      </c>
      <c r="Y79" s="65" t="inlineStr">
        <is>
          <t>Exemplos de contratos ou de trechos de contratos reais, que contemplem as medidas estabelecidas nas políticas e procedimentos anteriormente descritos, e que permitam identificar a pessoa jurídica como parte.</t>
        </is>
      </c>
      <c r="Z79" s="3" t="inlineStr">
        <is>
          <t>Exemplos de contratos ou de trechos de contratos reais, que contemplem as medidas estabelecidas nas políticas e procedimentos anteriormente descritos, e que permitam identificar a pessoa jurídica como parte.</t>
        </is>
      </c>
      <c r="AA79">
        <f>Y79=Z79</f>
        <v/>
      </c>
    </row>
    <row r="80" ht="17.25" customHeight="1">
      <c r="B80" s="3"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C80">
        <f>B80=Tabela_3__Validação_da_Tabela_PerguntaFormularioTipoAvaliacao[[#This Row],[DescTituloPerguntaFormularioTipoAvaliacao]]</f>
        <v/>
      </c>
      <c r="N80" s="58" t="n">
        <v>15</v>
      </c>
      <c r="O80" s="2" t="n">
        <v>15</v>
      </c>
      <c r="P80">
        <f>N80=O80</f>
        <v/>
      </c>
      <c r="Y80" s="64" t="inlineStr">
        <is>
          <t>Evidências de normas que prevejam a verificação do histórico de envolvimento das empresas envolvidas nas operações societárias corrupção, fraude ou violação de direitos humanos ou trabalhistas.</t>
        </is>
      </c>
      <c r="Z80" s="3" t="inlineStr">
        <is>
          <t>Evidências de normas que prevejam a verificação do histórico de envolvimento das empresas envolvidas nas operações societárias corrupção, fraude ou violação de direitos humanos ou trabalhistas.</t>
        </is>
      </c>
      <c r="AA80">
        <f>Y80=Z80</f>
        <v/>
      </c>
    </row>
    <row r="81" ht="17.25" customHeight="1">
      <c r="B81" s="8" t="inlineStr">
        <is>
          <t>16.2 A pessoa jurídica realizou diligências prévias a fusões, aquisições e outras operações societárias nos últimos 24 meses? Se sim, anexar documentos que comprovem a aplicação das políticas/procedimentos.</t>
        </is>
      </c>
      <c r="C81">
        <f>B81=Tabela_3__Validação_da_Tabela_PerguntaFormularioTipoAvaliacao[[#This Row],[DescTituloPerguntaFormularioTipoAvaliacao]]</f>
        <v/>
      </c>
      <c r="N81" s="60" t="n">
        <v>18</v>
      </c>
      <c r="O81" s="9" t="n">
        <v>18</v>
      </c>
      <c r="P81">
        <f>N81=O81</f>
        <v/>
      </c>
      <c r="Y81" s="65" t="inlineStr">
        <is>
          <t>Exemplos de relatórios, pareceres, comunicações internas, auditorias específicas etc, que comprovem as diligências para verificar o histórico de prática de atos de corrupção, fraude ou violação de direitos humanos ou trabalhistas nas empresas envolvidas.</t>
        </is>
      </c>
      <c r="Z81" s="3" t="inlineStr">
        <is>
          <t>Exemplos de relatórios, pareceres, comunicações internas, auditorias específicas etc, que comprovem as diligências para verificar o histórico de prática de atos de corrupção, fraude ou violação de direitos humanos ou trabalhistas nas empresas envolvidas.</t>
        </is>
      </c>
      <c r="AA81">
        <f>Y81=Z81</f>
        <v/>
      </c>
    </row>
    <row r="82" ht="17.25" customHeight="1">
      <c r="B82" s="4"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C82">
        <f>B82=Tabela_3__Validação_da_Tabela_PerguntaFormularioTipoAvaliacao[[#This Row],[DescTituloPerguntaFormularioTipoAvaliacao]]</f>
        <v/>
      </c>
      <c r="N82" s="58" t="n">
        <v>20</v>
      </c>
      <c r="O82" s="2" t="n">
        <v>20</v>
      </c>
      <c r="P82">
        <f>N82=O82</f>
        <v/>
      </c>
      <c r="Y82" s="64" t="inlineStr">
        <is>
          <t>Evidências da existência de canais de denúncias, com link direto para a área do site e o caminho de navegação a partir da página inicial ou telefone, em português.</t>
        </is>
      </c>
      <c r="Z82" s="3" t="inlineStr">
        <is>
          <t>Evidências da existência de canais de denúncias, com link direto para a área do site e o caminho de navegação a partir da página inicial ou telefone, em português.</t>
        </is>
      </c>
      <c r="AA82">
        <f>Y82=Z82</f>
        <v/>
      </c>
    </row>
    <row r="83" ht="17.25" customHeight="1">
      <c r="B83" s="3" t="inlineStr">
        <is>
          <t>17.2 O canal de denúncias da pessoa jurídica:</t>
        </is>
      </c>
      <c r="C83">
        <f>B83=Tabela_3__Validação_da_Tabela_PerguntaFormularioTipoAvaliacao[[#This Row],[DescTituloPerguntaFormularioTipoAvaliacao]]</f>
        <v/>
      </c>
      <c r="N83" s="60" t="n">
        <v>0</v>
      </c>
      <c r="O83" s="2" t="n"/>
      <c r="P83">
        <f>N83=O83</f>
        <v/>
      </c>
      <c r="Y83" s="65" t="inlineStr"/>
      <c r="Z83" s="3" t="n"/>
      <c r="AA83">
        <f>Y83=Z83</f>
        <v/>
      </c>
    </row>
    <row r="84" ht="17.25" customHeight="1">
      <c r="B84" s="3" t="inlineStr">
        <is>
          <t>17.2.1 é operacionalizado por meio de formulário eletrônico a partir da página institucional da pessoa jurídica na internet? Se sim, informar o link e descrever o caminho, desde a página inicial da empresa, para acesso ao canal.</t>
        </is>
      </c>
      <c r="C84">
        <f>B84=Tabela_3__Validação_da_Tabela_PerguntaFormularioTipoAvaliacao[[#This Row],[DescTituloPerguntaFormularioTipoAvaliacao]]</f>
        <v/>
      </c>
      <c r="N84" s="58" t="n">
        <v>5</v>
      </c>
      <c r="O84" s="2" t="n">
        <v>5</v>
      </c>
      <c r="P84">
        <f>N84=O84</f>
        <v/>
      </c>
      <c r="Y84" s="64" t="inlineStr">
        <is>
          <t>Evidências da existência de canais de denúncias, operacionalizado por meio de formulário eletrônico, com link direto para a área do site e o caminho de navegação a partir da página inicial.</t>
        </is>
      </c>
      <c r="Z84" s="3" t="inlineStr">
        <is>
          <t>Evidências da existência de canais de denúncias, operacionalizado por meio de formulário eletrônico, com link direto para a área do site e o caminho de navegação a partir da página inicial.</t>
        </is>
      </c>
      <c r="AA84">
        <f>Y84=Z84</f>
        <v/>
      </c>
    </row>
    <row r="85" ht="17.25" customHeight="1">
      <c r="B85" s="3" t="inlineStr">
        <is>
          <t>17.2.2 oferece expressamente garantias de proteção aos denunciantes de boa-fé, como anonimato e não retaliação? Se sim, anexar documentos que comprovem essa informação.</t>
        </is>
      </c>
      <c r="C85">
        <f>B85=Tabela_3__Validação_da_Tabela_PerguntaFormularioTipoAvaliacao[[#This Row],[DescTituloPerguntaFormularioTipoAvaliacao]]</f>
        <v/>
      </c>
      <c r="N85" s="60" t="n">
        <v>5</v>
      </c>
      <c r="O85" s="2" t="n">
        <v>5</v>
      </c>
      <c r="P85">
        <f>N85=O85</f>
        <v/>
      </c>
      <c r="Y85" s="65" t="inlineStr">
        <is>
          <t>Indicações expressas, no próprio Canal, sobre as garantias de proteção oferecidas aos denunciantes de boa-fé.</t>
        </is>
      </c>
      <c r="Z85" s="3" t="inlineStr">
        <is>
          <t>Indicações expressas, no próprio Canal, sobre as garantias de proteção oferecidas aos denunciantes de boa-fé.</t>
        </is>
      </c>
      <c r="AA85">
        <f>Y85=Z85</f>
        <v/>
      </c>
    </row>
    <row r="86" ht="17.25" customHeight="1">
      <c r="B86" s="3" t="inlineStr">
        <is>
          <t>17.2.3 permite o acompanhamento da apuração da denúncia pelo denunciante? Se sim, anexar documentos que comprovem essa informação.</t>
        </is>
      </c>
      <c r="C86">
        <f>B86=Tabela_3__Validação_da_Tabela_PerguntaFormularioTipoAvaliacao[[#This Row],[DescTituloPerguntaFormularioTipoAvaliacao]]</f>
        <v/>
      </c>
      <c r="N86" s="58" t="n">
        <v>5</v>
      </c>
      <c r="O86" s="2" t="n">
        <v>5</v>
      </c>
      <c r="P86">
        <f>N86=O86</f>
        <v/>
      </c>
      <c r="Y86" s="64" t="inlineStr">
        <is>
          <t>Evidências da possibilidade de acompanhamento da apuração da denúncia pelo denunciante, inclusive com a disponibilização, no próprio canal, de campo específico para esse fim, tais como protocolo etc.</t>
        </is>
      </c>
      <c r="Z86" s="3" t="inlineStr">
        <is>
          <t>Evidências da possibilidade de acompanhamento da apuração da denúncia pelo denunciante, inclusive com a disponibilização, no próprio canal, de campo específico para esse fim, tais como protocolo etc.</t>
        </is>
      </c>
      <c r="AA86">
        <f>Y86=Z86</f>
        <v/>
      </c>
    </row>
    <row r="87" ht="17.25" customHeight="1">
      <c r="B87" s="3" t="inlineStr">
        <is>
          <t>17.3 O canal de denúncias funcionou quando testado pelo avaliador?</t>
        </is>
      </c>
      <c r="C87">
        <f>B87=Tabela_3__Validação_da_Tabela_PerguntaFormularioTipoAvaliacao[[#This Row],[DescTituloPerguntaFormularioTipoAvaliacao]]</f>
        <v/>
      </c>
      <c r="N87" s="60" t="n">
        <v>25</v>
      </c>
      <c r="O87" s="2" t="n">
        <v>25</v>
      </c>
      <c r="P87">
        <f>N87=O87</f>
        <v/>
      </c>
      <c r="Y87" s="65" t="inlineStr"/>
      <c r="Z87" s="3" t="n"/>
      <c r="AA87">
        <f>Y87=Z87</f>
        <v/>
      </c>
    </row>
    <row r="88" ht="17.25" customHeight="1">
      <c r="B88" s="3"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C88">
        <f>B88=Tabela_3__Validação_da_Tabela_PerguntaFormularioTipoAvaliacao[[#This Row],[DescTituloPerguntaFormularioTipoAvaliacao]]</f>
        <v/>
      </c>
      <c r="N88" s="58" t="n">
        <v>15</v>
      </c>
      <c r="O88" s="2" t="n">
        <v>15</v>
      </c>
      <c r="P88">
        <f>N88=O88</f>
        <v/>
      </c>
      <c r="Y88" s="64" t="inlineStr">
        <is>
          <t>Evidências de normas que estabeleçam o fluxo de tratamento e apuração das denúncias, bem como ações de remediação para casos de fraudes, corrupção ou violação de direitos humanos e trabalhistas.</t>
        </is>
      </c>
      <c r="Z88" s="3" t="inlineStr">
        <is>
          <t>Evidências de normas que estabeleçam o fluxo de tratamento e apuração das denúncias, bem como ações de remediação para casos de fraudes, corrupção ou violação de direitos humanos e trabalhistas.</t>
        </is>
      </c>
      <c r="AA88">
        <f>Y88=Z88</f>
        <v/>
      </c>
    </row>
    <row r="89" ht="17.25" customHeight="1">
      <c r="B89" s="3" t="inlineStr">
        <is>
          <t>18.2 As políticas e procedimentos definem:</t>
        </is>
      </c>
      <c r="C89">
        <f>B89=Tabela_3__Validação_da_Tabela_PerguntaFormularioTipoAvaliacao[[#This Row],[DescTituloPerguntaFormularioTipoAvaliacao]]</f>
        <v/>
      </c>
      <c r="N89" s="60" t="n">
        <v>0</v>
      </c>
      <c r="O89" s="2" t="n">
        <v>0</v>
      </c>
      <c r="P89">
        <f>N89=O89</f>
        <v/>
      </c>
      <c r="Y89" s="65" t="inlineStr"/>
      <c r="Z89" s="3" t="n"/>
      <c r="AA89">
        <f>Y89=Z89</f>
        <v/>
      </c>
    </row>
    <row r="90" ht="17.25" customHeight="1">
      <c r="B90" s="3" t="inlineStr">
        <is>
          <t>18.2.1 salvaguardas e prerrogativas de acesso a documentos, sistemas e pessoas por parte dos responsáveis pela apuração? Se sim, anexar a política ou procedimentos e indicar o(s) dispositivo(s) do documento que atenda(m) ao requisito.</t>
        </is>
      </c>
      <c r="C90">
        <f>B90=Tabela_3__Validação_da_Tabela_PerguntaFormularioTipoAvaliacao[[#This Row],[DescTituloPerguntaFormularioTipoAvaliacao]]</f>
        <v/>
      </c>
      <c r="N90" s="58" t="n">
        <v>5</v>
      </c>
      <c r="O90" s="2" t="n">
        <v>5</v>
      </c>
      <c r="P90">
        <f>N90=O90</f>
        <v/>
      </c>
      <c r="Y90" s="64" t="inlineStr">
        <is>
          <t>Evidências de normas que assegurem fluxo específico de apuração das denúncias no caso de envolvimento de membros da alta administração.</t>
        </is>
      </c>
      <c r="Z90" s="3" t="inlineStr">
        <is>
          <t>Evidências de normas que estabeleçam garantias de acesso irrestrito a documentos, sistemas e pessoas aos responsáveis pela apuração.</t>
        </is>
      </c>
      <c r="AA90" s="67">
        <f>Y90=Z90</f>
        <v/>
      </c>
      <c r="AB90" t="inlineStr">
        <is>
          <t>Corrigir</t>
        </is>
      </c>
    </row>
    <row r="91" ht="17.25" customHeight="1">
      <c r="B91" s="3" t="inlineStr">
        <is>
          <t>18.2.2 fluxo específico para apuração de denúncias envolvendo membros da alta direção? Se sim, anexar a política ou procedimentos e indicar o(s) dispositivo(s) do documento que atenda(m) ao requisito.</t>
        </is>
      </c>
      <c r="C91">
        <f>B91=Tabela_3__Validação_da_Tabela_PerguntaFormularioTipoAvaliacao[[#This Row],[DescTituloPerguntaFormularioTipoAvaliacao]]</f>
        <v/>
      </c>
      <c r="N91" s="60" t="n">
        <v>5</v>
      </c>
      <c r="O91" s="2" t="n">
        <v>5</v>
      </c>
      <c r="P91">
        <f>N91=O91</f>
        <v/>
      </c>
      <c r="Y91" s="65" t="inlineStr">
        <is>
          <t>Evidências de normas que assegurem fluxo específico de apuração das denúncias no caso de envolvimento de membros da alta administração.</t>
        </is>
      </c>
      <c r="Z91" s="3" t="inlineStr">
        <is>
          <t>Evidências de normas que assegurem fluxo específico de apuração das denúncias no caso de envolvimento de membros da alta administração.</t>
        </is>
      </c>
      <c r="AA91">
        <f>Y91=Z91</f>
        <v/>
      </c>
    </row>
    <row r="92" ht="17.25" customHeight="1">
      <c r="B92" s="10" t="inlineStr">
        <is>
          <t>18.3 A pessoa jurídica realizou o tratamento das denúncias recebidas nos últimos 24 meses? Se sim, anexar documentos que demonstrem o tratamento do universo de denúncias recebidas no período.</t>
        </is>
      </c>
      <c r="C92">
        <f>B92=Tabela_3__Validação_da_Tabela_PerguntaFormularioTipoAvaliacao[[#This Row],[DescTituloPerguntaFormularioTipoAvaliacao]]</f>
        <v/>
      </c>
      <c r="N92" s="58" t="n">
        <v>18</v>
      </c>
      <c r="O92" s="2" t="n">
        <v>18</v>
      </c>
      <c r="P92">
        <f>N92=O92</f>
        <v/>
      </c>
      <c r="Y92" s="64" t="inlineStr">
        <is>
          <t>Evidências de dados e estatísticas sobre denúncias registradas e exemplos de documentos reais de apurações e seus desdobramentos (relatórios, atas de reuniões, dashboards etc)</t>
        </is>
      </c>
      <c r="Z92" s="3" t="inlineStr">
        <is>
          <t>Evidências de dados e estatísticas sobre denúncias registradas e exemplos de documentos reais de apurações e seus desdobramentos (relatórios, atas de reuniões, dashboards etc)</t>
        </is>
      </c>
      <c r="AA92">
        <f>Y92=Z92</f>
        <v/>
      </c>
    </row>
    <row r="93" ht="17.25" customHeight="1">
      <c r="B93" s="3" t="inlineStr">
        <is>
          <t>19.1 As políticas e procedimentos relacionadas ao tratamento, apuração e remediação de casos de fraudes, corrupção ou violação de direitos humanos e trabalhistas definem:</t>
        </is>
      </c>
      <c r="C93">
        <f>B93=Tabela_3__Validação_da_Tabela_PerguntaFormularioTipoAvaliacao[[#This Row],[DescTituloPerguntaFormularioTipoAvaliacao]]</f>
        <v/>
      </c>
      <c r="N93" s="60" t="n">
        <v>0</v>
      </c>
      <c r="O93" s="2" t="n">
        <v>0</v>
      </c>
      <c r="P93">
        <f>N93=O93</f>
        <v/>
      </c>
      <c r="Y93" s="65" t="inlineStr"/>
      <c r="Z93" s="3" t="n"/>
      <c r="AA93">
        <f>Y93=Z93</f>
        <v/>
      </c>
    </row>
    <row r="94" ht="17.25" customHeight="1">
      <c r="B94" s="3" t="inlineStr">
        <is>
          <t>19.1.1 as medidas disciplinares aplicáveis aos casos de infrações relacionadas a fraudes, corrupção ou violação de direitos humanos e trabalhistas? Se sim, anexar a política ou procedimentos e indicar o(s) dispositivo(s) do documento que atenda(m) ao requisito.</t>
        </is>
      </c>
      <c r="C94">
        <f>B94=Tabela_3__Validação_da_Tabela_PerguntaFormularioTipoAvaliacao[[#This Row],[DescTituloPerguntaFormularioTipoAvaliacao]]</f>
        <v/>
      </c>
      <c r="N94" s="58" t="n">
        <v>5</v>
      </c>
      <c r="O94" s="2" t="n">
        <v>5</v>
      </c>
      <c r="P94">
        <f>N94=O94</f>
        <v/>
      </c>
      <c r="Y94" s="64" t="inlineStr">
        <is>
          <t>Evidências de normas que indiquem as medidas disciplinares aplicáveis.</t>
        </is>
      </c>
      <c r="Z94" s="3" t="inlineStr">
        <is>
          <t>Evidências de normas que indiquem as medidas disciplinares aplicáveis.</t>
        </is>
      </c>
      <c r="AA94">
        <f>Y94=Z94</f>
        <v/>
      </c>
    </row>
    <row r="95" ht="17.25" customHeight="1">
      <c r="B95" s="3" t="inlineStr">
        <is>
          <t>19.1.2 a correlação entre as medidas disciplinares e os tipos de infração cometidas e as alçadas para sua aplicação? Se sim, anexar a política ou procedimentos e indicar o(s) dispositivo(s) do documento que atenda(m) ao requisito.</t>
        </is>
      </c>
      <c r="C95">
        <f>B95=Tabela_3__Validação_da_Tabela_PerguntaFormularioTipoAvaliacao[[#This Row],[DescTituloPerguntaFormularioTipoAvaliacao]]</f>
        <v/>
      </c>
      <c r="N95" s="60" t="n">
        <v>5</v>
      </c>
      <c r="O95" s="2" t="n">
        <v>5</v>
      </c>
      <c r="P95">
        <f>N95=O95</f>
        <v/>
      </c>
      <c r="Y95" s="65" t="inlineStr">
        <is>
          <t>Evidências de normas que correlacionem as infrações das normas da pessoa jurídica às medidas disciplinares previstas.</t>
        </is>
      </c>
      <c r="Z95" s="3" t="inlineStr">
        <is>
          <t>Evidências de normas que correlacionem as infrações das normas da pessoa jurídica às medidas disciplinares previstas.</t>
        </is>
      </c>
      <c r="AA95">
        <f>Y95=Z95</f>
        <v/>
      </c>
    </row>
    <row r="96" ht="17.25" customHeight="1">
      <c r="B96" s="3" t="inlineStr">
        <is>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is>
      </c>
      <c r="C96">
        <f>B96=Tabela_3__Validação_da_Tabela_PerguntaFormularioTipoAvaliacao[[#This Row],[DescTituloPerguntaFormularioTipoAvaliacao]]</f>
        <v/>
      </c>
      <c r="N96" s="58" t="n">
        <v>5</v>
      </c>
      <c r="O96" s="2" t="n">
        <v>5</v>
      </c>
      <c r="P96">
        <f>N96=O96</f>
        <v/>
      </c>
      <c r="Y96" s="64" t="inlineStr">
        <is>
          <t>Evidências de normas que visem garantir a aplicação de medidas cautelares para pronta interrupção de irregularidades, incluindo o afastamento de membros da alta administração suspeitos de envolvimento em atos de corrupção ou fraude.</t>
        </is>
      </c>
      <c r="Z96" s="3" t="inlineStr">
        <is>
          <t>Evidências de normas que visem garantir a aplicação de medidas cautelares para pronta interrupção de irregularidades, incluindo o afastamento de membros da alta administração suspeitos de envolvimento em atos de corrupção ou fraude.</t>
        </is>
      </c>
      <c r="AA96">
        <f>Y96=Z96</f>
        <v/>
      </c>
    </row>
    <row r="97" ht="17.25" customHeight="1">
      <c r="B97" s="3" t="inlineStr">
        <is>
          <t>19.1.4 os procedimentos aplicáveis para encaminhamento de denúncias às autoridades competentes? Se sim, anexar a política ou procedimentos e indicar o(s) dispositivo(s) do documento que atenda(m) ao requisito.</t>
        </is>
      </c>
      <c r="C97">
        <f>B97=Tabela_3__Validação_da_Tabela_PerguntaFormularioTipoAvaliacao[[#This Row],[DescTituloPerguntaFormularioTipoAvaliacao]]</f>
        <v/>
      </c>
      <c r="N97" s="60" t="n">
        <v>5</v>
      </c>
      <c r="O97" s="2" t="n">
        <v>5</v>
      </c>
      <c r="P97">
        <f>N97=O97</f>
        <v/>
      </c>
      <c r="Y97" s="65" t="inlineStr">
        <is>
          <t>Evidências de normas que orientem a decisão sobre quando e como deve ser feito o encaminhamento às autoridades competentes de denúncias de irregularidades envolvendo funcionários, dirigentes, intermediários, fornecedores e prestadores de serviço.</t>
        </is>
      </c>
      <c r="Z97" s="3" t="inlineStr">
        <is>
          <t>Evidências de normas que orientem a decisão sobre quando e como deve ser feito o encaminhamento às autoridades competentes de denúncias de irregularidades envolvendo funcionários, dirigentes, intermediários, fornecedores e prestadores de serviço.</t>
        </is>
      </c>
      <c r="AA97">
        <f>Y97=Z97</f>
        <v/>
      </c>
    </row>
    <row r="98" ht="17.25" customHeight="1">
      <c r="B98" s="1"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C98">
        <f>B98=Tabela_3__Validação_da_Tabela_PerguntaFormularioTipoAvaliacao[[#This Row],[DescTituloPerguntaFormularioTipoAvaliacao]]</f>
        <v/>
      </c>
      <c r="N98" s="58" t="n">
        <v>18</v>
      </c>
      <c r="O98" s="14" t="n">
        <v>18</v>
      </c>
      <c r="P98">
        <f>N98=O98</f>
        <v/>
      </c>
      <c r="Y98" s="64" t="inlineStr">
        <is>
          <t>Exemplos de processos reais de apuração de denúncia e/ou de remediação de infração às normas da pessoa jurídica, preservando as informações sensíveis, mas de forma que permita a avaliação quanto aos procedimentos adotados, ou dashboards, relatórios, atas de reunião, relacionados a medidas disciplinares.</t>
        </is>
      </c>
      <c r="Z98" s="3" t="inlineStr">
        <is>
          <t>Exemplos de processos reais de apuração de denúncia e/ou de remediação de infração às normas da pessoa jurídica, preservando as informações sensíveis, mas de forma que permita a avaliação quanto aos procedimentos adotados, ou dashboards, relatórios, atas de reunião, relacionados a medidas disciplinares.</t>
        </is>
      </c>
      <c r="AA98">
        <f>Y98=Z98</f>
        <v/>
      </c>
    </row>
    <row r="99" ht="17.25" customHeight="1">
      <c r="B99" s="4" t="inlineStr">
        <is>
          <t>20.1 A pessoa jurídica possui política ou procedimentos que estabelecem o monitoramento contínuo do programa de integridade? Se sim, anexar a política ou procedimentos e indicar o(s) dispositivo(s) do documento que atenda(m) ao requisito.</t>
        </is>
      </c>
      <c r="C99">
        <f>B99=Tabela_3__Validação_da_Tabela_PerguntaFormularioTipoAvaliacao[[#This Row],[DescTituloPerguntaFormularioTipoAvaliacao]]</f>
        <v/>
      </c>
      <c r="N99" s="60" t="n">
        <v>20</v>
      </c>
      <c r="O99" s="2" t="n">
        <v>20</v>
      </c>
      <c r="P99">
        <f>N99=O99</f>
        <v/>
      </c>
      <c r="Y99" s="65" t="inlineStr">
        <is>
          <t>Evidências de normas internas que estabeleçam regras para o monitoramento do programa de integridade.</t>
        </is>
      </c>
      <c r="Z99" s="3" t="inlineStr">
        <is>
          <t>Evidências de normas internas que estabeleçam regras para o monitoramento do programa de integridade.</t>
        </is>
      </c>
      <c r="AA99">
        <f>Y99=Z99</f>
        <v/>
      </c>
    </row>
    <row r="100" ht="17.25" customHeight="1">
      <c r="B100" s="3" t="inlineStr">
        <is>
          <t>20.2 A política ou procedimentos que estabelecem o monitoramento contínuo do programa de integridade definem:</t>
        </is>
      </c>
      <c r="C100">
        <f>B100=Tabela_3__Validação_da_Tabela_PerguntaFormularioTipoAvaliacao[[#This Row],[DescTituloPerguntaFormularioTipoAvaliacao]]</f>
        <v/>
      </c>
      <c r="N100" s="58" t="n">
        <v>0</v>
      </c>
      <c r="O100" s="2" t="n">
        <v>0</v>
      </c>
      <c r="P100">
        <f>N100=O100</f>
        <v/>
      </c>
      <c r="Y100" s="64" t="inlineStr"/>
      <c r="Z100" s="3" t="n"/>
      <c r="AA100">
        <f>Y100=Z100</f>
        <v/>
      </c>
    </row>
    <row r="101" ht="17.25" customHeight="1">
      <c r="B101" s="3" t="inlineStr">
        <is>
          <t>20.2.1 os responsáveis pelo monitoramento? Se sim, anexar a política ou procedimentos e indicar o(s) dispositivo(s) do documento que atenda(m) ao requisito.</t>
        </is>
      </c>
      <c r="C101">
        <f>B101=Tabela_3__Validação_da_Tabela_PerguntaFormularioTipoAvaliacao[[#This Row],[DescTituloPerguntaFormularioTipoAvaliacao]]</f>
        <v/>
      </c>
      <c r="N101" s="60" t="n">
        <v>5</v>
      </c>
      <c r="O101" s="2" t="n">
        <v>5</v>
      </c>
      <c r="P101">
        <f>N101=O101</f>
        <v/>
      </c>
      <c r="Y101" s="65" t="inlineStr">
        <is>
          <t>Evidências de normas internas que definam os responsáveis pelo monitoramento do programa de integridade.</t>
        </is>
      </c>
      <c r="Z101" s="3" t="inlineStr">
        <is>
          <t>Evidências de normas internas que definam os responsáveis pelo monitoramento do programa de integridade.</t>
        </is>
      </c>
      <c r="AA101">
        <f>Y101=Z101</f>
        <v/>
      </c>
    </row>
    <row r="102" ht="17.25" customHeight="1">
      <c r="B102" s="3" t="inlineStr">
        <is>
          <t>20.2.2 a periodicidade para realização do monitoramento? Se sim, anexar a política ou procedimentos e indicar o(s) dispositivo(s) do documento que atenda(m) ao requisito.</t>
        </is>
      </c>
      <c r="C102">
        <f>B102=Tabela_3__Validação_da_Tabela_PerguntaFormularioTipoAvaliacao[[#This Row],[DescTituloPerguntaFormularioTipoAvaliacao]]</f>
        <v/>
      </c>
      <c r="N102" s="58" t="n">
        <v>5</v>
      </c>
      <c r="O102" s="2" t="n">
        <v>5</v>
      </c>
      <c r="P102">
        <f>N102=O102</f>
        <v/>
      </c>
      <c r="Y102" s="64" t="inlineStr">
        <is>
          <t>Evidências de normas internas que definam a periodicidade de monitoramento do programa de integridade.</t>
        </is>
      </c>
      <c r="Z102" s="3" t="inlineStr">
        <is>
          <t>Evidências de normas internas que definam a periodicidade de monitoramento do programa de integridade.</t>
        </is>
      </c>
      <c r="AA102">
        <f>Y102=Z102</f>
        <v/>
      </c>
    </row>
    <row r="103" ht="17.25" customHeight="1">
      <c r="B103" s="3" t="inlineStr">
        <is>
          <t>20.2.3 as instâncias para as quais serão submetidos os dados e as informações apurados no monitoramento? Se sim, anexar a política ou procedimentos e indicar o(s) dispositivo(s) do documento que atenda(m) ao requisito.</t>
        </is>
      </c>
      <c r="C103">
        <f>B103=Tabela_3__Validação_da_Tabela_PerguntaFormularioTipoAvaliacao[[#This Row],[DescTituloPerguntaFormularioTipoAvaliacao]]</f>
        <v/>
      </c>
      <c r="N103" s="60" t="n">
        <v>5</v>
      </c>
      <c r="O103" s="2" t="n">
        <v>5</v>
      </c>
      <c r="P103">
        <f>N103=O103</f>
        <v/>
      </c>
      <c r="Y103" s="65" t="inlineStr">
        <is>
          <t>Evidências de normas internas que definam as instâncias para as quais os dados e as informações de monitoramento serão submetidos.</t>
        </is>
      </c>
      <c r="Z103" s="3" t="inlineStr">
        <is>
          <t>Evidências de normas internas que definam as instâncias para as quais os dados e as informações de monitoramento serão submetidos.</t>
        </is>
      </c>
      <c r="AA103">
        <f>Y103=Z103</f>
        <v/>
      </c>
    </row>
    <row r="104" ht="17.25" customHeight="1">
      <c r="B104" s="3" t="inlineStr">
        <is>
          <t>20.3 A pessoa jurídica realiza um monitoramento contínuo do programa de integridade por meio de:</t>
        </is>
      </c>
      <c r="C104">
        <f>B104=Tabela_3__Validação_da_Tabela_PerguntaFormularioTipoAvaliacao[[#This Row],[DescTituloPerguntaFormularioTipoAvaliacao]]</f>
        <v/>
      </c>
      <c r="N104" s="58" t="n">
        <v>0</v>
      </c>
      <c r="O104" s="2" t="n">
        <v>0</v>
      </c>
      <c r="P104">
        <f>N104=O104</f>
        <v/>
      </c>
      <c r="Y104" s="64" t="inlineStr"/>
      <c r="Z104" s="3" t="n"/>
      <c r="AA104">
        <f>Y104=Z104</f>
        <v/>
      </c>
    </row>
    <row r="105" ht="17.25" customHeight="1">
      <c r="B105" s="3" t="inlineStr">
        <is>
          <t>20.3.1 utilização de indicadores e estabelecimento de metas de desempenho sobre o programa de integridade, visando avaliar sua efetividade e cumprimento?  Se sim, anexar documentos que comprovem a existência das metas e a utilização dos indicadores.</t>
        </is>
      </c>
      <c r="C105">
        <f>B105=Tabela_3__Validação_da_Tabela_PerguntaFormularioTipoAvaliacao[[#This Row],[DescTituloPerguntaFormularioTipoAvaliacao]]</f>
        <v/>
      </c>
      <c r="N105" s="60" t="n">
        <v>15</v>
      </c>
      <c r="O105" s="2" t="n">
        <v>15</v>
      </c>
      <c r="P105">
        <f>N105=O105</f>
        <v/>
      </c>
      <c r="Y105" s="65" t="inlineStr">
        <is>
          <t>Evidências em documentos, relatórios, dashboards ou apresentações, contendo os indicadores utilizados e as metas de desempenho definidas, evidenciando-se os resultados alcançados em cada período etc.</t>
        </is>
      </c>
      <c r="Z105" s="3" t="inlineStr">
        <is>
          <t>Evidências em documentos, relatórios, dashboards ou apresentações, contendo os indicadores utilizados e as metas de desempenho definidas, evidenciando-se os resultados alcançados em cada período etc.</t>
        </is>
      </c>
      <c r="AA105">
        <f>Y105=Z105</f>
        <v/>
      </c>
    </row>
    <row r="106" ht="17.25" customHeight="1">
      <c r="B106" s="3" t="inlineStr">
        <is>
          <t>20.3.2 relatórios periódicos com dados e estatísticas sobre aplicação das principais políticas e procedimentos de integridade?  Se sim, informar os tipos de relatórios produzidos, o conteúdo neles abordado e os sistemas/softwares eventualmente utilizados.</t>
        </is>
      </c>
      <c r="C106">
        <f>B106=Tabela_3__Validação_da_Tabela_PerguntaFormularioTipoAvaliacao[[#This Row],[DescTituloPerguntaFormularioTipoAvaliacao]]</f>
        <v/>
      </c>
      <c r="N106" s="58" t="n">
        <v>15</v>
      </c>
      <c r="O106" s="2" t="n">
        <v>15</v>
      </c>
      <c r="P106">
        <f>N106=O106</f>
        <v/>
      </c>
      <c r="Y106" s="64" t="inlineStr">
        <is>
          <t>Evidências da regularidade do monitoramento, como relatórios, registros históricos, prints de tela, dashboards, apresentações realizadas, atas de reuniões etc.</t>
        </is>
      </c>
      <c r="Z106" s="3" t="inlineStr">
        <is>
          <t>Evidências da regularidade do monitoramento, como relatórios, registros históricos, prints de tela, dashboards, apresentações realizadas, atas de reuniões etc.</t>
        </is>
      </c>
      <c r="AA106">
        <f>Y106=Z106</f>
        <v/>
      </c>
    </row>
    <row r="107" ht="17.25" customHeight="1">
      <c r="B107" s="8"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C107">
        <f>B107=Tabela_3__Validação_da_Tabela_PerguntaFormularioTipoAvaliacao[[#This Row],[DescTituloPerguntaFormularioTipoAvaliacao]]</f>
        <v/>
      </c>
      <c r="N107" s="60" t="n">
        <v>18</v>
      </c>
      <c r="O107" s="9" t="n">
        <v>18</v>
      </c>
      <c r="P107">
        <f>N107=O107</f>
        <v/>
      </c>
      <c r="Y107" s="65" t="inlineStr">
        <is>
          <t>Evidências do aperfeiçoamento do programa de integridade realizadas a partir do monitoramento, como pesquisas internas, relatórios, atas de reuniões e estudos que embasaram as ações e melhorias implementadas.</t>
        </is>
      </c>
      <c r="Z107" s="3" t="inlineStr">
        <is>
          <t>Evidências do aperfeiçoamento do programa de integridade realizadas a partir do monitoramento, como pesquisas internas, relatórios, atas de reuniões e estudos que embasaram as ações e melhorias implementadas.</t>
        </is>
      </c>
      <c r="AA107">
        <f>Y107=Z107</f>
        <v/>
      </c>
    </row>
    <row r="108" ht="17.25" customHeight="1">
      <c r="B108" s="3"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C108">
        <f>B108=Tabela_3__Validação_da_Tabela_PerguntaFormularioTipoAvaliacao[[#This Row],[DescTituloPerguntaFormularioTipoAvaliacao]]</f>
        <v/>
      </c>
      <c r="N108" s="58" t="n">
        <v>5</v>
      </c>
      <c r="O108" s="2" t="n">
        <v>5</v>
      </c>
      <c r="P108">
        <f>N108=O108</f>
        <v/>
      </c>
      <c r="Y108" s="64" t="inlineStr">
        <is>
          <t>Evidências de documentos formais, aprovados alta direção, que estabeleçam regras para gestão de resíduos, consumo de recursos naturais, emissão de poluentes e medidas de mitigação de impactos etc.</t>
        </is>
      </c>
      <c r="Z108" s="3" t="inlineStr">
        <is>
          <t>Evidências de documentos formais, aprovados alta direção, que estabeleçam regras para gestão de resíduos, consumo de recursos naturais, emissão de poluentes e medidas de mitigação de impactos etc.</t>
        </is>
      </c>
      <c r="AA108">
        <f>Y108=Z108</f>
        <v/>
      </c>
    </row>
    <row r="109" ht="17.25" customHeight="1">
      <c r="B109" s="3" t="inlineStr">
        <is>
          <t>21.2 A pessoa jurídica observa a legislação ambiental e mantém atualizadas as licenças ambientais exigidas para o exercício de suas atividades? Se sim, anexar documentos que comprovem o atendimento ao requisito.</t>
        </is>
      </c>
      <c r="C109">
        <f>B109=Tabela_3__Validação_da_Tabela_PerguntaFormularioTipoAvaliacao[[#This Row],[DescTituloPerguntaFormularioTipoAvaliacao]]</f>
        <v/>
      </c>
      <c r="N109" s="60" t="n">
        <v>5</v>
      </c>
      <c r="O109" s="2" t="n">
        <v>5</v>
      </c>
      <c r="P109">
        <f>N109=O109</f>
        <v/>
      </c>
      <c r="Y109" s="65" t="inlineStr">
        <is>
          <t>Evidências de documentos que comprovem o cumprimento da legislação ambiental e a atualização das licenças ambientais as quais a pessoa jurídica está submetida.</t>
        </is>
      </c>
      <c r="Z109" s="3" t="inlineStr">
        <is>
          <t>Evidências de documentos que comprovem o cumprimento da legislação ambiental e a atualização das licenças ambientais as quais a pessoa jurídica está submetida.</t>
        </is>
      </c>
      <c r="AA109">
        <f>Y109=Z109</f>
        <v/>
      </c>
    </row>
    <row r="110" ht="17.25" customHeight="1">
      <c r="B110" s="3"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C110">
        <f>B110=Tabela_3__Validação_da_Tabela_PerguntaFormularioTipoAvaliacao[[#This Row],[DescTituloPerguntaFormularioTipoAvaliacao]]</f>
        <v/>
      </c>
      <c r="N110" s="58" t="n">
        <v>5</v>
      </c>
      <c r="O110" s="2" t="n">
        <v>5</v>
      </c>
      <c r="P110">
        <f>N110=O110</f>
        <v/>
      </c>
      <c r="Y110" s="64" t="inlineStr">
        <is>
          <t>Evidências de documentos formais, aprovados alta direção, que estabeleçam regras para proteção e promoção dos direitos humanos em suas atividades e relações internas de trabalho.</t>
        </is>
      </c>
      <c r="Z110" s="3" t="inlineStr">
        <is>
          <t>Evidências de documentos formais, aprovados alta direção, que estabeleçam regras para proteção e promoção dos direitos humanos em suas atividades e relações internas de trabalho.</t>
        </is>
      </c>
      <c r="AA110">
        <f>Y110=Z110</f>
        <v/>
      </c>
    </row>
    <row r="111" ht="17.25" customHeight="1">
      <c r="B111" s="3"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C111">
        <f>B111=Tabela_3__Validação_da_Tabela_PerguntaFormularioTipoAvaliacao[[#This Row],[DescTituloPerguntaFormularioTipoAvaliacao]]</f>
        <v/>
      </c>
      <c r="N111" s="60" t="n">
        <v>5</v>
      </c>
      <c r="O111" s="2" t="n">
        <v>5</v>
      </c>
      <c r="P111">
        <f>N111=O111</f>
        <v/>
      </c>
      <c r="Y111" s="65" t="inlineStr">
        <is>
          <t>Evidências de documentos formais, aprovados alta direção, que estabeleçam regras para proteção e promoção dos direitos humanos no ambiente externo à organização.</t>
        </is>
      </c>
      <c r="Z111" s="3" t="inlineStr">
        <is>
          <t>Evidências de documentos formais, aprovados alta direção, que estabeleçam regras para proteção e promoção dos direitos humanos no ambiente externo à organização.</t>
        </is>
      </c>
      <c r="AA111">
        <f>Y111=Z111</f>
        <v/>
      </c>
    </row>
    <row r="112" ht="17.25" customHeight="1">
      <c r="B112" s="4"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C112">
        <f>B112=Tabela_3__Validação_da_Tabela_PerguntaFormularioTipoAvaliacao[[#This Row],[DescTituloPerguntaFormularioTipoAvaliacao]]</f>
        <v/>
      </c>
      <c r="N112" s="58" t="n">
        <v>20</v>
      </c>
      <c r="O112" s="2" t="n">
        <v>20</v>
      </c>
      <c r="P112">
        <f>N112=O112</f>
        <v/>
      </c>
      <c r="Y112" s="64" t="inlineStr">
        <is>
          <t>Apresentar link direto para a área do site que evidencie manifestação institucional do compromisso com a ética e a integridadee, e descrever o caminho de navegação a partir da página inicial.Evidências de mensagens disponibilizadas em mídias sociais.</t>
        </is>
      </c>
      <c r="Z112" s="3" t="inlineStr">
        <is>
          <t>Apresentar link direto para a área do site que evidencie manifestação institucional do compromisso com a ética e a integridadee, e descrever o caminho de navegação a partir da página inicial.Evidências de mensagens disponibilizadas em mídias sociais.</t>
        </is>
      </c>
      <c r="AA112">
        <f>Y112=Z112</f>
        <v/>
      </c>
    </row>
    <row r="113" ht="17.25" customHeight="1">
      <c r="B113" s="3" t="inlineStr">
        <is>
          <t>23.2 A pessoa jurídica disponibiliza em seu site institucional, em português, informações completas e atualizadas sobre:</t>
        </is>
      </c>
      <c r="C113">
        <f>B113=Tabela_3__Validação_da_Tabela_PerguntaFormularioTipoAvaliacao[[#This Row],[DescTituloPerguntaFormularioTipoAvaliacao]]</f>
        <v/>
      </c>
      <c r="N113" s="60" t="n">
        <v>0</v>
      </c>
      <c r="O113" s="2" t="n">
        <v>0</v>
      </c>
      <c r="P113">
        <f>N113=O113</f>
        <v/>
      </c>
      <c r="Y113" s="65" t="inlineStr"/>
      <c r="Z113" s="3" t="n"/>
      <c r="AA113">
        <f>Y113=Z113</f>
        <v/>
      </c>
    </row>
    <row r="114" ht="17.25" customHeight="1">
      <c r="B114" s="3" t="inlineStr">
        <is>
          <t>23.2.1 principais atividades exercidas? Se sim, indicar o link e descrever o caminho, desde a página inicial da entidade, em que tal informação é disponibilizada.</t>
        </is>
      </c>
      <c r="C114">
        <f>B114=Tabela_3__Validação_da_Tabela_PerguntaFormularioTipoAvaliacao[[#This Row],[DescTituloPerguntaFormularioTipoAvaliacao]]</f>
        <v/>
      </c>
      <c r="N114" s="58" t="n">
        <v>5</v>
      </c>
      <c r="O114" s="2" t="n">
        <v>5</v>
      </c>
      <c r="P114">
        <f>N114=O114</f>
        <v/>
      </c>
      <c r="Y114" s="64" t="inlineStr">
        <is>
          <t>Apresentar link direto para a área do site que evidencie as principais atividades realizadas pela pessoa jurídica, e descrever o caminho de navegação a partir da página inicial.</t>
        </is>
      </c>
      <c r="Z114" s="3" t="inlineStr">
        <is>
          <t>Apresentar link direto para a área do site que evidencie as principais atividades realizadas pela pessoa jurídica, e descrever o caminho de navegação a partir da página inicial.</t>
        </is>
      </c>
      <c r="AA114">
        <f>Y114=Z114</f>
        <v/>
      </c>
    </row>
    <row r="115" ht="17.25" customHeight="1">
      <c r="B115" s="3" t="inlineStr">
        <is>
          <t>23.2.2 identificação de seus proprietários ou principais acionistas?  Se sim, indicar o link e descrever o caminho, desde a página inicial da entidade, em que tal informação é disponibilizada.</t>
        </is>
      </c>
      <c r="C115">
        <f>B115=Tabela_3__Validação_da_Tabela_PerguntaFormularioTipoAvaliacao[[#This Row],[DescTituloPerguntaFormularioTipoAvaliacao]]</f>
        <v/>
      </c>
      <c r="N115" s="60" t="n">
        <v>5</v>
      </c>
      <c r="O115" s="2" t="n">
        <v>5</v>
      </c>
      <c r="P115">
        <f>N115=O115</f>
        <v/>
      </c>
      <c r="Y115" s="65" t="inlineStr">
        <is>
          <t>Apresentar link direto para a área do site que evidencie a identificação de seus proprietários ou principais acionistas, e descrever o caminho de navegação a partir da página inicial.</t>
        </is>
      </c>
      <c r="Z115" s="3" t="inlineStr">
        <is>
          <t>Apresentar link direto para a área do site que evidencie a identificação de seus proprietários ou principais acionistas, e descrever o caminho de navegação a partir da página inicial.</t>
        </is>
      </c>
      <c r="AA115">
        <f>Y115=Z115</f>
        <v/>
      </c>
    </row>
    <row r="116" ht="17.25" customHeight="1">
      <c r="B116" s="3" t="inlineStr">
        <is>
          <t>23.2.3 identificação e função de seus principais executivos e dirigentes? Se sim, indicar o link e descrever o caminho, desde a página inicial da entidade, em que tal informação é disponibilizada.</t>
        </is>
      </c>
      <c r="C116">
        <f>B116=Tabela_3__Validação_da_Tabela_PerguntaFormularioTipoAvaliacao[[#This Row],[DescTituloPerguntaFormularioTipoAvaliacao]]</f>
        <v/>
      </c>
      <c r="N116" s="58" t="n">
        <v>5</v>
      </c>
      <c r="O116" s="2" t="n">
        <v>5</v>
      </c>
      <c r="P116">
        <f>N116=O116</f>
        <v/>
      </c>
      <c r="Y116" s="64" t="inlineStr">
        <is>
          <t>Apresentar link direto para a área do site que evidencie  a identificação e função de seus executivos e dirigentes, incluindo membros do Conselho de Administração, e descrever o caminho de navegação a partir da página inicial.</t>
        </is>
      </c>
      <c r="Z116" s="3" t="inlineStr">
        <is>
          <t>Apresentar link direto para a área do site que evidencie  a identificação e função de seus executivos e dirigentes, incluindo membros do Conselho de Administração, e descrever o caminho de navegação a partir da página inicial.</t>
        </is>
      </c>
      <c r="AA116">
        <f>Y116=Z116</f>
        <v/>
      </c>
    </row>
    <row r="117" ht="17.25" customHeight="1">
      <c r="B117" s="3" t="inlineStr">
        <is>
          <t>23.2.4 os patrocínios e doações realizados ou a informação explícita de que não realiza tais ações?  Se sim, indicar o link e descrever o caminho, desde a página inicial da entidade, em que tal informação é disponibilizada.</t>
        </is>
      </c>
      <c r="C117">
        <f>B117=Tabela_3__Validação_da_Tabela_PerguntaFormularioTipoAvaliacao[[#This Row],[DescTituloPerguntaFormularioTipoAvaliacao]]</f>
        <v/>
      </c>
      <c r="N117" s="60" t="n">
        <v>5</v>
      </c>
      <c r="O117" s="2" t="n">
        <v>5</v>
      </c>
      <c r="P117">
        <f>N117=O117</f>
        <v/>
      </c>
      <c r="Y117" s="65" t="inlineStr">
        <is>
          <t>Apresentar link direto para a área do site que evidencie os patrocínios e doações realizados (beneficiário, objeto, data, forma de monitoramento), ou que informe a sua não realização, e descrever o caminho de navegação a partir da página inicial.</t>
        </is>
      </c>
      <c r="Z117" s="3" t="inlineStr">
        <is>
          <t>Apresentar link direto para a área do site que evidencie os patrocínios e doações realizados (beneficiário, objeto, data, forma de monitoramento), ou que informe a sua não realização, e descrever o caminho de navegação a partir da página inicial.</t>
        </is>
      </c>
      <c r="AA117">
        <f>Y117=Z117</f>
        <v/>
      </c>
    </row>
    <row r="118" ht="17.25" customHeight="1">
      <c r="B118" s="10" t="inlineStr">
        <is>
          <t>23.2.5 as participações em licitações públicas e contratos firmados com a Administração Pública? Se sim, indicar o link e descrever o caminho, desde a página inicial da entidade, em que tal informação é disponibilizada.</t>
        </is>
      </c>
      <c r="C118">
        <f>B118=Tabela_3__Validação_da_Tabela_PerguntaFormularioTipoAvaliacao[[#This Row],[DescTituloPerguntaFormularioTipoAvaliacao]]</f>
        <v/>
      </c>
      <c r="N118" s="58" t="n">
        <v>5</v>
      </c>
      <c r="O118" s="2" t="n">
        <v>5</v>
      </c>
      <c r="P118">
        <f>N118=O118</f>
        <v/>
      </c>
      <c r="Y118" s="64" t="inlineStr">
        <is>
          <t>Apresentar link direto para a área do site, que evidencie as participações em licitações (incluindo as não vencidas) e os contratos públicos firmados (partes, objeto, valor, prazo etc.), ainda que constem no Portal da Transparência, e descrever o caminho de navegação a partir da página inicial.</t>
        </is>
      </c>
      <c r="Z118" s="3" t="inlineStr">
        <is>
          <t>Apresentar link direto para a área do site, que evidencie as participações em licitações (incluindo as não vencidas) e os contratos públicos firmados (partes, objeto, valor, prazo etc.), ainda que constem no Portal da Transparência, e descrever o caminho de navegação a partir da página inicial.</t>
        </is>
      </c>
      <c r="AA118">
        <f>Y118=Z118</f>
        <v/>
      </c>
    </row>
    <row r="119" ht="17.25" customHeight="1">
      <c r="B119" s="8" t="inlineStr">
        <is>
          <t>23.3 Existe uma seção específica no site da pessoa jurídica que reúna as informações sobre o programa de integridade? Se sim, indicar o link e descrever o caminho, desde a página inicial da entidade, em que tal informação é disponibilizada.</t>
        </is>
      </c>
      <c r="C119">
        <f>B119=Tabela_3__Validação_da_Tabela_PerguntaFormularioTipoAvaliacao[[#This Row],[DescTituloPerguntaFormularioTipoAvaliacao]]</f>
        <v/>
      </c>
      <c r="N119" s="60" t="n">
        <v>18</v>
      </c>
      <c r="O119" s="9" t="n">
        <v>18</v>
      </c>
      <c r="P119">
        <f>N119=O119</f>
        <v/>
      </c>
      <c r="Y119" s="65" t="inlineStr">
        <is>
          <t>Apresentar o link de acesso e o caminho desde a página inicial do site até a seção específica que contém as informações sobre o programa de integridade da pessoa jurídica.</t>
        </is>
      </c>
      <c r="Z119" s="3" t="inlineStr">
        <is>
          <t>Apresentar o link de acesso e o caminho desde a página inicial do site até a seção específica que contém as informações sobre o programa de integridade da pessoa jurídica.</t>
        </is>
      </c>
      <c r="AA119">
        <f>Y119=Z119</f>
        <v/>
      </c>
    </row>
  </sheetData>
  <autoFilter ref="Y1:AB119"/>
  <pageMargins left="0.511811024" right="0.511811024" top="0.787401575" bottom="0.787401575" header="0.31496062" footer="0.3149606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24"/>
  <sheetViews>
    <sheetView workbookViewId="0">
      <selection activeCell="A2" sqref="A2:A24"/>
    </sheetView>
  </sheetViews>
  <sheetFormatPr baseColWidth="8" defaultRowHeight="15"/>
  <cols>
    <col width="11.5703125" customWidth="1" min="1" max="1"/>
    <col width="36" customWidth="1" min="2" max="2"/>
    <col width="22.140625" bestFit="1" customWidth="1" min="3" max="3"/>
    <col width="25.5703125" bestFit="1" customWidth="1" min="4" max="4"/>
    <col width="12.28515625" customWidth="1" min="5" max="5"/>
    <col width="7.85546875" customWidth="1" min="6" max="6"/>
    <col width="31.5703125" bestFit="1" customWidth="1" min="7" max="7"/>
  </cols>
  <sheetData>
    <row r="1">
      <c r="A1" t="inlineStr">
        <is>
          <t>IdBlocoFormularioTipoAvaliacao</t>
        </is>
      </c>
      <c r="B1" t="inlineStr">
        <is>
          <t>NomBlocoFormularioTipoAvaliacao</t>
        </is>
      </c>
      <c r="C1" t="inlineStr">
        <is>
          <t>Soma de NumOrdem</t>
        </is>
      </c>
      <c r="D1" t="inlineStr">
        <is>
          <t>Soma de PctNotaMinima</t>
        </is>
      </c>
      <c r="E1" t="inlineStr">
        <is>
          <t>TxtVariavelCalculoPontoBloco</t>
        </is>
      </c>
      <c r="F1" t="inlineStr">
        <is>
          <t>Soma de ValNotaMaxima</t>
        </is>
      </c>
      <c r="G1" t="inlineStr">
        <is>
          <t>IdAreaFormularioTipoAvaliacao</t>
        </is>
      </c>
    </row>
    <row r="2">
      <c r="A2" t="n">
        <v>293</v>
      </c>
      <c r="B2" t="inlineStr">
        <is>
          <t>1. Adoção de critérios de integridade para seleção e remuneração de candidatos a cargos da alta direção</t>
        </is>
      </c>
      <c r="C2" t="n">
        <v>1</v>
      </c>
      <c r="D2" t="n">
        <v>0</v>
      </c>
      <c r="E2" s="72" t="inlineStr">
        <is>
          <t>AI1</t>
        </is>
      </c>
      <c r="F2" s="72" t="n">
        <v>48</v>
      </c>
      <c r="G2" t="n">
        <v>112</v>
      </c>
    </row>
    <row r="3">
      <c r="A3" t="n">
        <v>294</v>
      </c>
      <c r="B3" t="inlineStr">
        <is>
          <t>2. Envolvimento da alta direção na implementação e supervisão do programa de integridade</t>
        </is>
      </c>
      <c r="C3" t="n">
        <v>2</v>
      </c>
      <c r="D3" t="n">
        <v>0</v>
      </c>
      <c r="E3" s="72" t="inlineStr">
        <is>
          <t>AI2</t>
        </is>
      </c>
      <c r="F3" s="72" t="n">
        <v>53</v>
      </c>
      <c r="G3" t="n">
        <v>112</v>
      </c>
    </row>
    <row r="4">
      <c r="A4" t="n">
        <v>295</v>
      </c>
      <c r="B4" t="inlineStr">
        <is>
          <t>3. Apoio visível e inequívoco da alta direção ao programa de integridade, incluindo a destinação de recursos adequados</t>
        </is>
      </c>
      <c r="C4" t="n">
        <v>3</v>
      </c>
      <c r="D4" t="n">
        <v>0</v>
      </c>
      <c r="E4" s="72" t="inlineStr">
        <is>
          <t>AI3</t>
        </is>
      </c>
      <c r="F4" s="72" t="n">
        <v>53</v>
      </c>
      <c r="G4" t="n">
        <v>112</v>
      </c>
    </row>
    <row r="5">
      <c r="A5" t="n">
        <v>297</v>
      </c>
      <c r="B5" t="inlineStr">
        <is>
          <t>4. Existência e estrutura da instância interna responsável pela aplicação do programa de integridade</t>
        </is>
      </c>
      <c r="C5" t="n">
        <v>1</v>
      </c>
      <c r="D5" t="n">
        <v>0</v>
      </c>
      <c r="E5" s="72" t="inlineStr">
        <is>
          <t>AII4</t>
        </is>
      </c>
      <c r="F5" s="72" t="n">
        <v>68</v>
      </c>
      <c r="G5" t="n">
        <v>113</v>
      </c>
    </row>
    <row r="6">
      <c r="A6" t="n">
        <v>296</v>
      </c>
      <c r="B6" t="inlineStr">
        <is>
          <t>5. Garantias atribuídas ao responsável pela instância interna para o exercício de suas atividades com autoridade e independência</t>
        </is>
      </c>
      <c r="C6" t="n">
        <v>2</v>
      </c>
      <c r="D6" t="n">
        <v>0</v>
      </c>
      <c r="E6" s="72" t="inlineStr">
        <is>
          <t>AII5</t>
        </is>
      </c>
      <c r="F6" s="72" t="n">
        <v>40</v>
      </c>
      <c r="G6" t="n">
        <v>113</v>
      </c>
    </row>
    <row r="7">
      <c r="A7" t="n">
        <v>298</v>
      </c>
      <c r="B7" t="inlineStr">
        <is>
          <t>6. Gestão de riscos para integridade</t>
        </is>
      </c>
      <c r="C7" t="n">
        <v>1</v>
      </c>
      <c r="D7" t="n">
        <v>0</v>
      </c>
      <c r="E7" s="72" t="inlineStr">
        <is>
          <t>AIII6</t>
        </is>
      </c>
      <c r="F7" s="72" t="n">
        <v>78</v>
      </c>
      <c r="G7" t="n">
        <v>114</v>
      </c>
    </row>
    <row r="8">
      <c r="A8" t="n">
        <v>299</v>
      </c>
      <c r="B8" t="inlineStr">
        <is>
          <t>7. Código de Ética e Conduta</t>
        </is>
      </c>
      <c r="C8" t="n">
        <v>1</v>
      </c>
      <c r="D8" t="n">
        <v>0</v>
      </c>
      <c r="E8" s="72" t="inlineStr">
        <is>
          <t>AIV7</t>
        </is>
      </c>
      <c r="F8" s="72" t="n">
        <v>91</v>
      </c>
      <c r="G8" t="n">
        <v>115</v>
      </c>
    </row>
    <row r="9">
      <c r="A9" t="n">
        <v>301</v>
      </c>
      <c r="B9" t="inlineStr">
        <is>
          <t>8. Políticas e procedimentos de integridade</t>
        </is>
      </c>
      <c r="C9" t="n">
        <v>1</v>
      </c>
      <c r="D9" t="n">
        <v>0</v>
      </c>
      <c r="E9" s="72" t="inlineStr">
        <is>
          <t>AV8</t>
        </is>
      </c>
      <c r="F9" s="72" t="n">
        <v>65</v>
      </c>
      <c r="G9" t="n">
        <v>116</v>
      </c>
    </row>
    <row r="10">
      <c r="A10" t="n">
        <v>300</v>
      </c>
      <c r="B10" t="inlineStr">
        <is>
          <t>9. Políticas e procedimentos específicos para prevenção de ilícitos em licitações e contratos administrativos</t>
        </is>
      </c>
      <c r="C10" t="n">
        <v>2</v>
      </c>
      <c r="D10" t="n">
        <v>0</v>
      </c>
      <c r="E10" s="72" t="inlineStr">
        <is>
          <t>AV9</t>
        </is>
      </c>
      <c r="F10" s="72" t="n">
        <v>65</v>
      </c>
      <c r="G10" t="n">
        <v>116</v>
      </c>
    </row>
    <row r="11">
      <c r="A11" t="n">
        <v>302</v>
      </c>
      <c r="B11" t="inlineStr">
        <is>
          <t>10. Treinamentos sobre o Programa de Integridade</t>
        </is>
      </c>
      <c r="C11" t="n">
        <v>1</v>
      </c>
      <c r="D11" t="n">
        <v>0</v>
      </c>
      <c r="E11" s="72" t="inlineStr">
        <is>
          <t>AVI10</t>
        </is>
      </c>
      <c r="F11" s="72" t="n">
        <v>68</v>
      </c>
      <c r="G11" t="n">
        <v>117</v>
      </c>
    </row>
    <row r="12">
      <c r="A12" t="n">
        <v>303</v>
      </c>
      <c r="B12" t="inlineStr">
        <is>
          <t>11. Comunicações sobre o Programa de Integridade</t>
        </is>
      </c>
      <c r="C12" t="n">
        <v>2</v>
      </c>
      <c r="D12" t="n">
        <v>0</v>
      </c>
      <c r="E12" s="72" t="inlineStr">
        <is>
          <t>AVI11</t>
        </is>
      </c>
      <c r="F12" s="72" t="n">
        <v>50</v>
      </c>
      <c r="G12" t="n">
        <v>117</v>
      </c>
    </row>
    <row r="13">
      <c r="A13" t="n">
        <v>305</v>
      </c>
      <c r="B13" t="inlineStr">
        <is>
          <t>12. Controles Contábeis e Financeiros</t>
        </is>
      </c>
      <c r="C13" t="n">
        <v>1</v>
      </c>
      <c r="D13" t="n">
        <v>0</v>
      </c>
      <c r="E13" s="72" t="inlineStr">
        <is>
          <t>AVII12</t>
        </is>
      </c>
      <c r="F13" s="72" t="n">
        <v>45</v>
      </c>
      <c r="G13" t="n">
        <v>118</v>
      </c>
    </row>
    <row r="14">
      <c r="A14" t="n">
        <v>304</v>
      </c>
      <c r="B14" t="inlineStr">
        <is>
          <t>13. Auditoria Interna</t>
        </is>
      </c>
      <c r="C14" t="n">
        <v>2</v>
      </c>
      <c r="D14" t="n">
        <v>0</v>
      </c>
      <c r="E14" s="72" t="inlineStr">
        <is>
          <t>AVII13</t>
        </is>
      </c>
      <c r="F14" s="72" t="n">
        <v>61</v>
      </c>
      <c r="G14" t="n">
        <v>118</v>
      </c>
    </row>
    <row r="15">
      <c r="A15" t="n">
        <v>307</v>
      </c>
      <c r="B15" t="inlineStr">
        <is>
          <t>14. Diligências para contratação e supervisão de terceiros</t>
        </is>
      </c>
      <c r="C15" t="n">
        <v>1</v>
      </c>
      <c r="D15" t="n">
        <v>0</v>
      </c>
      <c r="E15" s="72" t="inlineStr">
        <is>
          <t>AVIII14</t>
        </is>
      </c>
      <c r="F15" s="72" t="n">
        <v>53</v>
      </c>
      <c r="G15" t="n">
        <v>119</v>
      </c>
    </row>
    <row r="16">
      <c r="A16" t="n">
        <v>306</v>
      </c>
      <c r="B16" t="inlineStr">
        <is>
          <t>15. Cláusulas contratuais</t>
        </is>
      </c>
      <c r="C16" t="n">
        <v>2</v>
      </c>
      <c r="D16" t="n">
        <v>0</v>
      </c>
      <c r="E16" s="72" t="inlineStr">
        <is>
          <t>AVIII15</t>
        </is>
      </c>
      <c r="F16" s="72" t="n">
        <v>28</v>
      </c>
      <c r="G16" t="n">
        <v>119</v>
      </c>
    </row>
    <row r="17">
      <c r="A17" t="n">
        <v>308</v>
      </c>
      <c r="B17" t="inlineStr">
        <is>
          <t>16. Diligências prévias a fusões, aquisições e outras operações societárias</t>
        </is>
      </c>
      <c r="C17" t="n">
        <v>3</v>
      </c>
      <c r="D17" t="n">
        <v>0</v>
      </c>
      <c r="E17" s="72" t="inlineStr">
        <is>
          <t>AVIII16</t>
        </is>
      </c>
      <c r="F17" s="72" t="n">
        <v>33</v>
      </c>
      <c r="G17" t="n">
        <v>119</v>
      </c>
    </row>
    <row r="18">
      <c r="A18" t="n">
        <v>310</v>
      </c>
      <c r="B18" t="inlineStr">
        <is>
          <t>17. Canais disponíveis para realização de denúncias</t>
        </is>
      </c>
      <c r="C18" t="n">
        <v>1</v>
      </c>
      <c r="D18" t="n">
        <v>0</v>
      </c>
      <c r="E18" s="72" t="inlineStr">
        <is>
          <t>AIX17</t>
        </is>
      </c>
      <c r="F18" s="72" t="n">
        <v>60</v>
      </c>
      <c r="G18" t="n">
        <v>120</v>
      </c>
    </row>
    <row r="19">
      <c r="A19" t="n">
        <v>311</v>
      </c>
      <c r="B19" t="inlineStr">
        <is>
          <t>18. Tratamento e apuração de denúncias</t>
        </is>
      </c>
      <c r="C19" t="n">
        <v>2</v>
      </c>
      <c r="D19" t="n">
        <v>0</v>
      </c>
      <c r="E19" s="72" t="inlineStr">
        <is>
          <t>AIX18</t>
        </is>
      </c>
      <c r="F19" s="72" t="n">
        <v>43</v>
      </c>
      <c r="G19" t="n">
        <v>120</v>
      </c>
    </row>
    <row r="20">
      <c r="A20" t="n">
        <v>309</v>
      </c>
      <c r="B20" t="inlineStr">
        <is>
          <t>19. Procedimentos para interrupção de irregularidades, remediação e aplicação de medidas disciplinares</t>
        </is>
      </c>
      <c r="C20" t="n">
        <v>3</v>
      </c>
      <c r="D20" t="n">
        <v>0</v>
      </c>
      <c r="E20" s="72" t="inlineStr">
        <is>
          <t>AIX19</t>
        </is>
      </c>
      <c r="F20" s="72" t="n">
        <v>38</v>
      </c>
      <c r="G20" t="n">
        <v>120</v>
      </c>
    </row>
    <row r="21">
      <c r="A21" t="n">
        <v>319</v>
      </c>
      <c r="B21" t="inlineStr">
        <is>
          <t>20. Monitoramento contínuo do programa de integridade</t>
        </is>
      </c>
      <c r="C21" t="n">
        <v>1</v>
      </c>
      <c r="D21" t="n">
        <v>0</v>
      </c>
      <c r="E21" s="72" t="inlineStr">
        <is>
          <t>AX20</t>
        </is>
      </c>
      <c r="F21" s="72" t="n">
        <v>83</v>
      </c>
      <c r="G21" t="n">
        <v>125</v>
      </c>
    </row>
    <row r="22">
      <c r="A22" t="n">
        <v>320</v>
      </c>
      <c r="B22" t="inlineStr">
        <is>
          <t>21. Responsabilidade Ambiental</t>
        </is>
      </c>
      <c r="C22" t="n">
        <v>1</v>
      </c>
      <c r="D22" t="n">
        <v>0</v>
      </c>
      <c r="E22" s="72" t="inlineStr">
        <is>
          <t>AXI21</t>
        </is>
      </c>
      <c r="F22" s="72" t="n">
        <v>10</v>
      </c>
      <c r="G22" t="n">
        <v>126</v>
      </c>
    </row>
    <row r="23">
      <c r="A23" t="n">
        <v>322</v>
      </c>
      <c r="B23" t="inlineStr">
        <is>
          <t>22. Responsabilidade Social</t>
        </is>
      </c>
      <c r="C23" t="n">
        <v>2</v>
      </c>
      <c r="D23" t="n">
        <v>0</v>
      </c>
      <c r="E23" s="72" t="inlineStr">
        <is>
          <t>AXI22</t>
        </is>
      </c>
      <c r="F23" s="72" t="n">
        <v>10</v>
      </c>
      <c r="G23" t="n">
        <v>126</v>
      </c>
    </row>
    <row r="24">
      <c r="A24" t="n">
        <v>321</v>
      </c>
      <c r="B24" t="inlineStr">
        <is>
          <t>23. Transparência</t>
        </is>
      </c>
      <c r="C24" t="n">
        <v>3</v>
      </c>
      <c r="D24" t="n">
        <v>0</v>
      </c>
      <c r="E24" s="72" t="inlineStr">
        <is>
          <t>AXI23</t>
        </is>
      </c>
      <c r="F24" s="72" t="n">
        <v>63</v>
      </c>
      <c r="G24" t="n">
        <v>126</v>
      </c>
    </row>
  </sheetData>
  <pageMargins left="0.511811024" right="0.511811024" top="0.787401575" bottom="0.787401575" header="0.31496062" footer="0.31496062"/>
</worksheet>
</file>

<file path=xl/worksheets/sheet9.xml><?xml version="1.0" encoding="utf-8"?>
<worksheet xmlns="http://schemas.openxmlformats.org/spreadsheetml/2006/main">
  <sheetPr>
    <outlinePr summaryBelow="1" summaryRight="1"/>
    <pageSetUpPr/>
  </sheetPr>
  <dimension ref="A2:B7"/>
  <sheetViews>
    <sheetView workbookViewId="0">
      <selection activeCell="A1" sqref="A1"/>
    </sheetView>
  </sheetViews>
  <sheetFormatPr baseColWidth="8" defaultRowHeight="15"/>
  <cols>
    <col width="26.7109375" customWidth="1" min="1" max="1"/>
    <col width="58.5703125" customWidth="1" style="39" min="2" max="2"/>
  </cols>
  <sheetData>
    <row r="2">
      <c r="A2" t="inlineStr">
        <is>
          <t>Correções Realizadas</t>
        </is>
      </c>
    </row>
    <row r="3">
      <c r="A3" t="inlineStr">
        <is>
          <t>Questão</t>
        </is>
      </c>
      <c r="B3" s="39" t="inlineStr">
        <is>
          <t>Justificativa</t>
        </is>
      </c>
    </row>
    <row r="4">
      <c r="A4" t="inlineStr">
        <is>
          <t xml:space="preserve">3.1 </t>
        </is>
      </c>
      <c r="B4" s="68" t="inlineStr">
        <is>
          <t>Colocar flag "Medida mínima" (QN1)</t>
        </is>
      </c>
    </row>
    <row r="5" ht="45" customHeight="1">
      <c r="A5" s="39" t="inlineStr">
        <is>
          <t>7.3;
17.1; 
17.2.1</t>
        </is>
      </c>
      <c r="B5" s="68" t="inlineStr">
        <is>
          <t>Colocar flag "Campo de Observações preenchimento obrigatório", por tratarem-se de questões que a evidência é um link</t>
        </is>
      </c>
    </row>
    <row r="6" ht="45" customHeight="1">
      <c r="A6" s="39" t="inlineStr">
        <is>
          <t>3.2.2
12.2
18.2.1</t>
        </is>
      </c>
      <c r="B6" s="68" t="inlineStr">
        <is>
          <t>Correção textual de tooltip</t>
        </is>
      </c>
    </row>
    <row r="7" ht="45" customHeight="1">
      <c r="A7" s="39" t="inlineStr">
        <is>
          <t>4.2
16.2
20.2.2</t>
        </is>
      </c>
      <c r="B7" s="68" t="inlineStr">
        <is>
          <t xml:space="preserve">Colocar flag "Evidência obrigatória" </t>
        </is>
      </c>
    </row>
  </sheetData>
  <pageMargins left="0.511811024" right="0.511811024" top="0.787401575" bottom="0.787401575" header="0.31496062" footer="0.31496062"/>
</worksheet>
</file>

<file path=xl/worksheets/sheet10.xml><?xml version="1.0" encoding="utf-8"?>
<worksheet xmlns="http://schemas.openxmlformats.org/spreadsheetml/2006/main">
  <sheetPr>
    <outlinePr summaryBelow="1" summaryRight="1"/>
    <pageSetUpPr/>
  </sheetPr>
  <dimension ref="A1:L12"/>
  <sheetViews>
    <sheetView workbookViewId="0">
      <selection activeCell="B3" sqref="B3:B4"/>
    </sheetView>
  </sheetViews>
  <sheetFormatPr baseColWidth="8" defaultRowHeight="15"/>
  <cols>
    <col width="31.5703125" bestFit="1" customWidth="1" min="1" max="1"/>
    <col width="81.140625" bestFit="1" customWidth="1" min="2" max="2"/>
    <col width="22.140625" bestFit="1" customWidth="1" min="3" max="3"/>
    <col width="25.5703125" bestFit="1" customWidth="1" min="4" max="4"/>
    <col width="31" bestFit="1" customWidth="1" min="5" max="5"/>
    <col width="17.28515625" bestFit="1" customWidth="1" min="6" max="6"/>
    <col width="12.140625" bestFit="1" customWidth="1" min="8" max="8"/>
    <col width="93.7109375" customWidth="1" min="11" max="11"/>
    <col width="12.140625" bestFit="1" customWidth="1" min="12" max="12"/>
  </cols>
  <sheetData>
    <row r="1">
      <c r="A1" t="inlineStr">
        <is>
          <t>IdAreaFormularioTipoAvaliacao</t>
        </is>
      </c>
      <c r="B1" t="inlineStr">
        <is>
          <t>NomAreaFormularioTipoAvaliacao</t>
        </is>
      </c>
      <c r="C1" t="inlineStr">
        <is>
          <t>Soma de NumOrdem</t>
        </is>
      </c>
      <c r="D1" t="inlineStr">
        <is>
          <t>Soma de PctNotaMinima</t>
        </is>
      </c>
      <c r="E1" t="inlineStr">
        <is>
          <t>TxtFormulaCalculoPontoBloco</t>
        </is>
      </c>
      <c r="F1" t="inlineStr">
        <is>
          <t>ValNotaMaxima</t>
        </is>
      </c>
      <c r="G1" t="inlineStr">
        <is>
          <t>Coluna1</t>
        </is>
      </c>
      <c r="H1" t="inlineStr">
        <is>
          <t>Coluna2</t>
        </is>
      </c>
      <c r="I1" s="20" t="inlineStr">
        <is>
          <t>Áreas</t>
        </is>
      </c>
      <c r="J1" s="18" t="n"/>
    </row>
    <row r="2">
      <c r="A2" t="n">
        <v>112</v>
      </c>
      <c r="B2" t="inlineStr">
        <is>
          <t>Área I - Comprometimento da Alta Direção da Pessoa Jurídica</t>
        </is>
      </c>
      <c r="C2" t="n">
        <v>1</v>
      </c>
      <c r="D2" t="n">
        <v>45</v>
      </c>
      <c r="E2" t="inlineStr">
        <is>
          <t>AI1+AI2+AI3</t>
        </is>
      </c>
      <c r="F2" t="n">
        <v>154</v>
      </c>
      <c r="G2" s="6">
        <f>SUMIFS('Formulário de Conformidade'!$G:$G,'Formulário de Conformidade'!$C:$C,"Questão",'Formulário de Conformidade'!$B:$B,I2)</f>
        <v/>
      </c>
      <c r="H2">
        <f>dataareasgv[[#This Row],[ValNotaMaxima]]=dataareasgv[[#This Row],[Coluna1]]</f>
        <v/>
      </c>
      <c r="I2" s="20" t="inlineStr">
        <is>
          <t>I</t>
        </is>
      </c>
      <c r="K2" s="56" t="inlineStr">
        <is>
          <t>Área I - Comprometimento da Alta Direção da Pessoa jurídica</t>
        </is>
      </c>
      <c r="L2">
        <f>dataareasgv[[#This Row],[NomAreaFormularioTipoAvaliacao]]=K2</f>
        <v/>
      </c>
    </row>
    <row r="3">
      <c r="A3" t="n">
        <v>113</v>
      </c>
      <c r="B3" t="inlineStr">
        <is>
          <t>ÁREA II - INSTÂNCIA INTERNA RESPONSÁVEL PELA APLICAÇÃO DO PROGRAMA DE INTEGRIDADE</t>
        </is>
      </c>
      <c r="C3" t="n">
        <v>2</v>
      </c>
      <c r="D3" t="n">
        <v>45</v>
      </c>
      <c r="E3" t="inlineStr">
        <is>
          <t>AII4+AII5</t>
        </is>
      </c>
      <c r="F3" t="n">
        <v>108</v>
      </c>
      <c r="G3" s="6">
        <f>SUMIFS('Formulário de Conformidade'!$G:$G,'Formulário de Conformidade'!$C:$C,"Questão",'Formulário de Conformidade'!$B:$B,I3)</f>
        <v/>
      </c>
      <c r="H3">
        <f>dataareasgv[[#This Row],[ValNotaMaxima]]=dataareasgv[[#This Row],[Coluna1]]</f>
        <v/>
      </c>
      <c r="I3" s="20" t="inlineStr">
        <is>
          <t>II</t>
        </is>
      </c>
      <c r="K3" s="56" t="inlineStr">
        <is>
          <t>Área II - Instância Interna Responsável pela Aplicação do Programa de Integridade</t>
        </is>
      </c>
      <c r="L3">
        <f>dataareasgv[[#This Row],[NomAreaFormularioTipoAvaliacao]]=K3</f>
        <v/>
      </c>
    </row>
    <row r="4">
      <c r="A4" t="n">
        <v>114</v>
      </c>
      <c r="B4" t="inlineStr">
        <is>
          <t>ÁREA III - GESTÃO DE RISCOS PARA INTEGRIDADE</t>
        </is>
      </c>
      <c r="C4" t="n">
        <v>3</v>
      </c>
      <c r="D4" t="n">
        <v>45</v>
      </c>
      <c r="E4" t="inlineStr">
        <is>
          <t>AIII6</t>
        </is>
      </c>
      <c r="F4" t="n">
        <v>78</v>
      </c>
      <c r="G4" s="6">
        <f>SUMIFS('Formulário de Conformidade'!$G:$G,'Formulário de Conformidade'!$C:$C,"Questão",'Formulário de Conformidade'!$B:$B,I4)</f>
        <v/>
      </c>
      <c r="H4">
        <f>dataareasgv[[#This Row],[ValNotaMaxima]]=dataareasgv[[#This Row],[Coluna1]]</f>
        <v/>
      </c>
      <c r="I4" s="20" t="inlineStr">
        <is>
          <t>III</t>
        </is>
      </c>
      <c r="K4" s="56" t="inlineStr">
        <is>
          <t>Área III - Gestão de Riscos para Integridade</t>
        </is>
      </c>
      <c r="L4">
        <f>dataareasgv[[#This Row],[NomAreaFormularioTipoAvaliacao]]=K4</f>
        <v/>
      </c>
    </row>
    <row r="5">
      <c r="A5" t="n">
        <v>115</v>
      </c>
      <c r="B5" t="inlineStr">
        <is>
          <t>Área IV - Código de Ética e Conduta</t>
        </is>
      </c>
      <c r="C5" t="n">
        <v>4</v>
      </c>
      <c r="D5" t="n">
        <v>45</v>
      </c>
      <c r="E5" t="inlineStr">
        <is>
          <t>AIV7</t>
        </is>
      </c>
      <c r="F5" t="n">
        <v>91</v>
      </c>
      <c r="G5" s="6">
        <f>SUMIFS('Formulário de Conformidade'!$G:$G,'Formulário de Conformidade'!$C:$C,"Questão",'Formulário de Conformidade'!$B:$B,I5)</f>
        <v/>
      </c>
      <c r="H5">
        <f>dataareasgv[[#This Row],[ValNotaMaxima]]=dataareasgv[[#This Row],[Coluna1]]</f>
        <v/>
      </c>
      <c r="I5" s="20" t="inlineStr">
        <is>
          <t>IV</t>
        </is>
      </c>
      <c r="K5" s="56" t="inlineStr">
        <is>
          <t>Área IV - Código de Ética e Conduta</t>
        </is>
      </c>
      <c r="L5">
        <f>dataareasgv[[#This Row],[NomAreaFormularioTipoAvaliacao]]=K5</f>
        <v/>
      </c>
    </row>
    <row r="6" ht="25.5" customHeight="1">
      <c r="A6" t="n">
        <v>116</v>
      </c>
      <c r="B6" t="inlineStr">
        <is>
          <t>Área V - Políticas e Procedimentos de Integridade e de Prevenção de Ilícitos em Licitações e Contratos Administrativos</t>
        </is>
      </c>
      <c r="C6" t="n">
        <v>5</v>
      </c>
      <c r="D6" t="n">
        <v>45</v>
      </c>
      <c r="E6" t="inlineStr">
        <is>
          <t>AV8+AV9</t>
        </is>
      </c>
      <c r="F6" t="n">
        <v>130</v>
      </c>
      <c r="G6" s="6">
        <f>SUMIFS('Formulário de Conformidade'!$G:$G,'Formulário de Conformidade'!$C:$C,"Questão",'Formulário de Conformidade'!$B:$B,I6)</f>
        <v/>
      </c>
      <c r="H6">
        <f>dataareasgv[[#This Row],[ValNotaMaxima]]=dataareasgv[[#This Row],[Coluna1]]</f>
        <v/>
      </c>
      <c r="I6" s="20" t="inlineStr">
        <is>
          <t>V</t>
        </is>
      </c>
      <c r="K6" s="56" t="inlineStr">
        <is>
          <t>Área V - Políticas e Procedimentos de Integridade e de Prevenção de Ilícitos em Licitações e Contratos Administrativos</t>
        </is>
      </c>
      <c r="L6">
        <f>dataareasgv[[#This Row],[NomAreaFormularioTipoAvaliacao]]=K6</f>
        <v/>
      </c>
    </row>
    <row r="7">
      <c r="A7" t="n">
        <v>117</v>
      </c>
      <c r="B7" t="inlineStr">
        <is>
          <t>Área VI - Treinamentos e Ações de Comunicação sobre o Programa de Integridade</t>
        </is>
      </c>
      <c r="C7" t="n">
        <v>6</v>
      </c>
      <c r="D7" t="n">
        <v>45</v>
      </c>
      <c r="E7" t="inlineStr">
        <is>
          <t>AVI10+AVI11</t>
        </is>
      </c>
      <c r="F7" t="n">
        <v>118</v>
      </c>
      <c r="G7" s="6">
        <f>SUMIFS('Formulário de Conformidade'!$G:$G,'Formulário de Conformidade'!$C:$C,"Questão",'Formulário de Conformidade'!$B:$B,I7)</f>
        <v/>
      </c>
      <c r="H7">
        <f>dataareasgv[[#This Row],[ValNotaMaxima]]=dataareasgv[[#This Row],[Coluna1]]</f>
        <v/>
      </c>
      <c r="I7" s="20" t="inlineStr">
        <is>
          <t>VI</t>
        </is>
      </c>
      <c r="K7" s="56" t="inlineStr">
        <is>
          <t>Área VI - Treinamentos e Ações de Comunicação sobre o Programa de Integridade</t>
        </is>
      </c>
      <c r="L7">
        <f>dataareasgv[[#This Row],[NomAreaFormularioTipoAvaliacao]]=K7</f>
        <v/>
      </c>
    </row>
    <row r="8">
      <c r="A8" t="n">
        <v>118</v>
      </c>
      <c r="B8" t="inlineStr">
        <is>
          <t>Área VII - Controles Contábeis, Financeiros e Auditoria Interna</t>
        </is>
      </c>
      <c r="C8" t="n">
        <v>7</v>
      </c>
      <c r="D8" t="n">
        <v>45</v>
      </c>
      <c r="E8" t="inlineStr">
        <is>
          <t>AVII12+AVII13</t>
        </is>
      </c>
      <c r="F8" t="n">
        <v>106</v>
      </c>
      <c r="G8" s="6">
        <f>SUMIFS('Formulário de Conformidade'!$G:$G,'Formulário de Conformidade'!$C:$C,"Questão",'Formulário de Conformidade'!$B:$B,I8)</f>
        <v/>
      </c>
      <c r="H8">
        <f>dataareasgv[[#This Row],[ValNotaMaxima]]=dataareasgv[[#This Row],[Coluna1]]</f>
        <v/>
      </c>
      <c r="I8" s="20" t="inlineStr">
        <is>
          <t>VII</t>
        </is>
      </c>
      <c r="K8" s="56" t="inlineStr">
        <is>
          <t>Área VII - Controles Contábeis, Financeiros e Auditoria Interna</t>
        </is>
      </c>
      <c r="L8">
        <f>dataareasgv[[#This Row],[NomAreaFormularioTipoAvaliacao]]=K8</f>
        <v/>
      </c>
    </row>
    <row r="9">
      <c r="A9" t="n">
        <v>119</v>
      </c>
      <c r="B9" t="inlineStr">
        <is>
          <t>Área VIII - Diligências para Contratação e Supervisão de Terceiros e para Fusões e Aquisições Societárias</t>
        </is>
      </c>
      <c r="C9" t="n">
        <v>8</v>
      </c>
      <c r="D9" t="n">
        <v>45</v>
      </c>
      <c r="E9" t="inlineStr">
        <is>
          <t>AVIII14+AVIII15+AVIII16</t>
        </is>
      </c>
      <c r="F9" t="n">
        <v>114</v>
      </c>
      <c r="G9" s="6">
        <f>SUMIFS('Formulário de Conformidade'!$G:$G,'Formulário de Conformidade'!$C:$C,"Questão",'Formulário de Conformidade'!$B:$B,I9)</f>
        <v/>
      </c>
      <c r="H9">
        <f>dataareasgv[[#This Row],[ValNotaMaxima]]=dataareasgv[[#This Row],[Coluna1]]</f>
        <v/>
      </c>
      <c r="I9" s="20" t="inlineStr">
        <is>
          <t>VIII</t>
        </is>
      </c>
      <c r="K9" s="56" t="inlineStr">
        <is>
          <t>Área VIII - Diligências para Contratação e Supervisão de Terceiros e para Fusões e Aquisições Societárias</t>
        </is>
      </c>
      <c r="L9">
        <f>dataareasgv[[#This Row],[NomAreaFormularioTipoAvaliacao]]=K9</f>
        <v/>
      </c>
    </row>
    <row r="10">
      <c r="A10" t="n">
        <v>120</v>
      </c>
      <c r="B10" t="inlineStr">
        <is>
          <t>Área IX - Canais de Denúncia, Remediação e Medidas Disciplinares</t>
        </is>
      </c>
      <c r="C10" t="n">
        <v>9</v>
      </c>
      <c r="D10" t="n">
        <v>45</v>
      </c>
      <c r="E10" t="inlineStr">
        <is>
          <t>AIX17+AIX18+AIX19</t>
        </is>
      </c>
      <c r="F10" t="n">
        <v>141</v>
      </c>
      <c r="G10" s="6">
        <f>SUMIFS('Formulário de Conformidade'!$G:$G,'Formulário de Conformidade'!$C:$C,"Questão",'Formulário de Conformidade'!$B:$B,I10)</f>
        <v/>
      </c>
      <c r="H10">
        <f>dataareasgv[[#This Row],[ValNotaMaxima]]=dataareasgv[[#This Row],[Coluna1]]</f>
        <v/>
      </c>
      <c r="I10" s="20" t="inlineStr">
        <is>
          <t>IX</t>
        </is>
      </c>
      <c r="K10" s="56" t="inlineStr">
        <is>
          <t>Área IX - Canais de Denúncia, Remediação e Medidas Disciplinares</t>
        </is>
      </c>
      <c r="L10">
        <f>dataareasgv[[#This Row],[NomAreaFormularioTipoAvaliacao]]=K10</f>
        <v/>
      </c>
    </row>
    <row r="11">
      <c r="A11" t="n">
        <v>125</v>
      </c>
      <c r="B11" t="inlineStr">
        <is>
          <t>Área X - Monitoramento do Programa de Integridade</t>
        </is>
      </c>
      <c r="C11" t="n">
        <v>10</v>
      </c>
      <c r="D11" t="n">
        <v>45</v>
      </c>
      <c r="E11" t="inlineStr">
        <is>
          <t>AX20</t>
        </is>
      </c>
      <c r="F11" t="n">
        <v>83</v>
      </c>
      <c r="G11" s="6">
        <f>SUMIFS('Formulário de Conformidade'!$G:$G,'Formulário de Conformidade'!$C:$C,"Questão",'Formulário de Conformidade'!$B:$B,I11)</f>
        <v/>
      </c>
      <c r="H11">
        <f>dataareasgv[[#This Row],[ValNotaMaxima]]=dataareasgv[[#This Row],[Coluna1]]</f>
        <v/>
      </c>
      <c r="I11" s="20" t="inlineStr">
        <is>
          <t>X</t>
        </is>
      </c>
      <c r="K11" s="56" t="inlineStr">
        <is>
          <t>Área X - Monitoramento do Programa de Integridade</t>
        </is>
      </c>
      <c r="L11">
        <f>dataareasgv[[#This Row],[NomAreaFormularioTipoAvaliacao]]=K11</f>
        <v/>
      </c>
    </row>
    <row r="12">
      <c r="A12" t="n">
        <v>126</v>
      </c>
      <c r="B12" t="inlineStr">
        <is>
          <t>Área XI - Responsabilidade Socioambiental e Transparência</t>
        </is>
      </c>
      <c r="C12" t="n">
        <v>11</v>
      </c>
      <c r="D12" t="n">
        <v>45</v>
      </c>
      <c r="E12" t="inlineStr">
        <is>
          <t>AXI21+AXI22+AXI23</t>
        </is>
      </c>
      <c r="F12" t="n">
        <v>83</v>
      </c>
      <c r="G12" s="6">
        <f>SUMIFS('Formulário de Conformidade'!$G:$G,'Formulário de Conformidade'!$C:$C,"Questão",'Formulário de Conformidade'!$B:$B,I12)</f>
        <v/>
      </c>
      <c r="H12">
        <f>dataareasgv[[#This Row],[ValNotaMaxima]]=dataareasgv[[#This Row],[Coluna1]]</f>
        <v/>
      </c>
      <c r="I12" s="20" t="inlineStr">
        <is>
          <t>XI</t>
        </is>
      </c>
      <c r="K12" s="56" t="inlineStr">
        <is>
          <t>Área XI - Responsabilidade Socioambiental e Transparência</t>
        </is>
      </c>
      <c r="L12">
        <f>dataareasgv[[#This Row],[NomAreaFormularioTipoAvaliacao]]=K12</f>
        <v/>
      </c>
    </row>
  </sheetData>
  <pageMargins left="0.511811024" right="0.511811024" top="0.787401575" bottom="0.787401575" header="0.31496062" footer="0.31496062"/>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3.28515625" bestFit="1" customWidth="1" min="1" max="1"/>
    <col width="91.7109375" customWidth="1" min="2" max="2"/>
    <col width="35.7109375" bestFit="1" customWidth="1" min="3" max="3"/>
    <col width="12.7109375" bestFit="1" customWidth="1" min="4" max="4"/>
    <col width="60" customWidth="1" min="5" max="5"/>
    <col width="13.7109375" bestFit="1" customWidth="1" min="6" max="6"/>
    <col width="16.140625" bestFit="1" customWidth="1" min="7" max="7"/>
    <col width="57" customWidth="1" min="8" max="8"/>
  </cols>
  <sheetData>
    <row r="1" customFormat="1" s="63">
      <c r="A1" s="63" t="inlineStr">
        <is>
          <t>IdGrupoFormularioTipoAvaliacao</t>
        </is>
      </c>
      <c r="B1" s="63" t="inlineStr">
        <is>
          <t>NomQuestaoFormularioTipoAvaliacao</t>
        </is>
      </c>
      <c r="C1" s="63" t="inlineStr">
        <is>
          <t>TpQuestaoFormularioTipoAvaliacao</t>
        </is>
      </c>
      <c r="D1" s="63" t="inlineStr">
        <is>
          <t>TpMascara</t>
        </is>
      </c>
      <c r="E1" s="62" t="inlineStr">
        <is>
          <t>TxtInformacaoAdicional</t>
        </is>
      </c>
      <c r="F1" s="63" t="inlineStr">
        <is>
          <t>NumOrdem</t>
        </is>
      </c>
      <c r="G1" s="63" t="inlineStr">
        <is>
          <t>FlgObrigatorio</t>
        </is>
      </c>
      <c r="H1" s="63" t="inlineStr">
        <is>
          <t>IdOpcaoQuestaoFormularioTipoAvaliacaoCondicionante</t>
        </is>
      </c>
    </row>
    <row r="2">
      <c r="A2" t="n">
        <v>81</v>
      </c>
      <c r="B2" t="inlineStr">
        <is>
          <t xml:space="preserve">DB1. Nome da pessoa jurídica - Razão Social: </t>
        </is>
      </c>
      <c r="C2" t="inlineStr">
        <is>
          <t>TEXTO_LONGO</t>
        </is>
      </c>
      <c r="D2" t="inlineStr"/>
      <c r="E2" t="inlineStr">
        <is>
          <t>Informar a denominação pela qual a pessoa jurídica está registrada no Cadastro Nacional da Pessoa Jurídica.</t>
        </is>
      </c>
      <c r="F2" t="n">
        <v>1</v>
      </c>
      <c r="G2" t="b">
        <v>1</v>
      </c>
    </row>
    <row r="3">
      <c r="A3" t="n">
        <v>81</v>
      </c>
      <c r="B3" t="inlineStr">
        <is>
          <t>DB2. E-mail institucional da área de integridade:</t>
        </is>
      </c>
      <c r="C3" t="inlineStr">
        <is>
          <t>TEXTO</t>
        </is>
      </c>
      <c r="D3" t="inlineStr"/>
      <c r="E3" t="inlineStr">
        <is>
          <t>Informar o e-mail da área ou pessoa responsável pelo programa de integridade. Indicar e-mail institucional, evitando-se conta de uso pessoal. Este e-mail poderá ser utilizado pela CGU para dúvidas, informes, pedidos de esclarecimentos etc.</t>
        </is>
      </c>
      <c r="F3" t="n">
        <v>2</v>
      </c>
      <c r="G3" t="b">
        <v>1</v>
      </c>
    </row>
    <row r="4">
      <c r="A4" t="n">
        <v>81</v>
      </c>
      <c r="B4" t="inlineStr">
        <is>
          <t xml:space="preserve">DB3. CNPJ: </t>
        </is>
      </c>
      <c r="C4" t="inlineStr">
        <is>
          <t>TEXTO</t>
        </is>
      </c>
      <c r="D4" t="inlineStr"/>
      <c r="E4" t="inlineStr">
        <is>
          <t>Informar o CNPJ da pessoa jurídica.</t>
        </is>
      </c>
      <c r="F4" t="n">
        <v>3</v>
      </c>
      <c r="G4" t="b">
        <v>1</v>
      </c>
    </row>
    <row r="5">
      <c r="A5" t="n">
        <v>81</v>
      </c>
      <c r="B5" t="inlineStr">
        <is>
          <t xml:space="preserve">DB4. Representante do programa de integridade: </t>
        </is>
      </c>
      <c r="C5" t="inlineStr">
        <is>
          <t>TEXTO_LONGO</t>
        </is>
      </c>
      <c r="D5" t="inlineStr"/>
      <c r="E5" t="inlineStr">
        <is>
          <t>Informar o nome do representante da pessoa jurídica para ser comunicado em relação à avaliação do programa de integridade</t>
        </is>
      </c>
      <c r="F5" t="n">
        <v>4</v>
      </c>
      <c r="G5" t="b">
        <v>1</v>
      </c>
    </row>
    <row r="6">
      <c r="A6" t="n">
        <v>81</v>
      </c>
      <c r="B6" t="inlineStr">
        <is>
          <t xml:space="preserve">DB5. Cargo do representante: </t>
        </is>
      </c>
      <c r="C6" t="inlineStr">
        <is>
          <t>TEXTO_LONGO</t>
        </is>
      </c>
      <c r="D6" t="inlineStr"/>
      <c r="E6" t="inlineStr">
        <is>
          <t>Informar o cargo do representante da pessoa jurídica.</t>
        </is>
      </c>
      <c r="F6" t="n">
        <v>5</v>
      </c>
      <c r="G6" t="b">
        <v>1</v>
      </c>
    </row>
    <row r="7">
      <c r="A7" t="n">
        <v>81</v>
      </c>
      <c r="B7" t="inlineStr">
        <is>
          <t xml:space="preserve">DB6. Telefone do representante: </t>
        </is>
      </c>
      <c r="C7" t="inlineStr">
        <is>
          <t>TEXTO</t>
        </is>
      </c>
      <c r="D7" t="inlineStr"/>
      <c r="E7" t="inlineStr">
        <is>
          <t>Informar o telefone do representante da pessoa jurídica.</t>
        </is>
      </c>
      <c r="F7" t="n">
        <v>6</v>
      </c>
      <c r="G7" t="b">
        <v>1</v>
      </c>
    </row>
    <row r="8">
      <c r="A8" t="n">
        <v>82</v>
      </c>
      <c r="B8" t="inlineStr">
        <is>
          <t xml:space="preserve">EA1. Qual a atividade econômica principal? </t>
        </is>
      </c>
      <c r="C8" t="inlineStr">
        <is>
          <t>LISTA</t>
        </is>
      </c>
      <c r="D8" t="inlineStr"/>
      <c r="E8" t="inlineStr">
        <is>
          <t>Selecionar a opção que se refere a sua atividade econômica principal. A pessoa jurídica deverá observar os dois primeiros dígitos do CNAE e correlacioná-los com alguma das atividades descritas na lista. Exemplo: 
CNAE: 64.62-0-00
Atividade a ser selecionada na lista: (64 a 66)</t>
        </is>
      </c>
      <c r="F8" t="n">
        <v>1</v>
      </c>
      <c r="G8" t="b">
        <v>1</v>
      </c>
    </row>
    <row r="9">
      <c r="A9" t="n">
        <v>82</v>
      </c>
      <c r="B9" t="inlineStr">
        <is>
          <t>EA2. Qual o porte da pessoa jurídica?</t>
        </is>
      </c>
      <c r="C9" t="inlineStr">
        <is>
          <t>LISTA</t>
        </is>
      </c>
      <c r="D9" t="inlineStr"/>
      <c r="E9" t="inlineStr">
        <is>
          <t>Critério para a definição do porte conf. faturamento anual:
- Microempresa: até R$ 360 mil
- Empresa de Pequeno Porte: de R$ 360 mil até R$ 4,8 milhões
- Média empresa: de R$ 4,8 milhões até R$ 300 milhões
- Grande empresa: acima de R$ 300 milhões.</t>
        </is>
      </c>
      <c r="F9" t="n">
        <v>2</v>
      </c>
      <c r="G9" t="b">
        <v>1</v>
      </c>
    </row>
    <row r="10">
      <c r="A10" t="n">
        <v>82</v>
      </c>
      <c r="B10" t="inlineStr">
        <is>
          <t xml:space="preserve">EA3. Qual o faturamento anual? </t>
        </is>
      </c>
      <c r="C10" t="inlineStr">
        <is>
          <t>LISTA</t>
        </is>
      </c>
      <c r="D10" t="inlineStr"/>
      <c r="E10" t="inlineStr">
        <is>
          <t>Selecionar a opção que se refere ao faturamento estimado, obtido pela pessoa jurídica a cada ano.</t>
        </is>
      </c>
      <c r="F10" t="n">
        <v>3</v>
      </c>
      <c r="G10" t="b">
        <v>1</v>
      </c>
    </row>
    <row r="11">
      <c r="A11" t="n">
        <v>82</v>
      </c>
      <c r="B11" t="inlineStr">
        <is>
          <t>EA4. Descrever a estrutura organizacional da pessoa jurídica (Ex.: presidência, conselhos, comitês, diretorias etc.):</t>
        </is>
      </c>
      <c r="C11" t="inlineStr">
        <is>
          <t>TEXTO_LONGO</t>
        </is>
      </c>
      <c r="D11" t="inlineStr"/>
      <c r="E11" t="inlineStr">
        <is>
          <t>Informar a estrutura organizacional, apresentando breve resumo das instâncias que a compõem, suas atribuições, membros e as relações de hierarquia/subordinação existentes.</t>
        </is>
      </c>
      <c r="F11" t="n">
        <v>4</v>
      </c>
      <c r="G11" t="b">
        <v>1</v>
      </c>
    </row>
    <row r="12">
      <c r="A12" t="n">
        <v>82</v>
      </c>
      <c r="B12" t="inlineStr">
        <is>
          <t>EA5. Integra algum grupo econômico?</t>
        </is>
      </c>
      <c r="C12" t="inlineStr">
        <is>
          <t>SIM_NAO</t>
        </is>
      </c>
      <c r="D12" t="inlineStr"/>
      <c r="E12" t="inlineStr">
        <is>
          <t>Selecionar “Sim” ou “Não”, conforme o caso.</t>
        </is>
      </c>
      <c r="F12" t="n">
        <v>5</v>
      </c>
      <c r="G12" t="b">
        <v>1</v>
      </c>
    </row>
    <row r="13">
      <c r="A13" t="n">
        <v>82</v>
      </c>
      <c r="B13" t="inlineStr">
        <is>
          <t xml:space="preserve">EA5.1. Informar o nome do grupo econômico: </t>
        </is>
      </c>
      <c r="C13" t="inlineStr">
        <is>
          <t>TEXTO_LONGO</t>
        </is>
      </c>
      <c r="D13" t="inlineStr"/>
      <c r="E13" t="inlineStr">
        <is>
          <t>Informar o nome do grupo econômico ao qual a pessoa jurídica pertence.</t>
        </is>
      </c>
      <c r="F13" t="n">
        <v>6</v>
      </c>
      <c r="G13" t="b">
        <v>1</v>
      </c>
      <c r="H13" t="n">
        <v>2469</v>
      </c>
    </row>
    <row r="14">
      <c r="A14" t="n">
        <v>82</v>
      </c>
      <c r="B14" t="inlineStr">
        <is>
          <t xml:space="preserve">EA5.2. Informar se o programa de integridade se aplica a mais de uma pessoa jurídica do grupo e para quais pessoas jurídicas se aplica: </t>
        </is>
      </c>
      <c r="C14" t="inlineStr">
        <is>
          <t>TEXTO_LONGO</t>
        </is>
      </c>
      <c r="D14" t="inlineStr"/>
      <c r="E14" t="inlineStr">
        <is>
          <t>Informar para quais outras pessoas jurídicas do grupo econômico o programa de integridade é aplicado.</t>
        </is>
      </c>
      <c r="F14" t="n">
        <v>7</v>
      </c>
      <c r="G14" t="b">
        <v>1</v>
      </c>
      <c r="H14" t="n">
        <v>2469</v>
      </c>
    </row>
    <row r="15">
      <c r="A15" t="n">
        <v>82</v>
      </c>
      <c r="B15" t="inlineStr">
        <is>
          <t xml:space="preserve">EA5.3. Informar se é controladora, controlada, coligada, subsidiária, etc., indicando as principais pessoas jurídicas que integram o grupo e os países em que atuam: </t>
        </is>
      </c>
      <c r="C15" t="inlineStr">
        <is>
          <t>TEXTO_LONGO</t>
        </is>
      </c>
      <c r="D15" t="inlineStr"/>
      <c r="E15" t="inlineStr">
        <is>
          <t>Informar a condição da pessoa jurídica no seu grupo econômico, bem como citar as principais pessoa jurídicas que integram esse grupo e os países em que elas exercem atividade.</t>
        </is>
      </c>
      <c r="F15" t="n">
        <v>8</v>
      </c>
      <c r="G15" t="b">
        <v>1</v>
      </c>
      <c r="H15" t="n">
        <v>2469</v>
      </c>
    </row>
    <row r="16">
      <c r="A16" t="n">
        <v>82</v>
      </c>
      <c r="B16" t="inlineStr">
        <is>
          <t>EA6. Realizou, nos últimos 24 meses, operações societárias envolvendo outras pessoas jurídicas (Ex.:  fusão, incorporação etc.)?</t>
        </is>
      </c>
      <c r="C16" t="inlineStr">
        <is>
          <t>SIM_NAO</t>
        </is>
      </c>
      <c r="D16" t="inlineStr"/>
      <c r="E16" t="inlineStr">
        <is>
          <t>Selecionar “Sim” ou “Não”, conforme o caso. As operações societárias incluem: fusões, incorporações, aquisições, cisões etc.</t>
        </is>
      </c>
      <c r="F16" t="n">
        <v>9</v>
      </c>
      <c r="G16" t="b">
        <v>1</v>
      </c>
    </row>
    <row r="17">
      <c r="A17" t="n">
        <v>82</v>
      </c>
      <c r="B17" t="inlineStr">
        <is>
          <t xml:space="preserve">EA6.1. Descrever as operações societárias realizadas: </t>
        </is>
      </c>
      <c r="C17" t="inlineStr">
        <is>
          <t>TEXTO_LONGO</t>
        </is>
      </c>
      <c r="D17" t="inlineStr"/>
      <c r="E17" t="inlineStr">
        <is>
          <t>Ex.: data, tipo de operação, empresas envolvidas, ações relacionadas à operação, alterações na estrutura societária e de mercado das empresas envolvidas, aprovação pelos órgãos de fiscalização e de defesa econômica etc.</t>
        </is>
      </c>
      <c r="F17" t="n">
        <v>10</v>
      </c>
      <c r="G17" t="b">
        <v>1</v>
      </c>
      <c r="H17" t="n">
        <v>2471</v>
      </c>
    </row>
    <row r="18">
      <c r="A18" t="n">
        <v>82</v>
      </c>
      <c r="B18" t="inlineStr">
        <is>
          <t>EA7. Qual o percentual de colaboradores  que possuem acesso à internet, fornecido pela pessoa jurídica, no local de trabalho?</t>
        </is>
      </c>
      <c r="C18" t="inlineStr">
        <is>
          <t>LISTA</t>
        </is>
      </c>
      <c r="D18" t="inlineStr"/>
      <c r="E18" t="inlineStr">
        <is>
          <t>Selecionar a opção que se refere ao percentual de colaboradores com acesso à internet no local de trabalho.</t>
        </is>
      </c>
      <c r="F18" t="n">
        <v>11</v>
      </c>
      <c r="G18" t="b">
        <v>1</v>
      </c>
    </row>
    <row r="19">
      <c r="A19" t="n">
        <v>82</v>
      </c>
      <c r="B19" t="inlineStr">
        <is>
          <t xml:space="preserve">EA8. Quantos colaboradores possui? </t>
        </is>
      </c>
      <c r="C19" t="inlineStr">
        <is>
          <t>NUMERO</t>
        </is>
      </c>
      <c r="D19" t="inlineStr"/>
      <c r="E19" t="inlineStr">
        <is>
          <t>Informar a quantidade de colaboradores que a empresa possui, incluindo funcionários, terceirizados, estagiários e aprendizes.</t>
        </is>
      </c>
      <c r="F19" t="n">
        <v>12</v>
      </c>
      <c r="G19" t="b">
        <v>1</v>
      </c>
    </row>
    <row r="20">
      <c r="A20" t="n">
        <v>83</v>
      </c>
      <c r="B20" t="inlineStr">
        <is>
          <t>IP1. A pessoa jurídica se submete à regulação de agência/órgão governamental?</t>
        </is>
      </c>
      <c r="C20" t="inlineStr">
        <is>
          <t>SIM_NAO</t>
        </is>
      </c>
      <c r="D20" t="inlineStr"/>
      <c r="E20" t="inlineStr">
        <is>
          <t>Selecionar “Sim” ou “Não”, conforme o caso.</t>
        </is>
      </c>
      <c r="F20" t="n">
        <v>1</v>
      </c>
      <c r="G20" t="b">
        <v>1</v>
      </c>
    </row>
    <row r="21">
      <c r="A21" t="n">
        <v>83</v>
      </c>
      <c r="B21" t="inlineStr">
        <is>
          <t xml:space="preserve">IP1.1. Informar quais são as agências/órgãos reguladores a que a pessoa jurídica está submetida: </t>
        </is>
      </c>
      <c r="C21" t="inlineStr">
        <is>
          <t>TEXTO_LONGO</t>
        </is>
      </c>
      <c r="D21" t="inlineStr"/>
      <c r="E21" t="inlineStr">
        <is>
          <t>Informar as agências/órgãos governamentais responsáveis por regular as atividades exercidas pela pessoa jurídica.</t>
        </is>
      </c>
      <c r="F21" t="n">
        <v>2</v>
      </c>
      <c r="G21" t="b">
        <v>1</v>
      </c>
      <c r="H21" t="n">
        <v>2484</v>
      </c>
    </row>
    <row r="22">
      <c r="A22" t="n">
        <v>83</v>
      </c>
      <c r="B22" t="inlineStr">
        <is>
          <t xml:space="preserve">IP2. Em relação à obtenção de licenças, autorizações e permissões governamentais, como poderia ser classificada a situação da pessoa jurídica? </t>
        </is>
      </c>
      <c r="C22" t="inlineStr">
        <is>
          <t>LISTA</t>
        </is>
      </c>
      <c r="D22" t="inlineStr"/>
      <c r="E22" t="inlineStr">
        <is>
          <t>Selecionar a opção que se refere à situação da pessoa jurídica com relação às licenças, autorizações e permissões governamentais.</t>
        </is>
      </c>
      <c r="F22" t="n">
        <v>3</v>
      </c>
      <c r="G22" t="b">
        <v>1</v>
      </c>
    </row>
    <row r="23">
      <c r="A23" t="n">
        <v>83</v>
      </c>
      <c r="B23" t="inlineStr">
        <is>
          <t xml:space="preserve">IP2.1. Descrever as licenças, autorizações e permissões das quais a pessoa jurídica necessite: </t>
        </is>
      </c>
      <c r="C23" t="inlineStr">
        <is>
          <t>TEXTO_LONGO</t>
        </is>
      </c>
      <c r="D23" t="inlineStr"/>
      <c r="E23" t="inlineStr">
        <is>
          <t>Informar as licenças, autorizações e permissões das quais a pessoa jurídica necessite no exercício de suas atividades, incluindo licenças básicas para funcionamento.</t>
        </is>
      </c>
      <c r="F23" t="n">
        <v>4</v>
      </c>
      <c r="G23" t="b">
        <v>1</v>
      </c>
      <c r="H23" t="n">
        <v>2486</v>
      </c>
    </row>
    <row r="24">
      <c r="A24" t="n">
        <v>83</v>
      </c>
      <c r="B24" t="inlineStr">
        <is>
          <t xml:space="preserve">IP3. Em relação à participação em licitações públicas, como poderia ser classificada a situação da pessoa jurídica? </t>
        </is>
      </c>
      <c r="C24" t="inlineStr">
        <is>
          <t>LISTA</t>
        </is>
      </c>
      <c r="D24" t="inlineStr"/>
      <c r="E24" t="inlineStr">
        <is>
          <t>Selecionar a opção que se refere à situação da pessoa jurídica com relação a sua participação em licitações públicas.</t>
        </is>
      </c>
      <c r="F24" t="n">
        <v>5</v>
      </c>
      <c r="G24" t="b">
        <v>1</v>
      </c>
    </row>
    <row r="25">
      <c r="A25" t="n">
        <v>83</v>
      </c>
      <c r="B25" t="inlineStr">
        <is>
          <t xml:space="preserve">IP4. Em relação à celebração de contratos com a Administração Pública, como poderia ser classificada a situação da pessoa jurídica? </t>
        </is>
      </c>
      <c r="C25" t="inlineStr">
        <is>
          <t>LISTA</t>
        </is>
      </c>
      <c r="D25" t="inlineStr"/>
      <c r="E25" t="inlineStr">
        <is>
          <t>Selecionar a opção que se refere à situação da pessoa jurídica com relação à celebração de contratos com a Administração Pública.</t>
        </is>
      </c>
      <c r="F25" t="n">
        <v>6</v>
      </c>
      <c r="G25" t="b">
        <v>1</v>
      </c>
    </row>
    <row r="26">
      <c r="A26" t="n">
        <v>83</v>
      </c>
      <c r="B26" t="inlineStr">
        <is>
          <t xml:space="preserve">IP5. Qual das faixas mais se aproxima do percentual médio do faturamento proveniente de contratos firmados com o poder público? </t>
        </is>
      </c>
      <c r="C26" t="inlineStr">
        <is>
          <t>LISTA</t>
        </is>
      </c>
      <c r="D26" t="inlineStr"/>
      <c r="E26" t="inlineStr">
        <is>
          <t>Selecionar a opção que se refere ao % que os contratos representam do faturamento total da pessoa jurídica. Caso não os possua, selecionar “0%”.</t>
        </is>
      </c>
      <c r="F26" t="n">
        <v>7</v>
      </c>
      <c r="G26" t="b">
        <v>1</v>
      </c>
    </row>
    <row r="27">
      <c r="A27" t="n">
        <v>83</v>
      </c>
      <c r="B27" t="inlineStr">
        <is>
          <t>IP6. Utiliza intermediários no contato com a Administração Pública para execução de contratos administrativos, obtenção de autorizações, licenças e permissões, protocolo de documentos, desembaraço aduaneiro etc.?</t>
        </is>
      </c>
      <c r="C27" t="inlineStr">
        <is>
          <t>SIM_NAO</t>
        </is>
      </c>
      <c r="D27" t="inlineStr"/>
      <c r="E27" t="inlineStr">
        <is>
          <t>Selecionar “Sim” ou “Não”, conforme o caso. Intermediários incluem: consultores, advogados, assessores, despachantes, procuradores etc.</t>
        </is>
      </c>
      <c r="F27" t="n">
        <v>8</v>
      </c>
      <c r="G27" t="b">
        <v>1</v>
      </c>
    </row>
    <row r="28">
      <c r="A28" t="n">
        <v>83</v>
      </c>
      <c r="B28" t="inlineStr">
        <is>
          <t xml:space="preserve">IP6.1. Descrever como ocorreu a utilização de intermediários no contato com a Administração Pública por parte da pessoa jurídica: </t>
        </is>
      </c>
      <c r="C28" t="inlineStr">
        <is>
          <t>TEXTO_LONGO</t>
        </is>
      </c>
      <c r="D28" t="inlineStr"/>
      <c r="E28" t="inlineStr">
        <is>
          <t>Ex.: data, terceiro contratado, objeto, órgão ou entidade pública relacionada, atividades desempenhadas etc.</t>
        </is>
      </c>
      <c r="F28" t="n">
        <v>9</v>
      </c>
      <c r="G28" t="b">
        <v>1</v>
      </c>
      <c r="H28" t="n">
        <v>2498</v>
      </c>
    </row>
    <row r="29">
      <c r="A29" t="n">
        <v>83</v>
      </c>
      <c r="B29" t="inlineStr">
        <is>
          <t>IP7. A pessoa jurídica subcontratou atividades relacionadas à execução de contratos administrativos?</t>
        </is>
      </c>
      <c r="C29" t="inlineStr">
        <is>
          <t>SIM_NAO</t>
        </is>
      </c>
      <c r="D29" t="inlineStr"/>
      <c r="E29" t="inlineStr">
        <is>
          <t>Selecionar “Sim” ou “Não”, conforme o caso. Entende-se por “subcontratação” a situação em que a pessoa jurídica contrata um terceiro para executar determinada parcela do contrato administrativo.</t>
        </is>
      </c>
      <c r="F29" t="n">
        <v>10</v>
      </c>
      <c r="G29" t="b">
        <v>1</v>
      </c>
    </row>
    <row r="30">
      <c r="A30" t="n">
        <v>83</v>
      </c>
      <c r="B30" t="inlineStr">
        <is>
          <t xml:space="preserve">IP7.1. Explicar como ocorreram as subcontratações de atividades relacionadas à execução de contratos administrativos por parte da pessoa jurídica: </t>
        </is>
      </c>
      <c r="C30" t="inlineStr">
        <is>
          <t>TEXTO_LONGO</t>
        </is>
      </c>
      <c r="D30" t="inlineStr"/>
      <c r="E30" t="inlineStr">
        <is>
          <t>Ex.: data, contrato administrativo, terceiro e objeto subcontratado, aprovação pelo órgão ou entidade pública etc.</t>
        </is>
      </c>
      <c r="F30" t="n">
        <v>11</v>
      </c>
      <c r="G30" t="b">
        <v>1</v>
      </c>
      <c r="H30" t="n">
        <v>2500</v>
      </c>
    </row>
    <row r="31">
      <c r="A31" t="n">
        <v>84</v>
      </c>
      <c r="B31" t="inlineStr">
        <is>
          <t xml:space="preserve">DP1. A pessoa jurídica realizou patrocínios esportivos ou culturais, nos últimos 24 meses? </t>
        </is>
      </c>
      <c r="C31" t="inlineStr">
        <is>
          <t>SIM_NAO</t>
        </is>
      </c>
      <c r="D31" t="inlineStr"/>
      <c r="E31" t="inlineStr">
        <is>
          <t>Selecionar “Sim” ou “Não”, conforme o caso.</t>
        </is>
      </c>
      <c r="F31" t="n">
        <v>1</v>
      </c>
      <c r="G31" t="b">
        <v>1</v>
      </c>
    </row>
    <row r="32">
      <c r="A32" t="n">
        <v>84</v>
      </c>
      <c r="B32" t="inlineStr">
        <is>
          <t xml:space="preserve">DP2. A pessoa jurídica efetuou doações, nos últimos 24 meses? </t>
        </is>
      </c>
      <c r="C32" t="inlineStr">
        <is>
          <t>SIM_NAO</t>
        </is>
      </c>
      <c r="D32" t="inlineStr"/>
      <c r="E32" t="inlineStr">
        <is>
          <t>Selecionar “Sim” ou “Não”, conforme o caso.</t>
        </is>
      </c>
      <c r="F32" t="n">
        <v>2</v>
      </c>
      <c r="G32" t="b">
        <v>1</v>
      </c>
    </row>
    <row r="33">
      <c r="A33" t="n">
        <v>85</v>
      </c>
      <c r="B33" t="inlineStr">
        <is>
          <t>PS1. A atividade da pessoa jurídica envolve potencial de dano ao meio ambiente?</t>
        </is>
      </c>
      <c r="C33" t="inlineStr">
        <is>
          <t>SIM_NAO</t>
        </is>
      </c>
      <c r="D33" t="inlineStr"/>
      <c r="E33" t="inlineStr">
        <is>
          <t>Selecionar “Sim” ou “Não”, conforme o caso.</t>
        </is>
      </c>
      <c r="F33" t="n">
        <v>1</v>
      </c>
      <c r="G33" t="b">
        <v>1</v>
      </c>
    </row>
    <row r="34">
      <c r="A34" t="n">
        <v>85</v>
      </c>
      <c r="B34" t="inlineStr">
        <is>
          <t>PS1. 1 Apresentar justificativas por entender que não possui atividades que podem causar impactos ambientais:</t>
        </is>
      </c>
      <c r="C34" t="inlineStr">
        <is>
          <t>TEXTO_LONGO</t>
        </is>
      </c>
      <c r="D34" t="inlineStr"/>
      <c r="E34" t="inlineStr">
        <is>
          <t>Explique os motivos que levaram a pessoa jurídica a concluir que suas atividades não geram impactos ambientais, tais como: localização, natureza das operações, uso mínimo de recursos naturais etc., e outras avaliações que fundamentem essa avaliação.</t>
        </is>
      </c>
      <c r="F34" t="n">
        <v>2</v>
      </c>
      <c r="G34" t="b">
        <v>1</v>
      </c>
      <c r="H34" t="n">
        <v>2505</v>
      </c>
    </row>
    <row r="35">
      <c r="A35" t="n">
        <v>86</v>
      </c>
      <c r="B35" t="inlineStr">
        <is>
          <t>PI1. Quando entende que seu programa de integridade foi formalmente instituído?</t>
        </is>
      </c>
      <c r="C35" t="inlineStr">
        <is>
          <t>LISTA</t>
        </is>
      </c>
      <c r="D35" t="inlineStr"/>
      <c r="E35" t="inlineStr">
        <is>
          <t>Selecionar a opção que se refere ao tempo decorrido desde o ano de instituição do programa de integridade. Conforme a existência dos seguintes elementos básicos: Código de Ética/Conduta; Canal de Denúncias; e Área Específica ou Pessoa Responsável pelo programa.</t>
        </is>
      </c>
      <c r="F35" t="n">
        <v>1</v>
      </c>
      <c r="G35" t="b">
        <v>1</v>
      </c>
    </row>
    <row r="36">
      <c r="A36" t="n">
        <v>86</v>
      </c>
      <c r="B36" t="inlineStr">
        <is>
          <t xml:space="preserve">PI2. Descrever a estrutura da área de integridade, a sua posição hierárquica e o seu reporte com a alta direção e, no caso de empresa multinacional com programa global de integridade, com a área de integridade da matriz: </t>
        </is>
      </c>
      <c r="C36" t="inlineStr">
        <is>
          <t>TEXTO_LONGO</t>
        </is>
      </c>
      <c r="D36" t="inlineStr"/>
      <c r="E36" t="inlineStr">
        <is>
          <t>Informar aspectos da estrutura da área de integridade da pessoa jurídica, conforme solicitado no item.</t>
        </is>
      </c>
      <c r="F36" t="n">
        <v>2</v>
      </c>
      <c r="G36" t="b">
        <v>1</v>
      </c>
    </row>
    <row r="37">
      <c r="A37" t="n">
        <v>86</v>
      </c>
      <c r="B37" t="inlineStr">
        <is>
          <t xml:space="preserve">PI3. A área de integridade conta com quantos colaboradores que se dedicam exclusivamente ao programa de integridade da pessoa jurídica? </t>
        </is>
      </c>
      <c r="C37" t="inlineStr">
        <is>
          <t>NUMERO</t>
        </is>
      </c>
      <c r="D37" t="inlineStr"/>
      <c r="E37" t="inlineStr">
        <is>
          <t>Informar a quantidade de colaboradores com dedicação exclusiva ao programa de integridade, isto é, que não desempenham funções em outras áreas.</t>
        </is>
      </c>
      <c r="F37" t="n">
        <v>3</v>
      </c>
      <c r="G37" t="b">
        <v>1</v>
      </c>
    </row>
    <row r="38">
      <c r="A38" t="n">
        <v>86</v>
      </c>
      <c r="B38" t="inlineStr">
        <is>
          <t xml:space="preserve">PI4. A pessoa jurídica conta com quantos colaboradores que se dedicam parcialmente ao programa de integridade? </t>
        </is>
      </c>
      <c r="C38" t="inlineStr">
        <is>
          <t>NUMERO</t>
        </is>
      </c>
      <c r="D38" t="inlineStr"/>
      <c r="E38" t="inlineStr">
        <is>
          <t>Informar a quantidade de colaboradores com dedicação parcial ao programa de integridade, isto é, que desempenham funções em outras áreas (ex.: embaixadores de integridade lotados em regionais)</t>
        </is>
      </c>
      <c r="F38" t="n">
        <v>4</v>
      </c>
      <c r="G38" t="b">
        <v>1</v>
      </c>
    </row>
    <row r="39">
      <c r="A39" t="n">
        <v>86</v>
      </c>
      <c r="B39" t="inlineStr">
        <is>
          <t>PI5. Recebeu alguma denúncia relacionada com atos de fraude e corrupção, atos de desrespeito à legislação ambiental, preconceito, discriminação e assédio de qualquer natureza nos últimos 24 meses?</t>
        </is>
      </c>
      <c r="C39" t="inlineStr">
        <is>
          <t>SIM_NAO</t>
        </is>
      </c>
      <c r="D39" t="inlineStr"/>
      <c r="E39" t="inlineStr">
        <is>
          <t>Selecionar “Sim” ou “Não”, conforme o caso.</t>
        </is>
      </c>
      <c r="F39" t="n">
        <v>5</v>
      </c>
      <c r="G39" t="b">
        <v>1</v>
      </c>
    </row>
    <row r="40">
      <c r="A40" t="n">
        <v>86</v>
      </c>
      <c r="B40" t="inlineStr">
        <is>
          <t>PI6. Está sendo investigada ou é parte em processo administrativo ou judicial, ou já foi condenada, nos últimos 3 (três) anos, pela prática de atos de corrupção, improbidade administrativa e/ou fraudes em licitação?</t>
        </is>
      </c>
      <c r="C40" t="inlineStr">
        <is>
          <t>SIM_NAO</t>
        </is>
      </c>
      <c r="D40" t="inlineStr"/>
      <c r="E40" t="inlineStr">
        <is>
          <t>Selecionar “Sim” ou “Não”, conforme o caso.</t>
        </is>
      </c>
      <c r="F40" t="n">
        <v>6</v>
      </c>
      <c r="G40" t="b">
        <v>1</v>
      </c>
    </row>
    <row r="41">
      <c r="A41" t="n">
        <v>86</v>
      </c>
      <c r="B41" t="inlineStr">
        <is>
          <t xml:space="preserve">PI6.1. Apresentar breve esclarecimento sobre o caso indicado no item anterior, e as medidas de integridade adotadas em reação ao ilícito: </t>
        </is>
      </c>
      <c r="C41" t="inlineStr">
        <is>
          <t>TEXTO_LONGO</t>
        </is>
      </c>
      <c r="D41" t="inlineStr"/>
      <c r="E41" t="inlineStr">
        <is>
          <t>Informar sobre o(s) caso(s) ocorrido(s) na pessoa jurídica no item anterior, bem como as medidas de integridades adotadas.</t>
        </is>
      </c>
      <c r="F41" t="n">
        <v>7</v>
      </c>
      <c r="G41" t="b">
        <v>1</v>
      </c>
      <c r="H41" t="n">
        <v>2516</v>
      </c>
    </row>
    <row r="42">
      <c r="A42" t="n">
        <v>86</v>
      </c>
      <c r="B42" t="inlineStr">
        <is>
          <t>PI7. Algum membro da alta direção está sendo investigado ou é parte em processo administrativo ou judicial, ou já foi condenado, nos últimos 3 (três) anos, pela prática de atos de corrupção, improbidade administrativa e/ou fraudes em licitação?</t>
        </is>
      </c>
      <c r="C42" t="inlineStr">
        <is>
          <t>SIM_NAO</t>
        </is>
      </c>
      <c r="D42" t="inlineStr"/>
      <c r="E42" t="inlineStr">
        <is>
          <t>Selecionar “Sim” ou “Não”, conforme o caso.</t>
        </is>
      </c>
      <c r="F42" t="n">
        <v>8</v>
      </c>
      <c r="G42" t="b">
        <v>1</v>
      </c>
    </row>
    <row r="43">
      <c r="A43" t="n">
        <v>86</v>
      </c>
      <c r="B43" t="inlineStr">
        <is>
          <t xml:space="preserve">PI7.1. Apresentar quais foram as medidas adotadas a partir da ciência da prática do ato lesivo por membro da alta direção, indicado no item anterior: </t>
        </is>
      </c>
      <c r="C43" t="inlineStr">
        <is>
          <t>TEXTO_LONGO</t>
        </is>
      </c>
      <c r="D43" t="inlineStr"/>
      <c r="E43" t="inlineStr">
        <is>
          <t>Informar sobre as medidas adotadas em resposta ao ato lesivo praticado por membro da alta direção, indicado no item anterior.</t>
        </is>
      </c>
      <c r="F43" t="n">
        <v>9</v>
      </c>
      <c r="G43" t="b">
        <v>1</v>
      </c>
      <c r="H43" t="n">
        <v>2518</v>
      </c>
    </row>
  </sheetData>
  <pageMargins left="0.511811024" right="0.511811024" top="0.787401575" bottom="0.787401575" header="0.31496062" footer="0.31496062"/>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Joao Victor da Silva Sousa</dc:creator>
  <dcterms:created xmlns:dcterms="http://purl.org/dc/terms/" xmlns:xsi="http://www.w3.org/2001/XMLSchema-instance" xsi:type="dcterms:W3CDTF">2025-09-03T13:43:04Z</dcterms:created>
  <dcterms:modified xmlns:dcterms="http://purl.org/dc/terms/" xmlns:xsi="http://www.w3.org/2001/XMLSchema-instance" xsi:type="dcterms:W3CDTF">2026-08-27T19:32:04Z</dcterms:modified>
  <cp:lastModifiedBy>Jose Barreto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0x010100A1F2133BC8728248B080FEA0EF7C453B</vt:lpwstr>
  </property>
  <property name="MediaServiceImageTags" fmtid="{D5CDD505-2E9C-101B-9397-08002B2CF9AE}" pid="3">
    <vt:lpwstr xmlns:vt="http://schemas.openxmlformats.org/officeDocument/2006/docPropsVTypes"/>
  </property>
</Properties>
</file>