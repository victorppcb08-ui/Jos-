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Resumo" sheetId="1" state="visible" r:id="rId3"/>
    <sheet name="1_Parametros" sheetId="2" state="visible" r:id="rId4"/>
    <sheet name="2_Rubricas" sheetId="3" state="visible" r:id="rId5"/>
    <sheet name="3_Memoria_Mensal" sheetId="4" state="visible" r:id="rId6"/>
    <sheet name="4_Hipotese_Separada" sheetId="5" state="visible" r:id="rId7"/>
    <sheet name="5_Ferias_Junho" sheetId="6" state="visible" r:id="rId8"/>
    <sheet name="6_TPD_ValorHora" sheetId="7" state="visible" r:id="rId9"/>
  </sheets>
  <definedNames>
    <definedName function="false" hidden="true" localSheetId="2" name="_xlnm._FilterDatabase" vbProcedure="false">2_Rubricas!$A$3:$M$229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<sst xmlns="http://schemas.openxmlformats.org/spreadsheetml/2006/main" count="2262" uniqueCount="329">
  <si>
    <t xml:space="preserve">Revisão do IRRF 2026 – Ana Rosa Pessoa Peixoto Barreto – Matr. 01891359 (SES/DF)</t>
  </si>
  <si>
    <t xml:space="preserve">Contracheques analisados: 10 principais (Jan–Out/2026) + 8 do TPD (Fev–Set/2026). Fonte pagadora única: GDF/SES-DF.</t>
  </si>
  <si>
    <t xml:space="preserve">Mês</t>
  </si>
  <si>
    <t xml:space="preserve">Rend. tributáveis (R$)</t>
  </si>
  <si>
    <t xml:space="preserve">Base de cálculo (R$)</t>
  </si>
  <si>
    <t xml:space="preserve">IR devido – correto (R$)</t>
  </si>
  <si>
    <t xml:space="preserve">IR retido – principal (R$)</t>
  </si>
  <si>
    <t xml:space="preserve">IR retido – TPD (R$)</t>
  </si>
  <si>
    <t xml:space="preserve">IR retido – total (R$)</t>
  </si>
  <si>
    <t xml:space="preserve">Diferença (R$)</t>
  </si>
  <si>
    <t xml:space="preserve">Situação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</si>
  <si>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</si>
  <si>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</si>
  <si>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</si>
  <si>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</si>
  <si>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</si>
  <si>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</si>
  <si>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</si>
  <si>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</si>
  <si>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</si>
  <si>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</si>
  <si>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TOTAL</t>
  </si>
  <si>
    <t xml:space="preserve">Conclusões</t>
  </si>
  <si>
    <t xml:space="preserve">1. O IR retido de janeiro a outubro de 2026 está CORRETO. Recalculado pelo método legal, com o mesmo truncamento de centavos do SIGRH, ele bate ao centavo em todos os meses: R$ 66.169,57 devidos e R$ 66.169,57 retidos.</t>
  </si>
  <si>
    <t xml:space="preserve">2. O GDF já calculava o IR do contracheque do TPD da forma legal: IR sobre (folha normal + TPD) menos o IR já retido na folha normal. Como a folha normal já está na faixa de 27,5%, isso equivale a 27,5% do TPD bruto. A parcela a deduzir (R$ 908,73) já tinha sido usada uma vez no mês, na folha normal.</t>
  </si>
  <si>
    <t xml:space="preserve">3. Setembro: o contracheque do TPD saiu sem IR porque o imposto do TPD (R$ 1.217,95) foi cobrado no contracheque PRINCIPAL. Agosto e setembro têm a mesma remuneração, mas o IR principal subiu de R$ 5.083,71 para R$ 6.301,66. Não houve isenção nem falta de cobrança.</t>
  </si>
  <si>
    <t xml:space="preserve">4. Outubro (folhas unificadas): o resultado é matematicamente idêntico ao método anterior. IR = 5.115,04 (folha normal) + 2.099,92 (27,5% × 7.636,08 de TPD) = 7.214,96, exatamente o valor cobrado. Não houve mudança de critério nem benefício novo.</t>
  </si>
  <si>
    <t xml:space="preserve">5. A redução da Lei 15.270/2025 não se aplica em nenhum mês: os rendimentos tributáveis somados passam de R$ 7.350,00.</t>
  </si>
  <si>
    <t xml:space="preserve">6. Ponto controvertido (aba 5): em junho, o 1/3 de férias poderia ter IR calculado em separado, com cerca de R$ 908,74 a menos de retenção. O efeito é só de caixa, porque o ajuste anual cobra o mesmo valor. Isso não gera crédito relevante.</t>
  </si>
  <si>
    <t xml:space="preserve">7. Recomendação: não há base para pedir recomposição de IR ao GDF. Na Declaração 2027 (ano-calendário 2026), confira se o Comprovante de Rendimentos do GDF inclui o TPD e o IR retido total, e informe as deduções que a folha não considera (saúde, educação, PGBL, dependentes). É aí que pode surgir restituição.</t>
  </si>
  <si>
    <t xml:space="preserve">Parâmetros legais do IRRF – ano-calendário 2026</t>
  </si>
  <si>
    <t xml:space="preserve">Tabela progressiva mensal (Lei 9.250/1995, art. 4º e tabela vigente desde 05/2025 – Lei 15.191/2025, mantida para 2026) + redução do art. 3º-A da Lei 9.250/1995 incluído pela Lei 15.270/2025</t>
  </si>
  <si>
    <t xml:space="preserve">Faixa</t>
  </si>
  <si>
    <t xml:space="preserve">Base de cálculo – de (R$)</t>
  </si>
  <si>
    <t xml:space="preserve">até (R$)</t>
  </si>
  <si>
    <t xml:space="preserve">Alíquota</t>
  </si>
  <si>
    <t xml:space="preserve">Parcela a deduzir (R$)</t>
  </si>
  <si>
    <t xml:space="preserve">em diante</t>
  </si>
  <si>
    <t xml:space="preserve">Deduções e redução</t>
  </si>
  <si>
    <t xml:space="preserve">Dedução mensal por dependente (R$)</t>
  </si>
  <si>
    <t xml:space="preserve">Nº de dependentes considerados pelo GDF (obtido por engenharia reversa dos contracheques – confira)</t>
  </si>
  <si>
    <t xml:space="preserve">Desconto simplificado mensal (R$) – opcional, substitui deduções legais (não vantajoso aqui)</t>
  </si>
  <si>
    <t xml:space="preserve">Redução Lei 15.270: limite faixa 1 – rendimentos tributáveis até (R$)</t>
  </si>
  <si>
    <t xml:space="preserve">Redução Lei 15.270: redução máxima na faixa 1 (R$)</t>
  </si>
  <si>
    <t xml:space="preserve">Redução Lei 15.270: limite faixa 2 – rendimentos tributáveis até (R$)</t>
  </si>
  <si>
    <t xml:space="preserve">Redução Lei 15.270: constante da fórmula (R$)</t>
  </si>
  <si>
    <t xml:space="preserve">Redução Lei 15.270: coeficiente sobre rendimentos tributáveis</t>
  </si>
  <si>
    <t xml:space="preserve">Fórmula da redução (art. 3º-A da Lei 9.250/1995): até R$ 5.000,00 de rendimentos tributáveis → reduz até R$ 312,89 (imposto zero); de R$ 5.000,01 a R$ 7.350,00 → redução = 978,62 − 0,133145 × rendimentos tributáveis; acima de R$ 7.350,00 → sem redução. A redução considera os rendimentos tributáveis pagos no mês (pela mesma fonte, somados).</t>
  </si>
  <si>
    <t xml:space="preserve">Arredondamento: o sistema do GDF (SIGRH) trunca o imposto na 2ª casa decimal. A planilha reproduz esse critério com TRUNC(); a diferença para o arredondamento comum é de no máximo R$ 0,01 por mês.</t>
  </si>
  <si>
    <t xml:space="preserve">Transcrição integral das rubricas dos 18 contracheques (Jan–Out/2026)</t>
  </si>
  <si>
    <t xml:space="preserve">Mês (nome)</t>
  </si>
  <si>
    <t xml:space="preserve">Folha</t>
  </si>
  <si>
    <t xml:space="preserve">Arquivo</t>
  </si>
  <si>
    <t xml:space="preserve">Código</t>
  </si>
  <si>
    <t xml:space="preserve">Discriminação</t>
  </si>
  <si>
    <t xml:space="preserve">Qtde</t>
  </si>
  <si>
    <t xml:space="preserve">Parcela</t>
  </si>
  <si>
    <t xml:space="preserve">Tipo</t>
  </si>
  <si>
    <t xml:space="preserve">Grupo</t>
  </si>
  <si>
    <t xml:space="preserve">Natureza p/ IR</t>
  </si>
  <si>
    <t xml:space="preserve">Base seguridade?</t>
  </si>
  <si>
    <t xml:space="preserve">Valor (R$)</t>
  </si>
  <si>
    <t xml:space="preserve">Principal (Folha Normal)</t>
  </si>
  <si>
    <t xml:space="preserve">01_Contracheque_Jan.pdf</t>
  </si>
  <si>
    <t xml:space="preserve">10004</t>
  </si>
  <si>
    <t xml:space="preserve">VENCIMENTO</t>
  </si>
  <si>
    <t xml:space="preserve">998</t>
  </si>
  <si>
    <t xml:space="preserve">Rendimento</t>
  </si>
  <si>
    <t xml:space="preserve">Remuneração</t>
  </si>
  <si>
    <t xml:space="preserve">Tributável</t>
  </si>
  <si>
    <t xml:space="preserve">Sim (14%)</t>
  </si>
  <si>
    <t xml:space="preserve">10139</t>
  </si>
  <si>
    <t xml:space="preserve">GIABS-LEI 318/1992</t>
  </si>
  <si>
    <t xml:space="preserve">10140</t>
  </si>
  <si>
    <t xml:space="preserve">GRAT.MOV. LEI 318/92</t>
  </si>
  <si>
    <t xml:space="preserve">005</t>
  </si>
  <si>
    <t xml:space="preserve">10502</t>
  </si>
  <si>
    <t xml:space="preserve">ADICIONAL TEMPO DE SERVICO</t>
  </si>
  <si>
    <t xml:space="preserve">10576</t>
  </si>
  <si>
    <t xml:space="preserve">GRAT DE TITULACAO DA SAUDE</t>
  </si>
  <si>
    <t xml:space="preserve">999</t>
  </si>
  <si>
    <t xml:space="preserve">10586</t>
  </si>
  <si>
    <t xml:space="preserve">GCET - LEI 2339/99</t>
  </si>
  <si>
    <t xml:space="preserve">10801</t>
  </si>
  <si>
    <t xml:space="preserve">ADICIONAL INSALUBRIDADE ATIVO</t>
  </si>
  <si>
    <t xml:space="preserve">10926</t>
  </si>
  <si>
    <t xml:space="preserve">AUX. ALIMENTACAO PECUNIA</t>
  </si>
  <si>
    <t xml:space="preserve">Aux. Alimentação</t>
  </si>
  <si>
    <t xml:space="preserve">Não tributável (indenizatório)</t>
  </si>
  <si>
    <t xml:space="preserve">40439</t>
  </si>
  <si>
    <t xml:space="preserve">BRB-EMPRESTIMO I</t>
  </si>
  <si>
    <t xml:space="preserve">071</t>
  </si>
  <si>
    <t xml:space="preserve">Desconto</t>
  </si>
  <si>
    <t xml:space="preserve">Consignação</t>
  </si>
  <si>
    <t xml:space="preserve">Sem efeito no IR</t>
  </si>
  <si>
    <t xml:space="preserve">40450</t>
  </si>
  <si>
    <t xml:space="preserve">BRB-EMPRESTIMO II</t>
  </si>
  <si>
    <t xml:space="preserve">037</t>
  </si>
  <si>
    <t xml:space="preserve">40670</t>
  </si>
  <si>
    <t xml:space="preserve">BRB-EMPRESTIMO III</t>
  </si>
  <si>
    <t xml:space="preserve">036</t>
  </si>
  <si>
    <t xml:space="preserve">40680</t>
  </si>
  <si>
    <t xml:space="preserve">BRB-EMPRESTIMO IV</t>
  </si>
  <si>
    <t xml:space="preserve">054</t>
  </si>
  <si>
    <t xml:space="preserve">40681</t>
  </si>
  <si>
    <t xml:space="preserve">BRB-EMPRESTIMO V</t>
  </si>
  <si>
    <t xml:space="preserve">076</t>
  </si>
  <si>
    <t xml:space="preserve">40688</t>
  </si>
  <si>
    <t xml:space="preserve">BRB-EMPRESTIMO VI</t>
  </si>
  <si>
    <t xml:space="preserve">125</t>
  </si>
  <si>
    <t xml:space="preserve">40796</t>
  </si>
  <si>
    <t xml:space="preserve">AES-SES/DF - MENSALIDADE</t>
  </si>
  <si>
    <t xml:space="preserve">40810</t>
  </si>
  <si>
    <t xml:space="preserve">BRB-EMPRESTIMO VII</t>
  </si>
  <si>
    <t xml:space="preserve">097</t>
  </si>
  <si>
    <t xml:space="preserve">40811</t>
  </si>
  <si>
    <t xml:space="preserve">BRB-EMPRESTIMO VIII</t>
  </si>
  <si>
    <t xml:space="preserve">020</t>
  </si>
  <si>
    <t xml:space="preserve">40812</t>
  </si>
  <si>
    <t xml:space="preserve">BRB-EMPRESTIMO IX</t>
  </si>
  <si>
    <t xml:space="preserve">056</t>
  </si>
  <si>
    <t xml:space="preserve">40920</t>
  </si>
  <si>
    <t xml:space="preserve">SEGURIDADE SOCIAL</t>
  </si>
  <si>
    <t xml:space="preserve">Seguridade</t>
  </si>
  <si>
    <t xml:space="preserve">Dedução da base (Lei 9.250, art. 4º, IV)</t>
  </si>
  <si>
    <t xml:space="preserve">40950</t>
  </si>
  <si>
    <t xml:space="preserve">IMPOSTO DE RENDA</t>
  </si>
  <si>
    <t xml:space="preserve">IRRF</t>
  </si>
  <si>
    <t xml:space="preserve">Imposto retido</t>
  </si>
  <si>
    <t xml:space="preserve">02_Contracheque_Fev.pdf</t>
  </si>
  <si>
    <t xml:space="preserve">004</t>
  </si>
  <si>
    <t xml:space="preserve">070</t>
  </si>
  <si>
    <t xml:space="preserve">035</t>
  </si>
  <si>
    <t xml:space="preserve">053</t>
  </si>
  <si>
    <t xml:space="preserve">075</t>
  </si>
  <si>
    <t xml:space="preserve">124</t>
  </si>
  <si>
    <t xml:space="preserve">096</t>
  </si>
  <si>
    <t xml:space="preserve">019</t>
  </si>
  <si>
    <t xml:space="preserve">055</t>
  </si>
  <si>
    <t xml:space="preserve">TPD (Folha Suplementar)</t>
  </si>
  <si>
    <t xml:space="preserve">02_TPD_Fev_2026.pdf</t>
  </si>
  <si>
    <t xml:space="preserve">21041</t>
  </si>
  <si>
    <t xml:space="preserve">DIF. TPD-DIURNO LEI 6.137/2018</t>
  </si>
  <si>
    <t xml:space="preserve">001</t>
  </si>
  <si>
    <t xml:space="preserve">TPD</t>
  </si>
  <si>
    <t xml:space="preserve">21043</t>
  </si>
  <si>
    <t xml:space="preserve">DIF. TPD FFP-DIURNO LEI 6.137/2018</t>
  </si>
  <si>
    <t xml:space="preserve">03_Contracheque_Mar.pdf</t>
  </si>
  <si>
    <t xml:space="preserve">003</t>
  </si>
  <si>
    <t xml:space="preserve">069</t>
  </si>
  <si>
    <t xml:space="preserve">034</t>
  </si>
  <si>
    <t xml:space="preserve">052</t>
  </si>
  <si>
    <t xml:space="preserve">074</t>
  </si>
  <si>
    <t xml:space="preserve">123</t>
  </si>
  <si>
    <t xml:space="preserve">095</t>
  </si>
  <si>
    <t xml:space="preserve">018</t>
  </si>
  <si>
    <t xml:space="preserve">03_TPD_Mar_2026.pdf</t>
  </si>
  <si>
    <t xml:space="preserve">11041</t>
  </si>
  <si>
    <t xml:space="preserve">TPD-DIURNO LEI 6.137/2018</t>
  </si>
  <si>
    <t xml:space="preserve">11043</t>
  </si>
  <si>
    <t xml:space="preserve">TPD FFP-DIURNO LEI 6.137/2018</t>
  </si>
  <si>
    <t xml:space="preserve">04_Contracheque_Abr.pdf</t>
  </si>
  <si>
    <t xml:space="preserve">002</t>
  </si>
  <si>
    <t xml:space="preserve">068</t>
  </si>
  <si>
    <t xml:space="preserve">033</t>
  </si>
  <si>
    <t xml:space="preserve">051</t>
  </si>
  <si>
    <t xml:space="preserve">073</t>
  </si>
  <si>
    <t xml:space="preserve">122</t>
  </si>
  <si>
    <t xml:space="preserve">094</t>
  </si>
  <si>
    <t xml:space="preserve">017</t>
  </si>
  <si>
    <t xml:space="preserve">04_TPD_Abr_2026.pdf</t>
  </si>
  <si>
    <t xml:space="preserve">05_Contracheque_Mai.pdf</t>
  </si>
  <si>
    <t xml:space="preserve">067</t>
  </si>
  <si>
    <t xml:space="preserve">032</t>
  </si>
  <si>
    <t xml:space="preserve">050</t>
  </si>
  <si>
    <t xml:space="preserve">072</t>
  </si>
  <si>
    <t xml:space="preserve">121</t>
  </si>
  <si>
    <t xml:space="preserve">093</t>
  </si>
  <si>
    <t xml:space="preserve">016</t>
  </si>
  <si>
    <t xml:space="preserve">05_TPD_Mai_2026.pdf</t>
  </si>
  <si>
    <t xml:space="preserve">06_Contracheque_Jun.pdf</t>
  </si>
  <si>
    <t xml:space="preserve">10865</t>
  </si>
  <si>
    <t xml:space="preserve">1/3 FERIAS ART. 7 VII CF EST</t>
  </si>
  <si>
    <t xml:space="preserve">1/3 Férias</t>
  </si>
  <si>
    <t xml:space="preserve">Tributável (STJ Tema 881)</t>
  </si>
  <si>
    <t xml:space="preserve">066</t>
  </si>
  <si>
    <t xml:space="preserve">031</t>
  </si>
  <si>
    <t xml:space="preserve">049</t>
  </si>
  <si>
    <t xml:space="preserve">120</t>
  </si>
  <si>
    <t xml:space="preserve">092</t>
  </si>
  <si>
    <t xml:space="preserve">015</t>
  </si>
  <si>
    <t xml:space="preserve">06_TPD_Jun_2026.pdf</t>
  </si>
  <si>
    <t xml:space="preserve">07_Contracheque_Jul.pdf</t>
  </si>
  <si>
    <t xml:space="preserve">012</t>
  </si>
  <si>
    <t xml:space="preserve">20140</t>
  </si>
  <si>
    <t xml:space="preserve">DIF. GRAT.MOV. LEI 318/92</t>
  </si>
  <si>
    <t xml:space="preserve">065</t>
  </si>
  <si>
    <t xml:space="preserve">030</t>
  </si>
  <si>
    <t xml:space="preserve">048</t>
  </si>
  <si>
    <t xml:space="preserve">119</t>
  </si>
  <si>
    <t xml:space="preserve">091</t>
  </si>
  <si>
    <t xml:space="preserve">014</t>
  </si>
  <si>
    <t xml:space="preserve">07_TPD_Jul_2026.pdf</t>
  </si>
  <si>
    <t xml:space="preserve">08_Contracheque_Ago.pdf</t>
  </si>
  <si>
    <t xml:space="preserve">011</t>
  </si>
  <si>
    <t xml:space="preserve">064</t>
  </si>
  <si>
    <t xml:space="preserve">029</t>
  </si>
  <si>
    <t xml:space="preserve">047</t>
  </si>
  <si>
    <t xml:space="preserve">118</t>
  </si>
  <si>
    <t xml:space="preserve">090</t>
  </si>
  <si>
    <t xml:space="preserve">013</t>
  </si>
  <si>
    <t xml:space="preserve">08_TPD_Ago_2026.pdf</t>
  </si>
  <si>
    <t xml:space="preserve">09_Contracheque_Set.pdf</t>
  </si>
  <si>
    <t xml:space="preserve">010</t>
  </si>
  <si>
    <t xml:space="preserve">063</t>
  </si>
  <si>
    <t xml:space="preserve">028</t>
  </si>
  <si>
    <t xml:space="preserve">046</t>
  </si>
  <si>
    <t xml:space="preserve">117</t>
  </si>
  <si>
    <t xml:space="preserve">089</t>
  </si>
  <si>
    <t xml:space="preserve">09_TPD_Set_2026.pdf</t>
  </si>
  <si>
    <t xml:space="preserve">10_Contracheque_Out.pdf</t>
  </si>
  <si>
    <t xml:space="preserve">009</t>
  </si>
  <si>
    <t xml:space="preserve">062</t>
  </si>
  <si>
    <t xml:space="preserve">027</t>
  </si>
  <si>
    <t xml:space="preserve">045</t>
  </si>
  <si>
    <t xml:space="preserve">116</t>
  </si>
  <si>
    <t xml:space="preserve">088</t>
  </si>
  <si>
    <t xml:space="preserve">Memória de cálculo do IRRF – método legal (soma dos pagamentos da mesma fonte no mês)</t>
  </si>
  <si>
    <t xml:space="preserve">Fundamento: Lei 8.134/1990, art. 3º, parágrafo único, e RIR/2018 (Decreto 9.580/2018), art. 677, § 2º – havendo mais de um pagamento no mês pela mesma fonte pagadora, o imposto é calculado sobre a soma dos rendimentos pagos no mês. Contracheque principal e do TPD são da mesma fonte (GDF/SES-DF, órgão 552, matrícula 01891359).</t>
  </si>
  <si>
    <t xml:space="preserve">nº do mês →</t>
  </si>
  <si>
    <t xml:space="preserve">Linha</t>
  </si>
  <si>
    <t xml:space="preserve">Item</t>
  </si>
  <si>
    <t xml:space="preserve">Total Jan–Out</t>
  </si>
  <si>
    <t xml:space="preserve">a</t>
  </si>
  <si>
    <t xml:space="preserve">Remuneração do cargo efetivo – rubricas tributáveis da folha normal</t>
  </si>
  <si>
    <t xml:space="preserve">b</t>
  </si>
  <si>
    <t xml:space="preserve">1/3 constitucional de férias (tributável)</t>
  </si>
  <si>
    <t xml:space="preserve">c</t>
  </si>
  <si>
    <t xml:space="preserve">TPD – Lei 6.137/2018 (folha suplementar ou integrado à folha normal)</t>
  </si>
  <si>
    <t xml:space="preserve">d</t>
  </si>
  <si>
    <t xml:space="preserve">Auxílio-alimentação em pecúnia – NÃO tributável (informativo, fora da base)</t>
  </si>
  <si>
    <t xml:space="preserve">e</t>
  </si>
  <si>
    <t xml:space="preserve">(=) RENDIMENTOS TRIBUTÁVEIS NO MÊS – MESMA FONTE  [a+b+c]</t>
  </si>
  <si>
    <t xml:space="preserve">f</t>
  </si>
  <si>
    <t xml:space="preserve">(−) Seguridade social – RPPS/DF (14% s/ vencimento + ATS + GTS)</t>
  </si>
  <si>
    <t xml:space="preserve">g</t>
  </si>
  <si>
    <t xml:space="preserve">(−) Dependentes (qtd × R$ 189,59)</t>
  </si>
  <si>
    <t xml:space="preserve">h</t>
  </si>
  <si>
    <t xml:space="preserve">(=) BASE DE CÁLCULO  [e−f−g]</t>
  </si>
  <si>
    <t xml:space="preserve">i</t>
  </si>
  <si>
    <t xml:space="preserve">Alíquota da faixa</t>
  </si>
  <si>
    <t xml:space="preserve">j</t>
  </si>
  <si>
    <t xml:space="preserve">Parcela a deduzir</t>
  </si>
  <si>
    <t xml:space="preserve">k</t>
  </si>
  <si>
    <t xml:space="preserve">IR pela tabela progressiva  [h×i−j]</t>
  </si>
  <si>
    <t xml:space="preserve">l</t>
  </si>
  <si>
    <t xml:space="preserve">(−) Redução Lei 15.270/2025 (art. 3º-A Lei 9.250)</t>
  </si>
  <si>
    <t xml:space="preserve">m</t>
  </si>
  <si>
    <t xml:space="preserve">(=) IR DEVIDO NO MÊS – CORRETO  [k−l]</t>
  </si>
  <si>
    <t xml:space="preserve">n</t>
  </si>
  <si>
    <t xml:space="preserve">IR retido no contracheque PRINCIPAL</t>
  </si>
  <si>
    <t xml:space="preserve">o</t>
  </si>
  <si>
    <t xml:space="preserve">IR retido no contracheque do TPD</t>
  </si>
  <si>
    <t xml:space="preserve">p</t>
  </si>
  <si>
    <t xml:space="preserve">(=) TOTAL DE IR RETIDO PELO GDF  [n+o]</t>
  </si>
  <si>
    <t xml:space="preserve">q</t>
  </si>
  <si>
    <t xml:space="preserve">DIFERENÇA  retido − devido  (positivo = cobrado A MAIOR)</t>
  </si>
  <si>
    <t xml:space="preserve">PROVA DO MÉTODO USADO PELO GDF</t>
  </si>
  <si>
    <t xml:space="preserve">r</t>
  </si>
  <si>
    <t xml:space="preserve">Base de cálculo SÓ da folha normal (sem TPD)  [a+b−f−g]</t>
  </si>
  <si>
    <t xml:space="preserve">s</t>
  </si>
  <si>
    <t xml:space="preserve">IR da folha normal isolada (tabela sobre r)</t>
  </si>
  <si>
    <t xml:space="preserve">t</t>
  </si>
  <si>
    <t xml:space="preserve">IR incremental do TPD = IR da soma − IR da folha normal  [m−s]</t>
  </si>
  <si>
    <t xml:space="preserve">u</t>
  </si>
  <si>
    <t xml:space="preserve">Conferência: 27,5% × TPD (alíquota marginal, pois r já está na última faixa)</t>
  </si>
  <si>
    <t xml:space="preserve">v</t>
  </si>
  <si>
    <t xml:space="preserve">IR do TPD que foi cobrado DENTRO do contracheque principal  [n−s]</t>
  </si>
  <si>
    <t xml:space="preserve">w</t>
  </si>
  <si>
    <t xml:space="preserve">Alíquota efetiva sobre os rendimentos tributáveis  [m÷e]</t>
  </si>
  <si>
    <t xml:space="preserve">Observações por mês</t>
  </si>
  <si>
    <t xml:space="preserve">Sem TPD.</t>
  </si>
  <si>
    <t xml:space="preserve">TPD pago como diferença (rubricas 21041/21043).</t>
  </si>
  <si>
    <t xml:space="preserve">Inclui 1/3 de férias (R$ 7.844,78) na folha normal – ver aba 5.</t>
  </si>
  <si>
    <t xml:space="preserve">Inclui diferença de GRAT.MOV (20140).</t>
  </si>
  <si>
    <t xml:space="preserve">Contracheque do TPD sem IR: o IR do TPD (R$ 1.217,95) foi cobrado no contracheque principal (linha v).</t>
  </si>
  <si>
    <t xml:space="preserve">Folhas unificadas: mesmo resultado matemático do método anterior.</t>
  </si>
  <si>
    <t xml:space="preserve">Teste da hipótese: tabela progressiva aplicada a cada contracheque de forma independente</t>
  </si>
  <si>
    <t xml:space="preserve">Este NÃO é o método legal (as duas folhas são da mesma fonte, e a lei manda somar). Mostra quanto a menos teria sido retido se o TPD tivesse sua própria tabela e sua própria redução da Lei 15.270, e por que isso não seria vantagem real: na Declaração de Ajuste Anual 2027 todos os rendimentos são somados, e a diferença voltaria como IMPOSTO A PAGAR.</t>
  </si>
  <si>
    <t xml:space="preserve">Total</t>
  </si>
  <si>
    <t xml:space="preserve">A</t>
  </si>
  <si>
    <t xml:space="preserve">TPD bruto do mês</t>
  </si>
  <si>
    <t xml:space="preserve">B</t>
  </si>
  <si>
    <t xml:space="preserve">IR pela tabela aplicada só ao TPD</t>
  </si>
  <si>
    <t xml:space="preserve">C</t>
  </si>
  <si>
    <t xml:space="preserve">Redução Lei 15.270 aplicada só ao TPD</t>
  </si>
  <si>
    <t xml:space="preserve">D</t>
  </si>
  <si>
    <t xml:space="preserve">IR "isolado" do TPD  [B−C]</t>
  </si>
  <si>
    <t xml:space="preserve">E</t>
  </si>
  <si>
    <t xml:space="preserve">IR do TPD pelo método legal (aba 3, linha t)</t>
  </si>
  <si>
    <t xml:space="preserve">F</t>
  </si>
  <si>
    <t xml:space="preserve">Retenção que deixaria de ser feita no mês  [E−D]</t>
  </si>
  <si>
    <t xml:space="preserve">G</t>
  </si>
  <si>
    <t xml:space="preserve">Efeito na Declaração Anual 2027: imposto a pagar adicional  [=F]</t>
  </si>
  <si>
    <t xml:space="preserve">Conclusão: a hipótese reduziria a retenção mensal, mas a Lei 9.250/1995 (arts. 8º a 12) manda apurar o imposto anual sobre a SOMA de todos os rendimentos tributáveis do ano. O valor da linha F teria de ser pago em 2027, com o mesmo total final de imposto. Logo, não há crédito a recuperar com base nessa hipótese.</t>
  </si>
  <si>
    <t xml:space="preserve">Ponto controvertido: tributação em separado do 1/3 de férias (junho/2026)</t>
  </si>
  <si>
    <t xml:space="preserve">Regra: RIR/1999, art. 625, § 1º (reproduzido no RIR/2018) e orientação da RFB – férias e o adicional de 1/3 pagos no mês são tributados na fonte em separado de qualquer outro rendimento. O GDF somou o 1/3 à remuneração do mês. Em tese, isso gera retenção a maior de exatamente uma parcela a deduzir (R$ 908,73). A diferença é de CAIXA, não de imposto: na Declaração Anual tudo é somado e o total devido é o mesmo.</t>
  </si>
  <si>
    <t xml:space="preserve">Método GDF (somado)</t>
  </si>
  <si>
    <t xml:space="preserve">Método "em separado"</t>
  </si>
  <si>
    <t xml:space="preserve">Diferença</t>
  </si>
  <si>
    <t xml:space="preserve">1/3 de férias</t>
  </si>
  <si>
    <t xml:space="preserve">Base da remuneração + TPD sem férias (a+c−f−g)</t>
  </si>
  <si>
    <t xml:space="preserve">IR sobre a remuneração + TPD (sem férias)</t>
  </si>
  <si>
    <t xml:space="preserve">-</t>
  </si>
  <si>
    <t xml:space="preserve">IR sobre o 1/3 de férias, em separado</t>
  </si>
  <si>
    <t xml:space="preserve">IR total retido / devido em junho</t>
  </si>
  <si>
    <t xml:space="preserve">Efeito econômico: pelo método "em separado" os R$ 908,73 seriam retidos a menos em junho/2026 e cobrados na Declaração Anual (abril–maio/2027), porque o ajuste anual aplica uma única tabela sobre a soma do ano. Perda real para a servidora = apenas o custo financeiro de antecipar ~R$ 908,74 por cerca de 10 meses (menos de ~R$ 115 mesmo com Selic de 15% a.a.). Valor pequeno; não justifica, sozinho, um pedido de recomposição.</t>
  </si>
  <si>
    <t xml:space="preserve">Conferência do valor-hora do TPD (fora do escopo do IR – informativo)</t>
  </si>
  <si>
    <t xml:space="preserve">A coluna QTDE do contracheque está em horas e minutos (ex.: 1937 = 19h37min). Valor-hora = valor ÷ horas decimais. Lei 6.137/2018, art. 2º, § 2º: base = vencimento básico do ÚLTIMO padrão vigente do cargo, +25% em fins de semana, feriados e pontos facultativos (FFP).</t>
  </si>
  <si>
    <t xml:space="preserve">Qtde diurno (hhmm)</t>
  </si>
  <si>
    <t xml:space="preserve">Horas diurno</t>
  </si>
  <si>
    <t xml:space="preserve">Valor diurno (R$)</t>
  </si>
  <si>
    <t xml:space="preserve">R$/hora diurno</t>
  </si>
  <si>
    <t xml:space="preserve">Qtde FFP (hhmm)</t>
  </si>
  <si>
    <t xml:space="preserve">Horas FFP</t>
  </si>
  <si>
    <t xml:space="preserve">Valor FFP (R$)</t>
  </si>
  <si>
    <t xml:space="preserve">R$/hora FFP</t>
  </si>
  <si>
    <t xml:space="preserve">FFP ÷ diurno</t>
  </si>
  <si>
    <t xml:space="preserve">Leitura: valor-hora diurno estável em ~R$ 70,26 e FFP em ~R$ 87,82 (= +25%) de março a outubro. Março/FFP pagou ~R$ 58 acima de horas × valor-hora (a favor da servidora). Observe que a lei fala em "último padrão vigente" (topo da carreira), e não no vencimento inicial (R$ 8.382,37). R$ 70,26 × 200 h = R$ 14.051,94, valor acima do inicial e do padrão 16 (R$ 13.247,18). Para validar a base é preciso a tabela salarial oficial da carreira e a fórmula do Decreto 39.048/2018.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</si>
</sst>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[RED]\-#,##0.00"/>
    <numFmt numFmtId="166" formatCode="0.0%"/>
    <numFmt numFmtId="167" formatCode="0"/>
    <numFmt numFmtId="168" formatCode="0.000000"/>
    <numFmt numFmtId="169" formatCode="0.00%"/>
    <numFmt numFmtId="170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999999"/>
      <name val="Cambria"/>
      <family val="0"/>
      <charset val="1"/>
    </font>
    <font>
      <i val="true"/>
      <sz val="11"/>
      <color rgb="FF777777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0" t="s">
        <v>11</v>
      </c>
      <c r="B5" s="3" t="n">
        <f aca="false">3_Memoria_Mensal!C9</f>
        <v>24132.99</v>
      </c>
      <c r="C5" s="3" t="n">
        <f aca="false">3_Memoria_Mensal!C12</f>
        <v>21148.86</v>
      </c>
      <c r="D5" s="3" t="n">
        <f aca="false">3_Memoria_Mensal!C17</f>
        <v>4907.2</v>
      </c>
      <c r="E5" s="3" t="n">
        <f aca="false">3_Memoria_Mensal!C18</f>
        <v>4907.2</v>
      </c>
      <c r="F5" s="3" t="n">
        <f aca="false">3_Memoria_Mensal!C19</f>
        <v>0</v>
      </c>
      <c r="G5" s="3" t="n">
        <f aca="false">3_Memoria_Mensal!C20</f>
        <v>4907.2</v>
      </c>
      <c r="H5" s="3" t="n">
        <f aca="false">3_Memoria_Mensal!C21</f>
        <v>0</v>
      </c>
      <c r="I5" s="4" t="str">
        <f aca="false">IF(ABS(H5)&lt;=0.02,"Correto","Verificar")</f>
        <v>Correto</v>
      </c>
    </row>
    <row r="6" customFormat="false" ht="15" hidden="false" customHeight="false" outlineLevel="0" collapsed="false">
      <c r="A6" s="0" t="s">
        <v>12</v>
      </c>
      <c r="B6" s="3" t="n">
        <f aca="false">3_Memoria_Mensal!D9</f>
        <v>25377.13</v>
      </c>
      <c r="C6" s="3" t="n">
        <f aca="false">3_Memoria_Mensal!D12</f>
        <v>22393</v>
      </c>
      <c r="D6" s="3" t="n">
        <f aca="false">3_Memoria_Mensal!D17</f>
        <v>5249.34</v>
      </c>
      <c r="E6" s="3" t="n">
        <f aca="false">3_Memoria_Mensal!D18</f>
        <v>4907.2</v>
      </c>
      <c r="F6" s="3" t="n">
        <f aca="false">3_Memoria_Mensal!D19</f>
        <v>342.14</v>
      </c>
      <c r="G6" s="3" t="n">
        <f aca="false">3_Memoria_Mensal!D20</f>
        <v>5249.34</v>
      </c>
      <c r="H6" s="3" t="n">
        <f aca="false">3_Memoria_Mensal!D21</f>
        <v>0</v>
      </c>
      <c r="I6" s="4" t="str">
        <f aca="false">IF(ABS(H6)&lt;=0.02,"Correto","Verificar")</f>
        <v>Correto</v>
      </c>
    </row>
    <row r="7" customFormat="false" ht="15" hidden="false" customHeight="false" outlineLevel="0" collapsed="false">
      <c r="A7" s="0" t="s">
        <v>13</v>
      </c>
      <c r="B7" s="3" t="n">
        <f aca="false">3_Memoria_Mensal!E9</f>
        <v>29323.86</v>
      </c>
      <c r="C7" s="3" t="n">
        <f aca="false">3_Memoria_Mensal!E12</f>
        <v>26339.73</v>
      </c>
      <c r="D7" s="3" t="n">
        <f aca="false">3_Memoria_Mensal!E17</f>
        <v>6334.69</v>
      </c>
      <c r="E7" s="3" t="n">
        <f aca="false">3_Memoria_Mensal!E18</f>
        <v>4848.38</v>
      </c>
      <c r="F7" s="3" t="n">
        <f aca="false">3_Memoria_Mensal!E19</f>
        <v>1486.31</v>
      </c>
      <c r="G7" s="3" t="n">
        <f aca="false">3_Memoria_Mensal!E20</f>
        <v>6334.69</v>
      </c>
      <c r="H7" s="3" t="n">
        <f aca="false">3_Memoria_Mensal!E21</f>
        <v>0</v>
      </c>
      <c r="I7" s="4" t="str">
        <f aca="false">IF(ABS(H7)&lt;=0.02,"Correto","Verificar")</f>
        <v>Correto</v>
      </c>
    </row>
    <row r="8" customFormat="false" ht="15" hidden="false" customHeight="false" outlineLevel="0" collapsed="false">
      <c r="A8" s="0" t="s">
        <v>14</v>
      </c>
      <c r="B8" s="3" t="n">
        <f aca="false">3_Memoria_Mensal!F9</f>
        <v>29608.83</v>
      </c>
      <c r="C8" s="3" t="n">
        <f aca="false">3_Memoria_Mensal!F12</f>
        <v>26624.7</v>
      </c>
      <c r="D8" s="3" t="n">
        <f aca="false">3_Memoria_Mensal!F17</f>
        <v>6413.06</v>
      </c>
      <c r="E8" s="3" t="n">
        <f aca="false">3_Memoria_Mensal!F18</f>
        <v>4871.91</v>
      </c>
      <c r="F8" s="3" t="n">
        <f aca="false">3_Memoria_Mensal!F19</f>
        <v>1541.15</v>
      </c>
      <c r="G8" s="3" t="n">
        <f aca="false">3_Memoria_Mensal!F20</f>
        <v>6413.06</v>
      </c>
      <c r="H8" s="3" t="n">
        <f aca="false">3_Memoria_Mensal!F21</f>
        <v>0</v>
      </c>
      <c r="I8" s="4" t="str">
        <f aca="false">IF(ABS(H8)&lt;=0.02,"Correto","Verificar")</f>
        <v>Correto</v>
      </c>
    </row>
    <row r="9" customFormat="false" ht="15" hidden="false" customHeight="false" outlineLevel="0" collapsed="false">
      <c r="A9" s="0" t="s">
        <v>15</v>
      </c>
      <c r="B9" s="3" t="n">
        <f aca="false">3_Memoria_Mensal!G9</f>
        <v>31036.31</v>
      </c>
      <c r="C9" s="3" t="n">
        <f aca="false">3_Memoria_Mensal!G12</f>
        <v>28040.96</v>
      </c>
      <c r="D9" s="3" t="n">
        <f aca="false">3_Memoria_Mensal!G17</f>
        <v>6802.53</v>
      </c>
      <c r="E9" s="3" t="n">
        <f aca="false">3_Memoria_Mensal!G18</f>
        <v>4930.73</v>
      </c>
      <c r="F9" s="3" t="n">
        <f aca="false">3_Memoria_Mensal!G19</f>
        <v>1871.8</v>
      </c>
      <c r="G9" s="3" t="n">
        <f aca="false">3_Memoria_Mensal!G20</f>
        <v>6802.53</v>
      </c>
      <c r="H9" s="3" t="n">
        <f aca="false">3_Memoria_Mensal!G21</f>
        <v>0</v>
      </c>
      <c r="I9" s="4" t="str">
        <f aca="false">IF(ABS(H9)&lt;=0.02,"Correto","Verificar")</f>
        <v>Correto</v>
      </c>
    </row>
    <row r="10" customFormat="false" ht="15" hidden="false" customHeight="false" outlineLevel="0" collapsed="false">
      <c r="A10" s="0" t="s">
        <v>16</v>
      </c>
      <c r="B10" s="3" t="n">
        <f aca="false">3_Memoria_Mensal!H9</f>
        <v>38522.28</v>
      </c>
      <c r="C10" s="3" t="n">
        <f aca="false">3_Memoria_Mensal!H12</f>
        <v>35453.93</v>
      </c>
      <c r="D10" s="3" t="n">
        <f aca="false">3_Memoria_Mensal!H17</f>
        <v>8841.1</v>
      </c>
      <c r="E10" s="3" t="n">
        <f aca="false">3_Memoria_Mensal!H18</f>
        <v>6876.73</v>
      </c>
      <c r="F10" s="3" t="n">
        <f aca="false">3_Memoria_Mensal!H19</f>
        <v>1964.37</v>
      </c>
      <c r="G10" s="3" t="n">
        <f aca="false">3_Memoria_Mensal!H20</f>
        <v>8841.1</v>
      </c>
      <c r="H10" s="3" t="n">
        <f aca="false">3_Memoria_Mensal!H21</f>
        <v>0</v>
      </c>
      <c r="I10" s="4" t="str">
        <f aca="false">IF(ABS(H10)&lt;=0.02,"Correto","Verificar")</f>
        <v>Correto</v>
      </c>
    </row>
    <row r="11" customFormat="false" ht="15" hidden="false" customHeight="false" outlineLevel="0" collapsed="false">
      <c r="A11" s="0" t="s">
        <v>17</v>
      </c>
      <c r="B11" s="3" t="n">
        <f aca="false">3_Memoria_Mensal!I9</f>
        <v>31940.5</v>
      </c>
      <c r="C11" s="3" t="n">
        <f aca="false">3_Memoria_Mensal!I12</f>
        <v>28872.15</v>
      </c>
      <c r="D11" s="3" t="n">
        <f aca="false">3_Memoria_Mensal!I17</f>
        <v>7031.11</v>
      </c>
      <c r="E11" s="3" t="n">
        <f aca="false">3_Memoria_Mensal!I18</f>
        <v>5448.01</v>
      </c>
      <c r="F11" s="3" t="n">
        <f aca="false">3_Memoria_Mensal!I19</f>
        <v>1583.1</v>
      </c>
      <c r="G11" s="3" t="n">
        <f aca="false">3_Memoria_Mensal!I20</f>
        <v>7031.11</v>
      </c>
      <c r="H11" s="3" t="n">
        <f aca="false">3_Memoria_Mensal!I21</f>
        <v>0</v>
      </c>
      <c r="I11" s="4" t="str">
        <f aca="false">IF(ABS(H11)&lt;=0.02,"Correto","Verificar")</f>
        <v>Correto</v>
      </c>
    </row>
    <row r="12" customFormat="false" ht="15" hidden="false" customHeight="false" outlineLevel="0" collapsed="false">
      <c r="A12" s="0" t="s">
        <v>18</v>
      </c>
      <c r="B12" s="3" t="n">
        <f aca="false">3_Memoria_Mensal!J9</f>
        <v>32096.19</v>
      </c>
      <c r="C12" s="3" t="n">
        <f aca="false">3_Memoria_Mensal!J12</f>
        <v>29027.84</v>
      </c>
      <c r="D12" s="3" t="n">
        <f aca="false">3_Memoria_Mensal!J17</f>
        <v>7073.92</v>
      </c>
      <c r="E12" s="3" t="n">
        <f aca="false">3_Memoria_Mensal!J18</f>
        <v>5083.71</v>
      </c>
      <c r="F12" s="3" t="n">
        <f aca="false">3_Memoria_Mensal!J19</f>
        <v>1990.21</v>
      </c>
      <c r="G12" s="3" t="n">
        <f aca="false">3_Memoria_Mensal!J20</f>
        <v>7073.92</v>
      </c>
      <c r="H12" s="3" t="n">
        <f aca="false">3_Memoria_Mensal!J21</f>
        <v>0</v>
      </c>
      <c r="I12" s="4" t="str">
        <f aca="false">IF(ABS(H12)&lt;=0.02,"Correto","Verificar")</f>
        <v>Correto</v>
      </c>
    </row>
    <row r="13" customFormat="false" ht="15" hidden="false" customHeight="false" outlineLevel="0" collapsed="false">
      <c r="A13" s="0" t="s">
        <v>19</v>
      </c>
      <c r="B13" s="3" t="n">
        <f aca="false">3_Memoria_Mensal!K9</f>
        <v>29287.95</v>
      </c>
      <c r="C13" s="3" t="n">
        <f aca="false">3_Memoria_Mensal!K12</f>
        <v>26219.6</v>
      </c>
      <c r="D13" s="3" t="n">
        <f aca="false">3_Memoria_Mensal!K17</f>
        <v>6301.66</v>
      </c>
      <c r="E13" s="3" t="n">
        <f aca="false">3_Memoria_Mensal!K18</f>
        <v>6301.66</v>
      </c>
      <c r="F13" s="3" t="n">
        <f aca="false">3_Memoria_Mensal!K19</f>
        <v>0</v>
      </c>
      <c r="G13" s="3" t="n">
        <f aca="false">3_Memoria_Mensal!K20</f>
        <v>6301.66</v>
      </c>
      <c r="H13" s="3" t="n">
        <f aca="false">3_Memoria_Mensal!K21</f>
        <v>0</v>
      </c>
      <c r="I13" s="4" t="str">
        <f aca="false">IF(ABS(H13)&lt;=0.02,"Correto","Verificar")</f>
        <v>Correto</v>
      </c>
    </row>
    <row r="14" customFormat="false" ht="15" hidden="false" customHeight="false" outlineLevel="0" collapsed="false">
      <c r="A14" s="0" t="s">
        <v>20</v>
      </c>
      <c r="B14" s="3" t="n">
        <f aca="false">3_Memoria_Mensal!L9</f>
        <v>32627.62</v>
      </c>
      <c r="C14" s="3" t="n">
        <f aca="false">3_Memoria_Mensal!L12</f>
        <v>29540.72</v>
      </c>
      <c r="D14" s="3" t="n">
        <f aca="false">3_Memoria_Mensal!L17</f>
        <v>7214.96</v>
      </c>
      <c r="E14" s="3" t="n">
        <f aca="false">3_Memoria_Mensal!L18</f>
        <v>7214.96</v>
      </c>
      <c r="F14" s="3" t="n">
        <f aca="false">3_Memoria_Mensal!L19</f>
        <v>0</v>
      </c>
      <c r="G14" s="3" t="n">
        <f aca="false">3_Memoria_Mensal!L20</f>
        <v>7214.96</v>
      </c>
      <c r="H14" s="3" t="n">
        <f aca="false">3_Memoria_Mensal!L21</f>
        <v>0</v>
      </c>
      <c r="I14" s="4" t="str">
        <f aca="false">IF(ABS(H14)&lt;=0.02,"Correto","Verificar")</f>
        <v>Correto</v>
      </c>
    </row>
    <row r="15" customFormat="false" ht="15" hidden="false" customHeight="false" outlineLevel="0" collapsed="false">
      <c r="A15" s="5" t="s">
        <v>21</v>
      </c>
      <c r="B15" s="6" t="n">
        <f aca="false">SUM(B5:B14)</f>
        <v>303953.66</v>
      </c>
      <c r="C15" s="6" t="n">
        <f aca="false">SUM(C5:C14)</f>
        <v>273661.49</v>
      </c>
      <c r="D15" s="6" t="n">
        <f aca="false">SUM(D5:D14)</f>
        <v>66169.57</v>
      </c>
      <c r="E15" s="6" t="n">
        <f aca="false">SUM(E5:E14)</f>
        <v>55390.49</v>
      </c>
      <c r="F15" s="6" t="n">
        <f aca="false">SUM(F5:F14)</f>
        <v>10779.08</v>
      </c>
      <c r="G15" s="6" t="n">
        <f aca="false">SUM(G5:G14)</f>
        <v>66169.57</v>
      </c>
      <c r="H15" s="6" t="n">
        <f aca="false">SUM(H5:H14)</f>
        <v>0</v>
      </c>
    </row>
    <row r="17" customFormat="false" ht="15" hidden="false" customHeight="false" outlineLevel="0" collapsed="false">
      <c r="A17" s="5" t="s">
        <v>22</v>
      </c>
    </row>
    <row r="18" customFormat="false" ht="48" hidden="false" customHeight="true" outlineLevel="0" collapsed="false">
      <c r="A18" s="7" t="s">
        <v>23</v>
      </c>
      <c r="B18" s="7"/>
      <c r="C18" s="7"/>
      <c r="D18" s="7"/>
      <c r="E18" s="7"/>
      <c r="F18" s="7"/>
      <c r="G18" s="7"/>
      <c r="H18" s="7"/>
      <c r="I18" s="7"/>
    </row>
    <row r="19" customFormat="false" ht="48" hidden="false" customHeight="true" outlineLevel="0" collapsed="false">
      <c r="A19" s="7" t="s">
        <v>24</v>
      </c>
      <c r="B19" s="7"/>
      <c r="C19" s="7"/>
      <c r="D19" s="7"/>
      <c r="E19" s="7"/>
      <c r="F19" s="7"/>
      <c r="G19" s="7"/>
      <c r="H19" s="7"/>
      <c r="I19" s="7"/>
    </row>
    <row r="20" customFormat="false" ht="48" hidden="false" customHeight="true" outlineLevel="0" collapsed="false">
      <c r="A20" s="7" t="s">
        <v>25</v>
      </c>
      <c r="B20" s="7"/>
      <c r="C20" s="7"/>
      <c r="D20" s="7"/>
      <c r="E20" s="7"/>
      <c r="F20" s="7"/>
      <c r="G20" s="7"/>
      <c r="H20" s="7"/>
      <c r="I20" s="7"/>
    </row>
    <row r="21" customFormat="false" ht="48" hidden="false" customHeight="true" outlineLevel="0" collapsed="false">
      <c r="A21" s="7" t="s">
        <v>26</v>
      </c>
      <c r="B21" s="7"/>
      <c r="C21" s="7"/>
      <c r="D21" s="7"/>
      <c r="E21" s="7"/>
      <c r="F21" s="7"/>
      <c r="G21" s="7"/>
      <c r="H21" s="7"/>
      <c r="I21" s="7"/>
    </row>
    <row r="22" customFormat="false" ht="48" hidden="false" customHeight="true" outlineLevel="0" collapsed="false">
      <c r="A22" s="7" t="s">
        <v>27</v>
      </c>
      <c r="B22" s="7"/>
      <c r="C22" s="7"/>
      <c r="D22" s="7"/>
      <c r="E22" s="7"/>
      <c r="F22" s="7"/>
      <c r="G22" s="7"/>
      <c r="H22" s="7"/>
      <c r="I22" s="7"/>
    </row>
    <row r="23" customFormat="false" ht="48" hidden="false" customHeight="true" outlineLevel="0" collapsed="false">
      <c r="A23" s="7" t="s">
        <v>28</v>
      </c>
      <c r="B23" s="7"/>
      <c r="C23" s="7"/>
      <c r="D23" s="7"/>
      <c r="E23" s="7"/>
      <c r="F23" s="7"/>
      <c r="G23" s="7"/>
      <c r="H23" s="7"/>
      <c r="I23" s="7"/>
    </row>
    <row r="24" customFormat="false" ht="48" hidden="false" customHeight="true" outlineLevel="0" collapsed="false">
      <c r="A24" s="7" t="s">
        <v>29</v>
      </c>
      <c r="B24" s="7"/>
      <c r="C24" s="7"/>
      <c r="D24" s="7"/>
      <c r="E24" s="7"/>
      <c r="F24" s="7"/>
      <c r="G24" s="7"/>
      <c r="H24" s="7"/>
      <c r="I24" s="7"/>
    </row>
  </sheetData>
  <mergeCells count="7">
    <mergeCell ref="A18:I18"/>
    <mergeCell ref="A19:I19"/>
    <mergeCell ref="A20:I20"/>
    <mergeCell ref="A21:I21"/>
    <mergeCell ref="A22:I22"/>
    <mergeCell ref="A23:I23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0" t="s">
        <v>31</v>
      </c>
    </row>
    <row r="4" customFormat="false" ht="28.3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</row>
    <row r="5" customFormat="false" ht="15" hidden="false" customHeight="false" outlineLevel="0" collapsed="false">
      <c r="A5" s="4" t="n">
        <v>1</v>
      </c>
      <c r="B5" s="3" t="n">
        <v>0</v>
      </c>
      <c r="C5" s="3" t="n">
        <v>2428.8</v>
      </c>
      <c r="D5" s="8" t="n">
        <v>0</v>
      </c>
      <c r="E5" s="3" t="n">
        <v>0</v>
      </c>
    </row>
    <row r="6" customFormat="false" ht="15" hidden="false" customHeight="false" outlineLevel="0" collapsed="false">
      <c r="A6" s="4" t="n">
        <v>2</v>
      </c>
      <c r="B6" s="3" t="n">
        <v>2428.81</v>
      </c>
      <c r="C6" s="3" t="n">
        <v>2826.65</v>
      </c>
      <c r="D6" s="8" t="n">
        <v>0.075</v>
      </c>
      <c r="E6" s="3" t="n">
        <v>182.16</v>
      </c>
    </row>
    <row r="7" customFormat="false" ht="15" hidden="false" customHeight="false" outlineLevel="0" collapsed="false">
      <c r="A7" s="4" t="n">
        <v>3</v>
      </c>
      <c r="B7" s="3" t="n">
        <v>2826.66</v>
      </c>
      <c r="C7" s="3" t="n">
        <v>3751.05</v>
      </c>
      <c r="D7" s="8" t="n">
        <v>0.15</v>
      </c>
      <c r="E7" s="3" t="n">
        <v>394.16</v>
      </c>
    </row>
    <row r="8" customFormat="false" ht="15" hidden="false" customHeight="false" outlineLevel="0" collapsed="false">
      <c r="A8" s="4" t="n">
        <v>4</v>
      </c>
      <c r="B8" s="3" t="n">
        <v>3751.06</v>
      </c>
      <c r="C8" s="3" t="n">
        <v>4664.68</v>
      </c>
      <c r="D8" s="8" t="n">
        <v>0.225</v>
      </c>
      <c r="E8" s="3" t="n">
        <v>675.49</v>
      </c>
    </row>
    <row r="9" customFormat="false" ht="15" hidden="false" customHeight="false" outlineLevel="0" collapsed="false">
      <c r="A9" s="4" t="n">
        <v>5</v>
      </c>
      <c r="B9" s="3" t="n">
        <v>4664.69</v>
      </c>
      <c r="C9" s="4" t="s">
        <v>37</v>
      </c>
      <c r="D9" s="8" t="n">
        <v>0.275</v>
      </c>
      <c r="E9" s="3" t="n">
        <v>908.73</v>
      </c>
    </row>
    <row r="12" customFormat="false" ht="15" hidden="false" customHeight="false" outlineLevel="0" collapsed="false">
      <c r="A12" s="5" t="s">
        <v>38</v>
      </c>
    </row>
    <row r="13" customFormat="false" ht="15" hidden="false" customHeight="true" outlineLevel="0" collapsed="false">
      <c r="A13" s="7" t="s">
        <v>39</v>
      </c>
      <c r="B13" s="7"/>
      <c r="C13" s="9" t="n">
        <v>189.59</v>
      </c>
    </row>
    <row r="14" customFormat="false" ht="28.35" hidden="false" customHeight="true" outlineLevel="0" collapsed="false">
      <c r="A14" s="7" t="s">
        <v>40</v>
      </c>
      <c r="B14" s="7"/>
      <c r="C14" s="10" t="n">
        <v>2</v>
      </c>
    </row>
    <row r="15" customFormat="false" ht="15" hidden="false" customHeight="true" outlineLevel="0" collapsed="false">
      <c r="A15" s="7" t="s">
        <v>41</v>
      </c>
      <c r="B15" s="7"/>
      <c r="C15" s="9" t="n">
        <v>607.2</v>
      </c>
    </row>
    <row r="16" customFormat="false" ht="15" hidden="false" customHeight="true" outlineLevel="0" collapsed="false">
      <c r="A16" s="7" t="s">
        <v>42</v>
      </c>
      <c r="B16" s="7"/>
      <c r="C16" s="9" t="n">
        <v>5000</v>
      </c>
    </row>
    <row r="17" customFormat="false" ht="15" hidden="false" customHeight="true" outlineLevel="0" collapsed="false">
      <c r="A17" s="7" t="s">
        <v>43</v>
      </c>
      <c r="B17" s="7"/>
      <c r="C17" s="9" t="n">
        <v>312.89</v>
      </c>
    </row>
    <row r="18" customFormat="false" ht="15" hidden="false" customHeight="true" outlineLevel="0" collapsed="false">
      <c r="A18" s="7" t="s">
        <v>44</v>
      </c>
      <c r="B18" s="7"/>
      <c r="C18" s="9" t="n">
        <v>7350</v>
      </c>
    </row>
    <row r="19" customFormat="false" ht="15" hidden="false" customHeight="true" outlineLevel="0" collapsed="false">
      <c r="A19" s="7" t="s">
        <v>45</v>
      </c>
      <c r="B19" s="7"/>
      <c r="C19" s="9" t="n">
        <v>978.62</v>
      </c>
    </row>
    <row r="20" customFormat="false" ht="15" hidden="false" customHeight="true" outlineLevel="0" collapsed="false">
      <c r="A20" s="7" t="s">
        <v>46</v>
      </c>
      <c r="B20" s="7"/>
      <c r="C20" s="11" t="n">
        <v>0.133145</v>
      </c>
    </row>
    <row r="22" customFormat="false" ht="60" hidden="false" customHeight="true" outlineLevel="0" collapsed="false">
      <c r="A22" s="7" t="s">
        <v>47</v>
      </c>
      <c r="B22" s="7"/>
      <c r="C22" s="7"/>
      <c r="D22" s="7"/>
      <c r="E22" s="7"/>
      <c r="F22" s="7"/>
    </row>
    <row r="23" customFormat="false" ht="34.5" hidden="false" customHeight="true" outlineLevel="0" collapsed="false">
      <c r="A23" s="7" t="s">
        <v>48</v>
      </c>
      <c r="B23" s="7"/>
      <c r="C23" s="7"/>
      <c r="D23" s="7"/>
      <c r="E23" s="7"/>
      <c r="F23" s="7"/>
    </row>
  </sheetData>
  <mergeCells count="10">
    <mergeCell ref="A13:B13"/>
    <mergeCell ref="A14:B14"/>
    <mergeCell ref="A15:B15"/>
    <mergeCell ref="A16:B16"/>
    <mergeCell ref="A17:B17"/>
    <mergeCell ref="A18:B18"/>
    <mergeCell ref="A19:B19"/>
    <mergeCell ref="A20:B20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38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32"/>
    <col collapsed="false" customWidth="true" hidden="false" outlineLevel="0" max="13" min="12" style="0" width="14"/>
  </cols>
  <sheetData>
    <row r="1" customFormat="false" ht="17.35" hidden="false" customHeight="false" outlineLevel="0" collapsed="false">
      <c r="A1" s="1" t="s">
        <v>49</v>
      </c>
    </row>
    <row r="3" customFormat="false" ht="41.75" hidden="false" customHeight="false" outlineLevel="0" collapsed="false">
      <c r="A3" s="2" t="s">
        <v>2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</row>
    <row r="4" customFormat="false" ht="15" hidden="false" customHeight="false" outlineLevel="0" collapsed="false">
      <c r="A4" s="4" t="n">
        <v>1</v>
      </c>
      <c r="B4" s="4" t="s">
        <v>11</v>
      </c>
      <c r="C4" s="4" t="s">
        <v>62</v>
      </c>
      <c r="D4" s="4" t="s">
        <v>63</v>
      </c>
      <c r="E4" s="4" t="s">
        <v>64</v>
      </c>
      <c r="F4" s="4" t="s">
        <v>65</v>
      </c>
      <c r="G4" s="4" t="n">
        <v>0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  <c r="M4" s="3" t="n">
        <v>12832.27</v>
      </c>
    </row>
    <row r="5" customFormat="false" ht="15" hidden="false" customHeight="false" outlineLevel="0" collapsed="false">
      <c r="A5" s="4" t="n">
        <v>1</v>
      </c>
      <c r="B5" s="4" t="s">
        <v>11</v>
      </c>
      <c r="C5" s="4" t="s">
        <v>62</v>
      </c>
      <c r="D5" s="4" t="s">
        <v>63</v>
      </c>
      <c r="E5" s="4" t="s">
        <v>71</v>
      </c>
      <c r="F5" s="4" t="s">
        <v>72</v>
      </c>
      <c r="G5" s="4" t="n">
        <v>1000</v>
      </c>
      <c r="H5" s="4" t="s">
        <v>66</v>
      </c>
      <c r="I5" s="4" t="s">
        <v>67</v>
      </c>
      <c r="J5" s="4" t="s">
        <v>68</v>
      </c>
      <c r="K5" s="4" t="s">
        <v>69</v>
      </c>
      <c r="L5" s="4"/>
      <c r="M5" s="3" t="n">
        <v>1283.22</v>
      </c>
    </row>
    <row r="6" customFormat="false" ht="15" hidden="false" customHeight="false" outlineLevel="0" collapsed="false">
      <c r="A6" s="4" t="n">
        <v>1</v>
      </c>
      <c r="B6" s="4" t="s">
        <v>11</v>
      </c>
      <c r="C6" s="4" t="s">
        <v>62</v>
      </c>
      <c r="D6" s="4" t="s">
        <v>63</v>
      </c>
      <c r="E6" s="4" t="s">
        <v>73</v>
      </c>
      <c r="F6" s="4" t="s">
        <v>74</v>
      </c>
      <c r="G6" s="4" t="n">
        <v>1000</v>
      </c>
      <c r="H6" s="4" t="s">
        <v>75</v>
      </c>
      <c r="I6" s="4" t="s">
        <v>67</v>
      </c>
      <c r="J6" s="4" t="s">
        <v>68</v>
      </c>
      <c r="K6" s="4" t="s">
        <v>69</v>
      </c>
      <c r="L6" s="4"/>
      <c r="M6" s="3" t="n">
        <v>1283.22</v>
      </c>
    </row>
    <row r="7" customFormat="false" ht="15" hidden="false" customHeight="false" outlineLevel="0" collapsed="false">
      <c r="A7" s="4" t="n">
        <v>1</v>
      </c>
      <c r="B7" s="4" t="s">
        <v>11</v>
      </c>
      <c r="C7" s="4" t="s">
        <v>62</v>
      </c>
      <c r="D7" s="4" t="s">
        <v>63</v>
      </c>
      <c r="E7" s="4" t="s">
        <v>76</v>
      </c>
      <c r="F7" s="4" t="s">
        <v>77</v>
      </c>
      <c r="G7" s="4" t="n">
        <v>15</v>
      </c>
      <c r="H7" s="4" t="s">
        <v>66</v>
      </c>
      <c r="I7" s="4" t="s">
        <v>67</v>
      </c>
      <c r="J7" s="4" t="s">
        <v>68</v>
      </c>
      <c r="K7" s="4" t="s">
        <v>69</v>
      </c>
      <c r="L7" s="4" t="s">
        <v>70</v>
      </c>
      <c r="M7" s="3" t="n">
        <v>1924.84</v>
      </c>
    </row>
    <row r="8" customFormat="false" ht="15" hidden="false" customHeight="false" outlineLevel="0" collapsed="false">
      <c r="A8" s="4" t="n">
        <v>1</v>
      </c>
      <c r="B8" s="4" t="s">
        <v>11</v>
      </c>
      <c r="C8" s="4" t="s">
        <v>62</v>
      </c>
      <c r="D8" s="4" t="s">
        <v>63</v>
      </c>
      <c r="E8" s="4" t="s">
        <v>78</v>
      </c>
      <c r="F8" s="4" t="s">
        <v>79</v>
      </c>
      <c r="G8" s="4" t="n">
        <v>30</v>
      </c>
      <c r="H8" s="4" t="s">
        <v>80</v>
      </c>
      <c r="I8" s="4" t="s">
        <v>67</v>
      </c>
      <c r="J8" s="4" t="s">
        <v>68</v>
      </c>
      <c r="K8" s="4" t="s">
        <v>69</v>
      </c>
      <c r="L8" s="4" t="s">
        <v>70</v>
      </c>
      <c r="M8" s="3" t="n">
        <v>3849.68</v>
      </c>
    </row>
    <row r="9" customFormat="false" ht="15" hidden="false" customHeight="false" outlineLevel="0" collapsed="false">
      <c r="A9" s="4" t="n">
        <v>1</v>
      </c>
      <c r="B9" s="4" t="s">
        <v>11</v>
      </c>
      <c r="C9" s="4" t="s">
        <v>62</v>
      </c>
      <c r="D9" s="4" t="s">
        <v>63</v>
      </c>
      <c r="E9" s="4" t="s">
        <v>81</v>
      </c>
      <c r="F9" s="4" t="s">
        <v>82</v>
      </c>
      <c r="G9" s="4" t="n">
        <v>0</v>
      </c>
      <c r="H9" s="4" t="s">
        <v>80</v>
      </c>
      <c r="I9" s="4" t="s">
        <v>67</v>
      </c>
      <c r="J9" s="4" t="s">
        <v>68</v>
      </c>
      <c r="K9" s="4" t="s">
        <v>69</v>
      </c>
      <c r="L9" s="4"/>
      <c r="M9" s="3" t="n">
        <v>1676.54</v>
      </c>
    </row>
    <row r="10" customFormat="false" ht="15" hidden="false" customHeight="false" outlineLevel="0" collapsed="false">
      <c r="A10" s="4" t="n">
        <v>1</v>
      </c>
      <c r="B10" s="4" t="s">
        <v>11</v>
      </c>
      <c r="C10" s="4" t="s">
        <v>62</v>
      </c>
      <c r="D10" s="4" t="s">
        <v>63</v>
      </c>
      <c r="E10" s="4" t="s">
        <v>83</v>
      </c>
      <c r="F10" s="4" t="s">
        <v>84</v>
      </c>
      <c r="G10" s="4" t="n">
        <v>10</v>
      </c>
      <c r="H10" s="4" t="s">
        <v>66</v>
      </c>
      <c r="I10" s="4" t="s">
        <v>67</v>
      </c>
      <c r="J10" s="4" t="s">
        <v>68</v>
      </c>
      <c r="K10" s="4" t="s">
        <v>69</v>
      </c>
      <c r="L10" s="4"/>
      <c r="M10" s="3" t="n">
        <v>1283.22</v>
      </c>
    </row>
    <row r="11" customFormat="false" ht="15" hidden="false" customHeight="false" outlineLevel="0" collapsed="false">
      <c r="A11" s="4" t="n">
        <v>1</v>
      </c>
      <c r="B11" s="4" t="s">
        <v>11</v>
      </c>
      <c r="C11" s="4" t="s">
        <v>62</v>
      </c>
      <c r="D11" s="4" t="s">
        <v>63</v>
      </c>
      <c r="E11" s="4" t="s">
        <v>85</v>
      </c>
      <c r="F11" s="4" t="s">
        <v>86</v>
      </c>
      <c r="G11" s="4" t="n">
        <v>22</v>
      </c>
      <c r="H11" s="4" t="s">
        <v>66</v>
      </c>
      <c r="I11" s="4" t="s">
        <v>67</v>
      </c>
      <c r="J11" s="4" t="s">
        <v>87</v>
      </c>
      <c r="K11" s="4" t="s">
        <v>88</v>
      </c>
      <c r="L11" s="4"/>
      <c r="M11" s="3" t="n">
        <v>640</v>
      </c>
    </row>
    <row r="12" customFormat="false" ht="15" hidden="false" customHeight="false" outlineLevel="0" collapsed="false">
      <c r="A12" s="4" t="n">
        <v>1</v>
      </c>
      <c r="B12" s="4" t="s">
        <v>11</v>
      </c>
      <c r="C12" s="4" t="s">
        <v>62</v>
      </c>
      <c r="D12" s="4" t="s">
        <v>63</v>
      </c>
      <c r="E12" s="4" t="s">
        <v>89</v>
      </c>
      <c r="F12" s="4" t="s">
        <v>90</v>
      </c>
      <c r="G12" s="4" t="n">
        <v>0</v>
      </c>
      <c r="H12" s="4" t="s">
        <v>91</v>
      </c>
      <c r="I12" s="4" t="s">
        <v>92</v>
      </c>
      <c r="J12" s="4" t="s">
        <v>93</v>
      </c>
      <c r="K12" s="4" t="s">
        <v>94</v>
      </c>
      <c r="L12" s="4"/>
      <c r="M12" s="3" t="n">
        <v>784.41</v>
      </c>
    </row>
    <row r="13" customFormat="false" ht="15" hidden="false" customHeight="false" outlineLevel="0" collapsed="false">
      <c r="A13" s="4" t="n">
        <v>1</v>
      </c>
      <c r="B13" s="4" t="s">
        <v>11</v>
      </c>
      <c r="C13" s="4" t="s">
        <v>62</v>
      </c>
      <c r="D13" s="4" t="s">
        <v>63</v>
      </c>
      <c r="E13" s="4" t="s">
        <v>95</v>
      </c>
      <c r="F13" s="4" t="s">
        <v>96</v>
      </c>
      <c r="G13" s="4" t="n">
        <v>0</v>
      </c>
      <c r="H13" s="4" t="s">
        <v>97</v>
      </c>
      <c r="I13" s="4" t="s">
        <v>92</v>
      </c>
      <c r="J13" s="4" t="s">
        <v>93</v>
      </c>
      <c r="K13" s="4" t="s">
        <v>94</v>
      </c>
      <c r="L13" s="4"/>
      <c r="M13" s="3" t="n">
        <v>1150.79</v>
      </c>
    </row>
    <row r="14" customFormat="false" ht="15" hidden="false" customHeight="false" outlineLevel="0" collapsed="false">
      <c r="A14" s="4" t="n">
        <v>1</v>
      </c>
      <c r="B14" s="4" t="s">
        <v>11</v>
      </c>
      <c r="C14" s="4" t="s">
        <v>62</v>
      </c>
      <c r="D14" s="4" t="s">
        <v>63</v>
      </c>
      <c r="E14" s="4" t="s">
        <v>98</v>
      </c>
      <c r="F14" s="4" t="s">
        <v>99</v>
      </c>
      <c r="G14" s="4" t="n">
        <v>0</v>
      </c>
      <c r="H14" s="4" t="s">
        <v>100</v>
      </c>
      <c r="I14" s="4" t="s">
        <v>92</v>
      </c>
      <c r="J14" s="4" t="s">
        <v>93</v>
      </c>
      <c r="K14" s="4" t="s">
        <v>94</v>
      </c>
      <c r="L14" s="4"/>
      <c r="M14" s="3" t="n">
        <v>804.69</v>
      </c>
    </row>
    <row r="15" customFormat="false" ht="15" hidden="false" customHeight="false" outlineLevel="0" collapsed="false">
      <c r="A15" s="4" t="n">
        <v>1</v>
      </c>
      <c r="B15" s="4" t="s">
        <v>11</v>
      </c>
      <c r="C15" s="4" t="s">
        <v>62</v>
      </c>
      <c r="D15" s="4" t="s">
        <v>63</v>
      </c>
      <c r="E15" s="4" t="s">
        <v>101</v>
      </c>
      <c r="F15" s="4" t="s">
        <v>102</v>
      </c>
      <c r="G15" s="4" t="n">
        <v>0</v>
      </c>
      <c r="H15" s="4" t="s">
        <v>103</v>
      </c>
      <c r="I15" s="4" t="s">
        <v>92</v>
      </c>
      <c r="J15" s="4" t="s">
        <v>93</v>
      </c>
      <c r="K15" s="4" t="s">
        <v>94</v>
      </c>
      <c r="L15" s="4"/>
      <c r="M15" s="3" t="n">
        <v>393.33</v>
      </c>
    </row>
    <row r="16" customFormat="false" ht="15" hidden="false" customHeight="false" outlineLevel="0" collapsed="false">
      <c r="A16" s="4" t="n">
        <v>1</v>
      </c>
      <c r="B16" s="4" t="s">
        <v>11</v>
      </c>
      <c r="C16" s="4" t="s">
        <v>62</v>
      </c>
      <c r="D16" s="4" t="s">
        <v>63</v>
      </c>
      <c r="E16" s="4" t="s">
        <v>104</v>
      </c>
      <c r="F16" s="4" t="s">
        <v>105</v>
      </c>
      <c r="G16" s="4" t="n">
        <v>0</v>
      </c>
      <c r="H16" s="4" t="s">
        <v>106</v>
      </c>
      <c r="I16" s="4" t="s">
        <v>92</v>
      </c>
      <c r="J16" s="4" t="s">
        <v>93</v>
      </c>
      <c r="K16" s="4" t="s">
        <v>94</v>
      </c>
      <c r="L16" s="4"/>
      <c r="M16" s="3" t="n">
        <v>212.04</v>
      </c>
    </row>
    <row r="17" customFormat="false" ht="15" hidden="false" customHeight="false" outlineLevel="0" collapsed="false">
      <c r="A17" s="4" t="n">
        <v>1</v>
      </c>
      <c r="B17" s="4" t="s">
        <v>11</v>
      </c>
      <c r="C17" s="4" t="s">
        <v>62</v>
      </c>
      <c r="D17" s="4" t="s">
        <v>63</v>
      </c>
      <c r="E17" s="4" t="s">
        <v>107</v>
      </c>
      <c r="F17" s="4" t="s">
        <v>108</v>
      </c>
      <c r="G17" s="4" t="n">
        <v>0</v>
      </c>
      <c r="H17" s="4" t="s">
        <v>109</v>
      </c>
      <c r="I17" s="4" t="s">
        <v>92</v>
      </c>
      <c r="J17" s="4" t="s">
        <v>93</v>
      </c>
      <c r="K17" s="4" t="s">
        <v>94</v>
      </c>
      <c r="L17" s="4"/>
      <c r="M17" s="3" t="n">
        <v>770.58</v>
      </c>
    </row>
    <row r="18" customFormat="false" ht="15" hidden="false" customHeight="false" outlineLevel="0" collapsed="false">
      <c r="A18" s="4" t="n">
        <v>1</v>
      </c>
      <c r="B18" s="4" t="s">
        <v>11</v>
      </c>
      <c r="C18" s="4" t="s">
        <v>62</v>
      </c>
      <c r="D18" s="4" t="s">
        <v>63</v>
      </c>
      <c r="E18" s="4" t="s">
        <v>110</v>
      </c>
      <c r="F18" s="4" t="s">
        <v>111</v>
      </c>
      <c r="G18" s="4" t="n">
        <v>0</v>
      </c>
      <c r="H18" s="4" t="s">
        <v>80</v>
      </c>
      <c r="I18" s="4" t="s">
        <v>92</v>
      </c>
      <c r="J18" s="4" t="s">
        <v>93</v>
      </c>
      <c r="K18" s="4" t="s">
        <v>94</v>
      </c>
      <c r="L18" s="4"/>
      <c r="M18" s="3" t="n">
        <v>67.06</v>
      </c>
    </row>
    <row r="19" customFormat="false" ht="15" hidden="false" customHeight="false" outlineLevel="0" collapsed="false">
      <c r="A19" s="4" t="n">
        <v>1</v>
      </c>
      <c r="B19" s="4" t="s">
        <v>11</v>
      </c>
      <c r="C19" s="4" t="s">
        <v>62</v>
      </c>
      <c r="D19" s="4" t="s">
        <v>63</v>
      </c>
      <c r="E19" s="4" t="s">
        <v>112</v>
      </c>
      <c r="F19" s="4" t="s">
        <v>113</v>
      </c>
      <c r="G19" s="4" t="n">
        <v>0</v>
      </c>
      <c r="H19" s="4" t="s">
        <v>114</v>
      </c>
      <c r="I19" s="4" t="s">
        <v>92</v>
      </c>
      <c r="J19" s="4" t="s">
        <v>93</v>
      </c>
      <c r="K19" s="4" t="s">
        <v>94</v>
      </c>
      <c r="L19" s="4"/>
      <c r="M19" s="3" t="n">
        <v>229.97</v>
      </c>
    </row>
    <row r="20" customFormat="false" ht="15" hidden="false" customHeight="false" outlineLevel="0" collapsed="false">
      <c r="A20" s="4" t="n">
        <v>1</v>
      </c>
      <c r="B20" s="4" t="s">
        <v>11</v>
      </c>
      <c r="C20" s="4" t="s">
        <v>62</v>
      </c>
      <c r="D20" s="4" t="s">
        <v>63</v>
      </c>
      <c r="E20" s="4" t="s">
        <v>115</v>
      </c>
      <c r="F20" s="4" t="s">
        <v>116</v>
      </c>
      <c r="G20" s="4" t="n">
        <v>0</v>
      </c>
      <c r="H20" s="4" t="s">
        <v>117</v>
      </c>
      <c r="I20" s="4" t="s">
        <v>92</v>
      </c>
      <c r="J20" s="4" t="s">
        <v>93</v>
      </c>
      <c r="K20" s="4" t="s">
        <v>94</v>
      </c>
      <c r="L20" s="4"/>
      <c r="M20" s="3" t="n">
        <v>398.26</v>
      </c>
    </row>
    <row r="21" customFormat="false" ht="15" hidden="false" customHeight="false" outlineLevel="0" collapsed="false">
      <c r="A21" s="4" t="n">
        <v>1</v>
      </c>
      <c r="B21" s="4" t="s">
        <v>11</v>
      </c>
      <c r="C21" s="4" t="s">
        <v>62</v>
      </c>
      <c r="D21" s="4" t="s">
        <v>63</v>
      </c>
      <c r="E21" s="4" t="s">
        <v>118</v>
      </c>
      <c r="F21" s="4" t="s">
        <v>119</v>
      </c>
      <c r="G21" s="4" t="n">
        <v>0</v>
      </c>
      <c r="H21" s="4" t="s">
        <v>120</v>
      </c>
      <c r="I21" s="4" t="s">
        <v>92</v>
      </c>
      <c r="J21" s="4" t="s">
        <v>93</v>
      </c>
      <c r="K21" s="4" t="s">
        <v>94</v>
      </c>
      <c r="L21" s="4"/>
      <c r="M21" s="3" t="n">
        <v>463.21</v>
      </c>
    </row>
    <row r="22" customFormat="false" ht="15" hidden="false" customHeight="false" outlineLevel="0" collapsed="false">
      <c r="A22" s="4" t="n">
        <v>1</v>
      </c>
      <c r="B22" s="4" t="s">
        <v>11</v>
      </c>
      <c r="C22" s="4" t="s">
        <v>62</v>
      </c>
      <c r="D22" s="4" t="s">
        <v>63</v>
      </c>
      <c r="E22" s="4" t="s">
        <v>121</v>
      </c>
      <c r="F22" s="4" t="s">
        <v>122</v>
      </c>
      <c r="G22" s="4" t="n">
        <v>1400</v>
      </c>
      <c r="H22" s="4" t="s">
        <v>66</v>
      </c>
      <c r="I22" s="4" t="s">
        <v>92</v>
      </c>
      <c r="J22" s="4" t="s">
        <v>123</v>
      </c>
      <c r="K22" s="4" t="s">
        <v>124</v>
      </c>
      <c r="L22" s="4"/>
      <c r="M22" s="3" t="n">
        <v>2604.95</v>
      </c>
    </row>
    <row r="23" customFormat="false" ht="15" hidden="false" customHeight="false" outlineLevel="0" collapsed="false">
      <c r="A23" s="12" t="n">
        <v>1</v>
      </c>
      <c r="B23" s="12" t="s">
        <v>11</v>
      </c>
      <c r="C23" s="12" t="s">
        <v>62</v>
      </c>
      <c r="D23" s="12" t="s">
        <v>63</v>
      </c>
      <c r="E23" s="12" t="s">
        <v>125</v>
      </c>
      <c r="F23" s="12" t="s">
        <v>126</v>
      </c>
      <c r="G23" s="12" t="n">
        <v>2750</v>
      </c>
      <c r="H23" s="12" t="s">
        <v>66</v>
      </c>
      <c r="I23" s="12" t="s">
        <v>92</v>
      </c>
      <c r="J23" s="12" t="s">
        <v>127</v>
      </c>
      <c r="K23" s="12" t="s">
        <v>128</v>
      </c>
      <c r="L23" s="12"/>
      <c r="M23" s="13" t="n">
        <v>4907.2</v>
      </c>
    </row>
    <row r="24" customFormat="false" ht="15" hidden="false" customHeight="false" outlineLevel="0" collapsed="false">
      <c r="A24" s="4" t="n">
        <v>2</v>
      </c>
      <c r="B24" s="4" t="s">
        <v>12</v>
      </c>
      <c r="C24" s="4" t="s">
        <v>62</v>
      </c>
      <c r="D24" s="4" t="s">
        <v>129</v>
      </c>
      <c r="E24" s="4" t="s">
        <v>64</v>
      </c>
      <c r="F24" s="4" t="s">
        <v>65</v>
      </c>
      <c r="G24" s="4" t="n">
        <v>0</v>
      </c>
      <c r="H24" s="4" t="s">
        <v>66</v>
      </c>
      <c r="I24" s="4" t="s">
        <v>67</v>
      </c>
      <c r="J24" s="4" t="s">
        <v>68</v>
      </c>
      <c r="K24" s="4" t="s">
        <v>69</v>
      </c>
      <c r="L24" s="4" t="s">
        <v>70</v>
      </c>
      <c r="M24" s="3" t="n">
        <v>12832.27</v>
      </c>
    </row>
    <row r="25" customFormat="false" ht="15" hidden="false" customHeight="false" outlineLevel="0" collapsed="false">
      <c r="A25" s="4" t="n">
        <v>2</v>
      </c>
      <c r="B25" s="4" t="s">
        <v>12</v>
      </c>
      <c r="C25" s="4" t="s">
        <v>62</v>
      </c>
      <c r="D25" s="4" t="s">
        <v>129</v>
      </c>
      <c r="E25" s="4" t="s">
        <v>71</v>
      </c>
      <c r="F25" s="4" t="s">
        <v>72</v>
      </c>
      <c r="G25" s="4" t="n">
        <v>1000</v>
      </c>
      <c r="H25" s="4" t="s">
        <v>66</v>
      </c>
      <c r="I25" s="4" t="s">
        <v>67</v>
      </c>
      <c r="J25" s="4" t="s">
        <v>68</v>
      </c>
      <c r="K25" s="4" t="s">
        <v>69</v>
      </c>
      <c r="L25" s="4"/>
      <c r="M25" s="3" t="n">
        <v>1283.22</v>
      </c>
    </row>
    <row r="26" customFormat="false" ht="15" hidden="false" customHeight="false" outlineLevel="0" collapsed="false">
      <c r="A26" s="4" t="n">
        <v>2</v>
      </c>
      <c r="B26" s="4" t="s">
        <v>12</v>
      </c>
      <c r="C26" s="4" t="s">
        <v>62</v>
      </c>
      <c r="D26" s="4" t="s">
        <v>129</v>
      </c>
      <c r="E26" s="4" t="s">
        <v>73</v>
      </c>
      <c r="F26" s="4" t="s">
        <v>74</v>
      </c>
      <c r="G26" s="4" t="n">
        <v>1000</v>
      </c>
      <c r="H26" s="4" t="s">
        <v>130</v>
      </c>
      <c r="I26" s="4" t="s">
        <v>67</v>
      </c>
      <c r="J26" s="4" t="s">
        <v>68</v>
      </c>
      <c r="K26" s="4" t="s">
        <v>69</v>
      </c>
      <c r="L26" s="4"/>
      <c r="M26" s="3" t="n">
        <v>1283.22</v>
      </c>
    </row>
    <row r="27" customFormat="false" ht="15" hidden="false" customHeight="false" outlineLevel="0" collapsed="false">
      <c r="A27" s="4" t="n">
        <v>2</v>
      </c>
      <c r="B27" s="4" t="s">
        <v>12</v>
      </c>
      <c r="C27" s="4" t="s">
        <v>62</v>
      </c>
      <c r="D27" s="4" t="s">
        <v>129</v>
      </c>
      <c r="E27" s="4" t="s">
        <v>76</v>
      </c>
      <c r="F27" s="4" t="s">
        <v>77</v>
      </c>
      <c r="G27" s="4" t="n">
        <v>15</v>
      </c>
      <c r="H27" s="4" t="s">
        <v>66</v>
      </c>
      <c r="I27" s="4" t="s">
        <v>67</v>
      </c>
      <c r="J27" s="4" t="s">
        <v>68</v>
      </c>
      <c r="K27" s="4" t="s">
        <v>69</v>
      </c>
      <c r="L27" s="4" t="s">
        <v>70</v>
      </c>
      <c r="M27" s="3" t="n">
        <v>1924.84</v>
      </c>
    </row>
    <row r="28" customFormat="false" ht="15" hidden="false" customHeight="false" outlineLevel="0" collapsed="false">
      <c r="A28" s="4" t="n">
        <v>2</v>
      </c>
      <c r="B28" s="4" t="s">
        <v>12</v>
      </c>
      <c r="C28" s="4" t="s">
        <v>62</v>
      </c>
      <c r="D28" s="4" t="s">
        <v>129</v>
      </c>
      <c r="E28" s="4" t="s">
        <v>78</v>
      </c>
      <c r="F28" s="4" t="s">
        <v>79</v>
      </c>
      <c r="G28" s="4" t="n">
        <v>30</v>
      </c>
      <c r="H28" s="4" t="s">
        <v>80</v>
      </c>
      <c r="I28" s="4" t="s">
        <v>67</v>
      </c>
      <c r="J28" s="4" t="s">
        <v>68</v>
      </c>
      <c r="K28" s="4" t="s">
        <v>69</v>
      </c>
      <c r="L28" s="4" t="s">
        <v>70</v>
      </c>
      <c r="M28" s="3" t="n">
        <v>3849.68</v>
      </c>
    </row>
    <row r="29" customFormat="false" ht="15" hidden="false" customHeight="false" outlineLevel="0" collapsed="false">
      <c r="A29" s="4" t="n">
        <v>2</v>
      </c>
      <c r="B29" s="4" t="s">
        <v>12</v>
      </c>
      <c r="C29" s="4" t="s">
        <v>62</v>
      </c>
      <c r="D29" s="4" t="s">
        <v>129</v>
      </c>
      <c r="E29" s="4" t="s">
        <v>81</v>
      </c>
      <c r="F29" s="4" t="s">
        <v>82</v>
      </c>
      <c r="G29" s="4" t="n">
        <v>0</v>
      </c>
      <c r="H29" s="4" t="s">
        <v>80</v>
      </c>
      <c r="I29" s="4" t="s">
        <v>67</v>
      </c>
      <c r="J29" s="4" t="s">
        <v>68</v>
      </c>
      <c r="K29" s="4" t="s">
        <v>69</v>
      </c>
      <c r="L29" s="4"/>
      <c r="M29" s="3" t="n">
        <v>1676.54</v>
      </c>
    </row>
    <row r="30" customFormat="false" ht="15" hidden="false" customHeight="false" outlineLevel="0" collapsed="false">
      <c r="A30" s="4" t="n">
        <v>2</v>
      </c>
      <c r="B30" s="4" t="s">
        <v>12</v>
      </c>
      <c r="C30" s="4" t="s">
        <v>62</v>
      </c>
      <c r="D30" s="4" t="s">
        <v>129</v>
      </c>
      <c r="E30" s="4" t="s">
        <v>83</v>
      </c>
      <c r="F30" s="4" t="s">
        <v>84</v>
      </c>
      <c r="G30" s="4" t="n">
        <v>10</v>
      </c>
      <c r="H30" s="4" t="s">
        <v>66</v>
      </c>
      <c r="I30" s="4" t="s">
        <v>67</v>
      </c>
      <c r="J30" s="4" t="s">
        <v>68</v>
      </c>
      <c r="K30" s="4" t="s">
        <v>69</v>
      </c>
      <c r="L30" s="4"/>
      <c r="M30" s="3" t="n">
        <v>1283.22</v>
      </c>
    </row>
    <row r="31" customFormat="false" ht="15" hidden="false" customHeight="false" outlineLevel="0" collapsed="false">
      <c r="A31" s="4" t="n">
        <v>2</v>
      </c>
      <c r="B31" s="4" t="s">
        <v>12</v>
      </c>
      <c r="C31" s="4" t="s">
        <v>62</v>
      </c>
      <c r="D31" s="4" t="s">
        <v>129</v>
      </c>
      <c r="E31" s="4" t="s">
        <v>85</v>
      </c>
      <c r="F31" s="4" t="s">
        <v>86</v>
      </c>
      <c r="G31" s="4" t="n">
        <v>22</v>
      </c>
      <c r="H31" s="4" t="s">
        <v>66</v>
      </c>
      <c r="I31" s="4" t="s">
        <v>67</v>
      </c>
      <c r="J31" s="4" t="s">
        <v>87</v>
      </c>
      <c r="K31" s="4" t="s">
        <v>88</v>
      </c>
      <c r="L31" s="4"/>
      <c r="M31" s="3" t="n">
        <v>640</v>
      </c>
    </row>
    <row r="32" customFormat="false" ht="15" hidden="false" customHeight="false" outlineLevel="0" collapsed="false">
      <c r="A32" s="4" t="n">
        <v>2</v>
      </c>
      <c r="B32" s="4" t="s">
        <v>12</v>
      </c>
      <c r="C32" s="4" t="s">
        <v>62</v>
      </c>
      <c r="D32" s="4" t="s">
        <v>129</v>
      </c>
      <c r="E32" s="4" t="s">
        <v>89</v>
      </c>
      <c r="F32" s="4" t="s">
        <v>90</v>
      </c>
      <c r="G32" s="4" t="n">
        <v>0</v>
      </c>
      <c r="H32" s="4" t="s">
        <v>131</v>
      </c>
      <c r="I32" s="4" t="s">
        <v>92</v>
      </c>
      <c r="J32" s="4" t="s">
        <v>93</v>
      </c>
      <c r="K32" s="4" t="s">
        <v>94</v>
      </c>
      <c r="L32" s="4"/>
      <c r="M32" s="3" t="n">
        <v>784.41</v>
      </c>
    </row>
    <row r="33" customFormat="false" ht="15" hidden="false" customHeight="false" outlineLevel="0" collapsed="false">
      <c r="A33" s="4" t="n">
        <v>2</v>
      </c>
      <c r="B33" s="4" t="s">
        <v>12</v>
      </c>
      <c r="C33" s="4" t="s">
        <v>62</v>
      </c>
      <c r="D33" s="4" t="s">
        <v>129</v>
      </c>
      <c r="E33" s="4" t="s">
        <v>95</v>
      </c>
      <c r="F33" s="4" t="s">
        <v>96</v>
      </c>
      <c r="G33" s="4" t="n">
        <v>0</v>
      </c>
      <c r="H33" s="4" t="s">
        <v>100</v>
      </c>
      <c r="I33" s="4" t="s">
        <v>92</v>
      </c>
      <c r="J33" s="4" t="s">
        <v>93</v>
      </c>
      <c r="K33" s="4" t="s">
        <v>94</v>
      </c>
      <c r="L33" s="4"/>
      <c r="M33" s="3" t="n">
        <v>1150.79</v>
      </c>
    </row>
    <row r="34" customFormat="false" ht="15" hidden="false" customHeight="false" outlineLevel="0" collapsed="false">
      <c r="A34" s="4" t="n">
        <v>2</v>
      </c>
      <c r="B34" s="4" t="s">
        <v>12</v>
      </c>
      <c r="C34" s="4" t="s">
        <v>62</v>
      </c>
      <c r="D34" s="4" t="s">
        <v>129</v>
      </c>
      <c r="E34" s="4" t="s">
        <v>98</v>
      </c>
      <c r="F34" s="4" t="s">
        <v>99</v>
      </c>
      <c r="G34" s="4" t="n">
        <v>0</v>
      </c>
      <c r="H34" s="4" t="s">
        <v>132</v>
      </c>
      <c r="I34" s="4" t="s">
        <v>92</v>
      </c>
      <c r="J34" s="4" t="s">
        <v>93</v>
      </c>
      <c r="K34" s="4" t="s">
        <v>94</v>
      </c>
      <c r="L34" s="4"/>
      <c r="M34" s="3" t="n">
        <v>804.69</v>
      </c>
    </row>
    <row r="35" customFormat="false" ht="15" hidden="false" customHeight="false" outlineLevel="0" collapsed="false">
      <c r="A35" s="4" t="n">
        <v>2</v>
      </c>
      <c r="B35" s="4" t="s">
        <v>12</v>
      </c>
      <c r="C35" s="4" t="s">
        <v>62</v>
      </c>
      <c r="D35" s="4" t="s">
        <v>129</v>
      </c>
      <c r="E35" s="4" t="s">
        <v>101</v>
      </c>
      <c r="F35" s="4" t="s">
        <v>102</v>
      </c>
      <c r="G35" s="4" t="n">
        <v>0</v>
      </c>
      <c r="H35" s="4" t="s">
        <v>133</v>
      </c>
      <c r="I35" s="4" t="s">
        <v>92</v>
      </c>
      <c r="J35" s="4" t="s">
        <v>93</v>
      </c>
      <c r="K35" s="4" t="s">
        <v>94</v>
      </c>
      <c r="L35" s="4"/>
      <c r="M35" s="3" t="n">
        <v>393.33</v>
      </c>
    </row>
    <row r="36" customFormat="false" ht="15" hidden="false" customHeight="false" outlineLevel="0" collapsed="false">
      <c r="A36" s="4" t="n">
        <v>2</v>
      </c>
      <c r="B36" s="4" t="s">
        <v>12</v>
      </c>
      <c r="C36" s="4" t="s">
        <v>62</v>
      </c>
      <c r="D36" s="4" t="s">
        <v>129</v>
      </c>
      <c r="E36" s="4" t="s">
        <v>104</v>
      </c>
      <c r="F36" s="4" t="s">
        <v>105</v>
      </c>
      <c r="G36" s="4" t="n">
        <v>0</v>
      </c>
      <c r="H36" s="4" t="s">
        <v>134</v>
      </c>
      <c r="I36" s="4" t="s">
        <v>92</v>
      </c>
      <c r="J36" s="4" t="s">
        <v>93</v>
      </c>
      <c r="K36" s="4" t="s">
        <v>94</v>
      </c>
      <c r="L36" s="4"/>
      <c r="M36" s="3" t="n">
        <v>212.04</v>
      </c>
    </row>
    <row r="37" customFormat="false" ht="15" hidden="false" customHeight="false" outlineLevel="0" collapsed="false">
      <c r="A37" s="4" t="n">
        <v>2</v>
      </c>
      <c r="B37" s="4" t="s">
        <v>12</v>
      </c>
      <c r="C37" s="4" t="s">
        <v>62</v>
      </c>
      <c r="D37" s="4" t="s">
        <v>129</v>
      </c>
      <c r="E37" s="4" t="s">
        <v>107</v>
      </c>
      <c r="F37" s="4" t="s">
        <v>108</v>
      </c>
      <c r="G37" s="4" t="n">
        <v>0</v>
      </c>
      <c r="H37" s="4" t="s">
        <v>135</v>
      </c>
      <c r="I37" s="4" t="s">
        <v>92</v>
      </c>
      <c r="J37" s="4" t="s">
        <v>93</v>
      </c>
      <c r="K37" s="4" t="s">
        <v>94</v>
      </c>
      <c r="L37" s="4"/>
      <c r="M37" s="3" t="n">
        <v>770.58</v>
      </c>
    </row>
    <row r="38" customFormat="false" ht="15" hidden="false" customHeight="false" outlineLevel="0" collapsed="false">
      <c r="A38" s="4" t="n">
        <v>2</v>
      </c>
      <c r="B38" s="4" t="s">
        <v>12</v>
      </c>
      <c r="C38" s="4" t="s">
        <v>62</v>
      </c>
      <c r="D38" s="4" t="s">
        <v>129</v>
      </c>
      <c r="E38" s="4" t="s">
        <v>110</v>
      </c>
      <c r="F38" s="4" t="s">
        <v>111</v>
      </c>
      <c r="G38" s="4" t="n">
        <v>0</v>
      </c>
      <c r="H38" s="4" t="s">
        <v>80</v>
      </c>
      <c r="I38" s="4" t="s">
        <v>92</v>
      </c>
      <c r="J38" s="4" t="s">
        <v>93</v>
      </c>
      <c r="K38" s="4" t="s">
        <v>94</v>
      </c>
      <c r="L38" s="4"/>
      <c r="M38" s="3" t="n">
        <v>67.06</v>
      </c>
    </row>
    <row r="39" customFormat="false" ht="15" hidden="false" customHeight="false" outlineLevel="0" collapsed="false">
      <c r="A39" s="4" t="n">
        <v>2</v>
      </c>
      <c r="B39" s="4" t="s">
        <v>12</v>
      </c>
      <c r="C39" s="4" t="s">
        <v>62</v>
      </c>
      <c r="D39" s="4" t="s">
        <v>129</v>
      </c>
      <c r="E39" s="4" t="s">
        <v>112</v>
      </c>
      <c r="F39" s="4" t="s">
        <v>113</v>
      </c>
      <c r="G39" s="4" t="n">
        <v>0</v>
      </c>
      <c r="H39" s="4" t="s">
        <v>136</v>
      </c>
      <c r="I39" s="4" t="s">
        <v>92</v>
      </c>
      <c r="J39" s="4" t="s">
        <v>93</v>
      </c>
      <c r="K39" s="4" t="s">
        <v>94</v>
      </c>
      <c r="L39" s="4"/>
      <c r="M39" s="3" t="n">
        <v>229.97</v>
      </c>
    </row>
    <row r="40" customFormat="false" ht="15" hidden="false" customHeight="false" outlineLevel="0" collapsed="false">
      <c r="A40" s="4" t="n">
        <v>2</v>
      </c>
      <c r="B40" s="4" t="s">
        <v>12</v>
      </c>
      <c r="C40" s="4" t="s">
        <v>62</v>
      </c>
      <c r="D40" s="4" t="s">
        <v>129</v>
      </c>
      <c r="E40" s="4" t="s">
        <v>115</v>
      </c>
      <c r="F40" s="4" t="s">
        <v>116</v>
      </c>
      <c r="G40" s="4" t="n">
        <v>0</v>
      </c>
      <c r="H40" s="4" t="s">
        <v>137</v>
      </c>
      <c r="I40" s="4" t="s">
        <v>92</v>
      </c>
      <c r="J40" s="4" t="s">
        <v>93</v>
      </c>
      <c r="K40" s="4" t="s">
        <v>94</v>
      </c>
      <c r="L40" s="4"/>
      <c r="M40" s="3" t="n">
        <v>398.26</v>
      </c>
    </row>
    <row r="41" customFormat="false" ht="15" hidden="false" customHeight="false" outlineLevel="0" collapsed="false">
      <c r="A41" s="4" t="n">
        <v>2</v>
      </c>
      <c r="B41" s="4" t="s">
        <v>12</v>
      </c>
      <c r="C41" s="4" t="s">
        <v>62</v>
      </c>
      <c r="D41" s="4" t="s">
        <v>129</v>
      </c>
      <c r="E41" s="4" t="s">
        <v>118</v>
      </c>
      <c r="F41" s="4" t="s">
        <v>119</v>
      </c>
      <c r="G41" s="4" t="n">
        <v>0</v>
      </c>
      <c r="H41" s="4" t="s">
        <v>138</v>
      </c>
      <c r="I41" s="4" t="s">
        <v>92</v>
      </c>
      <c r="J41" s="4" t="s">
        <v>93</v>
      </c>
      <c r="K41" s="4" t="s">
        <v>94</v>
      </c>
      <c r="L41" s="4"/>
      <c r="M41" s="3" t="n">
        <v>463.21</v>
      </c>
    </row>
    <row r="42" customFormat="false" ht="15" hidden="false" customHeight="false" outlineLevel="0" collapsed="false">
      <c r="A42" s="4" t="n">
        <v>2</v>
      </c>
      <c r="B42" s="4" t="s">
        <v>12</v>
      </c>
      <c r="C42" s="4" t="s">
        <v>62</v>
      </c>
      <c r="D42" s="4" t="s">
        <v>129</v>
      </c>
      <c r="E42" s="4" t="s">
        <v>121</v>
      </c>
      <c r="F42" s="4" t="s">
        <v>122</v>
      </c>
      <c r="G42" s="4" t="n">
        <v>1400</v>
      </c>
      <c r="H42" s="4" t="s">
        <v>66</v>
      </c>
      <c r="I42" s="4" t="s">
        <v>92</v>
      </c>
      <c r="J42" s="4" t="s">
        <v>123</v>
      </c>
      <c r="K42" s="4" t="s">
        <v>124</v>
      </c>
      <c r="L42" s="4"/>
      <c r="M42" s="3" t="n">
        <v>2604.95</v>
      </c>
    </row>
    <row r="43" customFormat="false" ht="15" hidden="false" customHeight="false" outlineLevel="0" collapsed="false">
      <c r="A43" s="12" t="n">
        <v>2</v>
      </c>
      <c r="B43" s="12" t="s">
        <v>12</v>
      </c>
      <c r="C43" s="12" t="s">
        <v>62</v>
      </c>
      <c r="D43" s="12" t="s">
        <v>129</v>
      </c>
      <c r="E43" s="12" t="s">
        <v>125</v>
      </c>
      <c r="F43" s="12" t="s">
        <v>126</v>
      </c>
      <c r="G43" s="12" t="n">
        <v>2750</v>
      </c>
      <c r="H43" s="12" t="s">
        <v>66</v>
      </c>
      <c r="I43" s="12" t="s">
        <v>92</v>
      </c>
      <c r="J43" s="12" t="s">
        <v>127</v>
      </c>
      <c r="K43" s="12" t="s">
        <v>128</v>
      </c>
      <c r="L43" s="12"/>
      <c r="M43" s="13" t="n">
        <v>4907.2</v>
      </c>
    </row>
    <row r="44" customFormat="false" ht="15" hidden="false" customHeight="false" outlineLevel="0" collapsed="false">
      <c r="A44" s="4" t="n">
        <v>2</v>
      </c>
      <c r="B44" s="4" t="s">
        <v>12</v>
      </c>
      <c r="C44" s="4" t="s">
        <v>139</v>
      </c>
      <c r="D44" s="4" t="s">
        <v>140</v>
      </c>
      <c r="E44" s="4" t="s">
        <v>141</v>
      </c>
      <c r="F44" s="4" t="s">
        <v>142</v>
      </c>
      <c r="G44" s="4" t="n">
        <v>0</v>
      </c>
      <c r="H44" s="4" t="s">
        <v>143</v>
      </c>
      <c r="I44" s="4" t="s">
        <v>67</v>
      </c>
      <c r="J44" s="4" t="s">
        <v>144</v>
      </c>
      <c r="K44" s="4" t="s">
        <v>69</v>
      </c>
      <c r="L44" s="4"/>
      <c r="M44" s="3" t="n">
        <v>562.08</v>
      </c>
    </row>
    <row r="45" customFormat="false" ht="15" hidden="false" customHeight="false" outlineLevel="0" collapsed="false">
      <c r="A45" s="4" t="n">
        <v>2</v>
      </c>
      <c r="B45" s="4" t="s">
        <v>12</v>
      </c>
      <c r="C45" s="4" t="s">
        <v>139</v>
      </c>
      <c r="D45" s="4" t="s">
        <v>140</v>
      </c>
      <c r="E45" s="4" t="s">
        <v>145</v>
      </c>
      <c r="F45" s="4" t="s">
        <v>146</v>
      </c>
      <c r="G45" s="4" t="n">
        <v>0</v>
      </c>
      <c r="H45" s="4" t="s">
        <v>143</v>
      </c>
      <c r="I45" s="4" t="s">
        <v>67</v>
      </c>
      <c r="J45" s="4" t="s">
        <v>144</v>
      </c>
      <c r="K45" s="4" t="s">
        <v>69</v>
      </c>
      <c r="L45" s="4"/>
      <c r="M45" s="3" t="n">
        <v>682.06</v>
      </c>
    </row>
    <row r="46" customFormat="false" ht="15" hidden="false" customHeight="false" outlineLevel="0" collapsed="false">
      <c r="A46" s="12" t="n">
        <v>2</v>
      </c>
      <c r="B46" s="12" t="s">
        <v>12</v>
      </c>
      <c r="C46" s="12" t="s">
        <v>139</v>
      </c>
      <c r="D46" s="12" t="s">
        <v>140</v>
      </c>
      <c r="E46" s="12" t="s">
        <v>125</v>
      </c>
      <c r="F46" s="12" t="s">
        <v>126</v>
      </c>
      <c r="G46" s="12" t="n">
        <v>2750</v>
      </c>
      <c r="H46" s="12" t="s">
        <v>66</v>
      </c>
      <c r="I46" s="12" t="s">
        <v>92</v>
      </c>
      <c r="J46" s="12" t="s">
        <v>127</v>
      </c>
      <c r="K46" s="12" t="s">
        <v>128</v>
      </c>
      <c r="L46" s="12"/>
      <c r="M46" s="13" t="n">
        <v>342.14</v>
      </c>
    </row>
    <row r="47" customFormat="false" ht="15" hidden="false" customHeight="false" outlineLevel="0" collapsed="false">
      <c r="A47" s="4" t="n">
        <v>3</v>
      </c>
      <c r="B47" s="4" t="s">
        <v>13</v>
      </c>
      <c r="C47" s="4" t="s">
        <v>62</v>
      </c>
      <c r="D47" s="4" t="s">
        <v>147</v>
      </c>
      <c r="E47" s="4" t="s">
        <v>64</v>
      </c>
      <c r="F47" s="4" t="s">
        <v>65</v>
      </c>
      <c r="G47" s="4" t="n">
        <v>0</v>
      </c>
      <c r="H47" s="4" t="s">
        <v>66</v>
      </c>
      <c r="I47" s="4" t="s">
        <v>67</v>
      </c>
      <c r="J47" s="4" t="s">
        <v>68</v>
      </c>
      <c r="K47" s="4" t="s">
        <v>69</v>
      </c>
      <c r="L47" s="4" t="s">
        <v>70</v>
      </c>
      <c r="M47" s="3" t="n">
        <v>12832.27</v>
      </c>
    </row>
    <row r="48" customFormat="false" ht="15" hidden="false" customHeight="false" outlineLevel="0" collapsed="false">
      <c r="A48" s="4" t="n">
        <v>3</v>
      </c>
      <c r="B48" s="4" t="s">
        <v>13</v>
      </c>
      <c r="C48" s="4" t="s">
        <v>62</v>
      </c>
      <c r="D48" s="4" t="s">
        <v>147</v>
      </c>
      <c r="E48" s="4" t="s">
        <v>71</v>
      </c>
      <c r="F48" s="4" t="s">
        <v>72</v>
      </c>
      <c r="G48" s="4" t="n">
        <v>1000</v>
      </c>
      <c r="H48" s="4" t="s">
        <v>66</v>
      </c>
      <c r="I48" s="4" t="s">
        <v>67</v>
      </c>
      <c r="J48" s="4" t="s">
        <v>68</v>
      </c>
      <c r="K48" s="4" t="s">
        <v>69</v>
      </c>
      <c r="L48" s="4"/>
      <c r="M48" s="3" t="n">
        <v>1283.22</v>
      </c>
    </row>
    <row r="49" customFormat="false" ht="15" hidden="false" customHeight="false" outlineLevel="0" collapsed="false">
      <c r="A49" s="4" t="n">
        <v>3</v>
      </c>
      <c r="B49" s="4" t="s">
        <v>13</v>
      </c>
      <c r="C49" s="4" t="s">
        <v>62</v>
      </c>
      <c r="D49" s="4" t="s">
        <v>147</v>
      </c>
      <c r="E49" s="4" t="s">
        <v>73</v>
      </c>
      <c r="F49" s="4" t="s">
        <v>74</v>
      </c>
      <c r="G49" s="4" t="n">
        <v>1000</v>
      </c>
      <c r="H49" s="4" t="s">
        <v>148</v>
      </c>
      <c r="I49" s="4" t="s">
        <v>67</v>
      </c>
      <c r="J49" s="4" t="s">
        <v>68</v>
      </c>
      <c r="K49" s="4" t="s">
        <v>69</v>
      </c>
      <c r="L49" s="4"/>
      <c r="M49" s="3" t="n">
        <v>1283.22</v>
      </c>
    </row>
    <row r="50" customFormat="false" ht="15" hidden="false" customHeight="false" outlineLevel="0" collapsed="false">
      <c r="A50" s="4" t="n">
        <v>3</v>
      </c>
      <c r="B50" s="4" t="s">
        <v>13</v>
      </c>
      <c r="C50" s="4" t="s">
        <v>62</v>
      </c>
      <c r="D50" s="4" t="s">
        <v>147</v>
      </c>
      <c r="E50" s="4" t="s">
        <v>76</v>
      </c>
      <c r="F50" s="4" t="s">
        <v>77</v>
      </c>
      <c r="G50" s="4" t="n">
        <v>15</v>
      </c>
      <c r="H50" s="4" t="s">
        <v>66</v>
      </c>
      <c r="I50" s="4" t="s">
        <v>67</v>
      </c>
      <c r="J50" s="4" t="s">
        <v>68</v>
      </c>
      <c r="K50" s="4" t="s">
        <v>69</v>
      </c>
      <c r="L50" s="4" t="s">
        <v>70</v>
      </c>
      <c r="M50" s="3" t="n">
        <v>1924.84</v>
      </c>
    </row>
    <row r="51" customFormat="false" ht="15" hidden="false" customHeight="false" outlineLevel="0" collapsed="false">
      <c r="A51" s="4" t="n">
        <v>3</v>
      </c>
      <c r="B51" s="4" t="s">
        <v>13</v>
      </c>
      <c r="C51" s="4" t="s">
        <v>62</v>
      </c>
      <c r="D51" s="4" t="s">
        <v>147</v>
      </c>
      <c r="E51" s="4" t="s">
        <v>78</v>
      </c>
      <c r="F51" s="4" t="s">
        <v>79</v>
      </c>
      <c r="G51" s="4" t="n">
        <v>30</v>
      </c>
      <c r="H51" s="4" t="s">
        <v>80</v>
      </c>
      <c r="I51" s="4" t="s">
        <v>67</v>
      </c>
      <c r="J51" s="4" t="s">
        <v>68</v>
      </c>
      <c r="K51" s="4" t="s">
        <v>69</v>
      </c>
      <c r="L51" s="4" t="s">
        <v>70</v>
      </c>
      <c r="M51" s="3" t="n">
        <v>3849.68</v>
      </c>
    </row>
    <row r="52" customFormat="false" ht="15" hidden="false" customHeight="false" outlineLevel="0" collapsed="false">
      <c r="A52" s="4" t="n">
        <v>3</v>
      </c>
      <c r="B52" s="4" t="s">
        <v>13</v>
      </c>
      <c r="C52" s="4" t="s">
        <v>62</v>
      </c>
      <c r="D52" s="4" t="s">
        <v>147</v>
      </c>
      <c r="E52" s="4" t="s">
        <v>81</v>
      </c>
      <c r="F52" s="4" t="s">
        <v>82</v>
      </c>
      <c r="G52" s="4" t="n">
        <v>0</v>
      </c>
      <c r="H52" s="4" t="s">
        <v>80</v>
      </c>
      <c r="I52" s="4" t="s">
        <v>67</v>
      </c>
      <c r="J52" s="4" t="s">
        <v>68</v>
      </c>
      <c r="K52" s="4" t="s">
        <v>69</v>
      </c>
      <c r="L52" s="4"/>
      <c r="M52" s="3" t="n">
        <v>1676.54</v>
      </c>
    </row>
    <row r="53" customFormat="false" ht="15" hidden="false" customHeight="false" outlineLevel="0" collapsed="false">
      <c r="A53" s="4" t="n">
        <v>3</v>
      </c>
      <c r="B53" s="4" t="s">
        <v>13</v>
      </c>
      <c r="C53" s="4" t="s">
        <v>62</v>
      </c>
      <c r="D53" s="4" t="s">
        <v>147</v>
      </c>
      <c r="E53" s="4" t="s">
        <v>83</v>
      </c>
      <c r="F53" s="4" t="s">
        <v>84</v>
      </c>
      <c r="G53" s="4" t="n">
        <v>10</v>
      </c>
      <c r="H53" s="4" t="s">
        <v>66</v>
      </c>
      <c r="I53" s="4" t="s">
        <v>67</v>
      </c>
      <c r="J53" s="4" t="s">
        <v>68</v>
      </c>
      <c r="K53" s="4" t="s">
        <v>69</v>
      </c>
      <c r="L53" s="4"/>
      <c r="M53" s="3" t="n">
        <v>1069.31</v>
      </c>
    </row>
    <row r="54" customFormat="false" ht="15" hidden="false" customHeight="false" outlineLevel="0" collapsed="false">
      <c r="A54" s="4" t="n">
        <v>3</v>
      </c>
      <c r="B54" s="4" t="s">
        <v>13</v>
      </c>
      <c r="C54" s="4" t="s">
        <v>62</v>
      </c>
      <c r="D54" s="4" t="s">
        <v>147</v>
      </c>
      <c r="E54" s="4" t="s">
        <v>85</v>
      </c>
      <c r="F54" s="4" t="s">
        <v>86</v>
      </c>
      <c r="G54" s="4" t="n">
        <v>17</v>
      </c>
      <c r="H54" s="4" t="s">
        <v>66</v>
      </c>
      <c r="I54" s="4" t="s">
        <v>67</v>
      </c>
      <c r="J54" s="4" t="s">
        <v>87</v>
      </c>
      <c r="K54" s="4" t="s">
        <v>88</v>
      </c>
      <c r="L54" s="4"/>
      <c r="M54" s="3" t="n">
        <v>494.54</v>
      </c>
    </row>
    <row r="55" customFormat="false" ht="15" hidden="false" customHeight="false" outlineLevel="0" collapsed="false">
      <c r="A55" s="4" t="n">
        <v>3</v>
      </c>
      <c r="B55" s="4" t="s">
        <v>13</v>
      </c>
      <c r="C55" s="4" t="s">
        <v>62</v>
      </c>
      <c r="D55" s="4" t="s">
        <v>147</v>
      </c>
      <c r="E55" s="4" t="s">
        <v>89</v>
      </c>
      <c r="F55" s="4" t="s">
        <v>90</v>
      </c>
      <c r="G55" s="4" t="n">
        <v>0</v>
      </c>
      <c r="H55" s="4" t="s">
        <v>149</v>
      </c>
      <c r="I55" s="4" t="s">
        <v>92</v>
      </c>
      <c r="J55" s="4" t="s">
        <v>93</v>
      </c>
      <c r="K55" s="4" t="s">
        <v>94</v>
      </c>
      <c r="L55" s="4"/>
      <c r="M55" s="3" t="n">
        <v>784.41</v>
      </c>
    </row>
    <row r="56" customFormat="false" ht="15" hidden="false" customHeight="false" outlineLevel="0" collapsed="false">
      <c r="A56" s="4" t="n">
        <v>3</v>
      </c>
      <c r="B56" s="4" t="s">
        <v>13</v>
      </c>
      <c r="C56" s="4" t="s">
        <v>62</v>
      </c>
      <c r="D56" s="4" t="s">
        <v>147</v>
      </c>
      <c r="E56" s="4" t="s">
        <v>95</v>
      </c>
      <c r="F56" s="4" t="s">
        <v>96</v>
      </c>
      <c r="G56" s="4" t="n">
        <v>0</v>
      </c>
      <c r="H56" s="4" t="s">
        <v>132</v>
      </c>
      <c r="I56" s="4" t="s">
        <v>92</v>
      </c>
      <c r="J56" s="4" t="s">
        <v>93</v>
      </c>
      <c r="K56" s="4" t="s">
        <v>94</v>
      </c>
      <c r="L56" s="4"/>
      <c r="M56" s="3" t="n">
        <v>1150.79</v>
      </c>
    </row>
    <row r="57" customFormat="false" ht="15" hidden="false" customHeight="false" outlineLevel="0" collapsed="false">
      <c r="A57" s="4" t="n">
        <v>3</v>
      </c>
      <c r="B57" s="4" t="s">
        <v>13</v>
      </c>
      <c r="C57" s="4" t="s">
        <v>62</v>
      </c>
      <c r="D57" s="4" t="s">
        <v>147</v>
      </c>
      <c r="E57" s="4" t="s">
        <v>98</v>
      </c>
      <c r="F57" s="4" t="s">
        <v>99</v>
      </c>
      <c r="G57" s="4" t="n">
        <v>0</v>
      </c>
      <c r="H57" s="4" t="s">
        <v>150</v>
      </c>
      <c r="I57" s="4" t="s">
        <v>92</v>
      </c>
      <c r="J57" s="4" t="s">
        <v>93</v>
      </c>
      <c r="K57" s="4" t="s">
        <v>94</v>
      </c>
      <c r="L57" s="4"/>
      <c r="M57" s="3" t="n">
        <v>804.69</v>
      </c>
    </row>
    <row r="58" customFormat="false" ht="15" hidden="false" customHeight="false" outlineLevel="0" collapsed="false">
      <c r="A58" s="4" t="n">
        <v>3</v>
      </c>
      <c r="B58" s="4" t="s">
        <v>13</v>
      </c>
      <c r="C58" s="4" t="s">
        <v>62</v>
      </c>
      <c r="D58" s="4" t="s">
        <v>147</v>
      </c>
      <c r="E58" s="4" t="s">
        <v>101</v>
      </c>
      <c r="F58" s="4" t="s">
        <v>102</v>
      </c>
      <c r="G58" s="4" t="n">
        <v>0</v>
      </c>
      <c r="H58" s="4" t="s">
        <v>151</v>
      </c>
      <c r="I58" s="4" t="s">
        <v>92</v>
      </c>
      <c r="J58" s="4" t="s">
        <v>93</v>
      </c>
      <c r="K58" s="4" t="s">
        <v>94</v>
      </c>
      <c r="L58" s="4"/>
      <c r="M58" s="3" t="n">
        <v>393.33</v>
      </c>
    </row>
    <row r="59" customFormat="false" ht="15" hidden="false" customHeight="false" outlineLevel="0" collapsed="false">
      <c r="A59" s="4" t="n">
        <v>3</v>
      </c>
      <c r="B59" s="4" t="s">
        <v>13</v>
      </c>
      <c r="C59" s="4" t="s">
        <v>62</v>
      </c>
      <c r="D59" s="4" t="s">
        <v>147</v>
      </c>
      <c r="E59" s="4" t="s">
        <v>104</v>
      </c>
      <c r="F59" s="4" t="s">
        <v>105</v>
      </c>
      <c r="G59" s="4" t="n">
        <v>0</v>
      </c>
      <c r="H59" s="4" t="s">
        <v>152</v>
      </c>
      <c r="I59" s="4" t="s">
        <v>92</v>
      </c>
      <c r="J59" s="4" t="s">
        <v>93</v>
      </c>
      <c r="K59" s="4" t="s">
        <v>94</v>
      </c>
      <c r="L59" s="4"/>
      <c r="M59" s="3" t="n">
        <v>212.04</v>
      </c>
    </row>
    <row r="60" customFormat="false" ht="15" hidden="false" customHeight="false" outlineLevel="0" collapsed="false">
      <c r="A60" s="4" t="n">
        <v>3</v>
      </c>
      <c r="B60" s="4" t="s">
        <v>13</v>
      </c>
      <c r="C60" s="4" t="s">
        <v>62</v>
      </c>
      <c r="D60" s="4" t="s">
        <v>147</v>
      </c>
      <c r="E60" s="4" t="s">
        <v>107</v>
      </c>
      <c r="F60" s="4" t="s">
        <v>108</v>
      </c>
      <c r="G60" s="4" t="n">
        <v>0</v>
      </c>
      <c r="H60" s="4" t="s">
        <v>153</v>
      </c>
      <c r="I60" s="4" t="s">
        <v>92</v>
      </c>
      <c r="J60" s="4" t="s">
        <v>93</v>
      </c>
      <c r="K60" s="4" t="s">
        <v>94</v>
      </c>
      <c r="L60" s="4"/>
      <c r="M60" s="3" t="n">
        <v>770.58</v>
      </c>
    </row>
    <row r="61" customFormat="false" ht="15" hidden="false" customHeight="false" outlineLevel="0" collapsed="false">
      <c r="A61" s="4" t="n">
        <v>3</v>
      </c>
      <c r="B61" s="4" t="s">
        <v>13</v>
      </c>
      <c r="C61" s="4" t="s">
        <v>62</v>
      </c>
      <c r="D61" s="4" t="s">
        <v>147</v>
      </c>
      <c r="E61" s="4" t="s">
        <v>110</v>
      </c>
      <c r="F61" s="4" t="s">
        <v>111</v>
      </c>
      <c r="G61" s="4" t="n">
        <v>0</v>
      </c>
      <c r="H61" s="4" t="s">
        <v>80</v>
      </c>
      <c r="I61" s="4" t="s">
        <v>92</v>
      </c>
      <c r="J61" s="4" t="s">
        <v>93</v>
      </c>
      <c r="K61" s="4" t="s">
        <v>94</v>
      </c>
      <c r="L61" s="4"/>
      <c r="M61" s="3" t="n">
        <v>67.06</v>
      </c>
    </row>
    <row r="62" customFormat="false" ht="15" hidden="false" customHeight="false" outlineLevel="0" collapsed="false">
      <c r="A62" s="4" t="n">
        <v>3</v>
      </c>
      <c r="B62" s="4" t="s">
        <v>13</v>
      </c>
      <c r="C62" s="4" t="s">
        <v>62</v>
      </c>
      <c r="D62" s="4" t="s">
        <v>147</v>
      </c>
      <c r="E62" s="4" t="s">
        <v>112</v>
      </c>
      <c r="F62" s="4" t="s">
        <v>113</v>
      </c>
      <c r="G62" s="4" t="n">
        <v>0</v>
      </c>
      <c r="H62" s="4" t="s">
        <v>154</v>
      </c>
      <c r="I62" s="4" t="s">
        <v>92</v>
      </c>
      <c r="J62" s="4" t="s">
        <v>93</v>
      </c>
      <c r="K62" s="4" t="s">
        <v>94</v>
      </c>
      <c r="L62" s="4"/>
      <c r="M62" s="3" t="n">
        <v>229.97</v>
      </c>
    </row>
    <row r="63" customFormat="false" ht="15" hidden="false" customHeight="false" outlineLevel="0" collapsed="false">
      <c r="A63" s="4" t="n">
        <v>3</v>
      </c>
      <c r="B63" s="4" t="s">
        <v>13</v>
      </c>
      <c r="C63" s="4" t="s">
        <v>62</v>
      </c>
      <c r="D63" s="4" t="s">
        <v>147</v>
      </c>
      <c r="E63" s="4" t="s">
        <v>115</v>
      </c>
      <c r="F63" s="4" t="s">
        <v>116</v>
      </c>
      <c r="G63" s="4" t="n">
        <v>0</v>
      </c>
      <c r="H63" s="4" t="s">
        <v>155</v>
      </c>
      <c r="I63" s="4" t="s">
        <v>92</v>
      </c>
      <c r="J63" s="4" t="s">
        <v>93</v>
      </c>
      <c r="K63" s="4" t="s">
        <v>94</v>
      </c>
      <c r="L63" s="4"/>
      <c r="M63" s="3" t="n">
        <v>398.26</v>
      </c>
    </row>
    <row r="64" customFormat="false" ht="15" hidden="false" customHeight="false" outlineLevel="0" collapsed="false">
      <c r="A64" s="4" t="n">
        <v>3</v>
      </c>
      <c r="B64" s="4" t="s">
        <v>13</v>
      </c>
      <c r="C64" s="4" t="s">
        <v>62</v>
      </c>
      <c r="D64" s="4" t="s">
        <v>147</v>
      </c>
      <c r="E64" s="4" t="s">
        <v>118</v>
      </c>
      <c r="F64" s="4" t="s">
        <v>119</v>
      </c>
      <c r="G64" s="4" t="n">
        <v>0</v>
      </c>
      <c r="H64" s="4" t="s">
        <v>103</v>
      </c>
      <c r="I64" s="4" t="s">
        <v>92</v>
      </c>
      <c r="J64" s="4" t="s">
        <v>93</v>
      </c>
      <c r="K64" s="4" t="s">
        <v>94</v>
      </c>
      <c r="L64" s="4"/>
      <c r="M64" s="3" t="n">
        <v>463.21</v>
      </c>
    </row>
    <row r="65" customFormat="false" ht="15" hidden="false" customHeight="false" outlineLevel="0" collapsed="false">
      <c r="A65" s="4" t="n">
        <v>3</v>
      </c>
      <c r="B65" s="4" t="s">
        <v>13</v>
      </c>
      <c r="C65" s="4" t="s">
        <v>62</v>
      </c>
      <c r="D65" s="4" t="s">
        <v>147</v>
      </c>
      <c r="E65" s="4" t="s">
        <v>121</v>
      </c>
      <c r="F65" s="4" t="s">
        <v>122</v>
      </c>
      <c r="G65" s="4" t="n">
        <v>1400</v>
      </c>
      <c r="H65" s="4" t="s">
        <v>66</v>
      </c>
      <c r="I65" s="4" t="s">
        <v>92</v>
      </c>
      <c r="J65" s="4" t="s">
        <v>123</v>
      </c>
      <c r="K65" s="4" t="s">
        <v>124</v>
      </c>
      <c r="L65" s="4"/>
      <c r="M65" s="3" t="n">
        <v>2604.95</v>
      </c>
    </row>
    <row r="66" customFormat="false" ht="15" hidden="false" customHeight="false" outlineLevel="0" collapsed="false">
      <c r="A66" s="12" t="n">
        <v>3</v>
      </c>
      <c r="B66" s="12" t="s">
        <v>13</v>
      </c>
      <c r="C66" s="12" t="s">
        <v>62</v>
      </c>
      <c r="D66" s="12" t="s">
        <v>147</v>
      </c>
      <c r="E66" s="12" t="s">
        <v>125</v>
      </c>
      <c r="F66" s="12" t="s">
        <v>126</v>
      </c>
      <c r="G66" s="12" t="n">
        <v>2750</v>
      </c>
      <c r="H66" s="12" t="s">
        <v>66</v>
      </c>
      <c r="I66" s="12" t="s">
        <v>92</v>
      </c>
      <c r="J66" s="12" t="s">
        <v>127</v>
      </c>
      <c r="K66" s="12" t="s">
        <v>128</v>
      </c>
      <c r="L66" s="12"/>
      <c r="M66" s="13" t="n">
        <v>4848.38</v>
      </c>
    </row>
    <row r="67" customFormat="false" ht="15" hidden="false" customHeight="false" outlineLevel="0" collapsed="false">
      <c r="A67" s="4" t="n">
        <v>3</v>
      </c>
      <c r="B67" s="4" t="s">
        <v>13</v>
      </c>
      <c r="C67" s="4" t="s">
        <v>139</v>
      </c>
      <c r="D67" s="4" t="s">
        <v>156</v>
      </c>
      <c r="E67" s="4" t="s">
        <v>157</v>
      </c>
      <c r="F67" s="4" t="s">
        <v>158</v>
      </c>
      <c r="G67" s="4" t="n">
        <v>1937</v>
      </c>
      <c r="H67" s="4" t="s">
        <v>143</v>
      </c>
      <c r="I67" s="4" t="s">
        <v>67</v>
      </c>
      <c r="J67" s="4" t="s">
        <v>144</v>
      </c>
      <c r="K67" s="4" t="s">
        <v>69</v>
      </c>
      <c r="L67" s="4"/>
      <c r="M67" s="3" t="n">
        <v>1378.26</v>
      </c>
    </row>
    <row r="68" customFormat="false" ht="15" hidden="false" customHeight="false" outlineLevel="0" collapsed="false">
      <c r="A68" s="4" t="n">
        <v>3</v>
      </c>
      <c r="B68" s="4" t="s">
        <v>13</v>
      </c>
      <c r="C68" s="4" t="s">
        <v>139</v>
      </c>
      <c r="D68" s="4" t="s">
        <v>156</v>
      </c>
      <c r="E68" s="4" t="s">
        <v>159</v>
      </c>
      <c r="F68" s="4" t="s">
        <v>160</v>
      </c>
      <c r="G68" s="4" t="n">
        <v>4511</v>
      </c>
      <c r="H68" s="4" t="s">
        <v>143</v>
      </c>
      <c r="I68" s="4" t="s">
        <v>67</v>
      </c>
      <c r="J68" s="4" t="s">
        <v>144</v>
      </c>
      <c r="K68" s="4" t="s">
        <v>69</v>
      </c>
      <c r="L68" s="4"/>
      <c r="M68" s="3" t="n">
        <v>4026.52</v>
      </c>
    </row>
    <row r="69" customFormat="false" ht="15" hidden="false" customHeight="false" outlineLevel="0" collapsed="false">
      <c r="A69" s="12" t="n">
        <v>3</v>
      </c>
      <c r="B69" s="12" t="s">
        <v>13</v>
      </c>
      <c r="C69" s="12" t="s">
        <v>139</v>
      </c>
      <c r="D69" s="12" t="s">
        <v>156</v>
      </c>
      <c r="E69" s="12" t="s">
        <v>125</v>
      </c>
      <c r="F69" s="12" t="s">
        <v>126</v>
      </c>
      <c r="G69" s="12" t="n">
        <v>2750</v>
      </c>
      <c r="H69" s="12" t="s">
        <v>66</v>
      </c>
      <c r="I69" s="12" t="s">
        <v>92</v>
      </c>
      <c r="J69" s="12" t="s">
        <v>127</v>
      </c>
      <c r="K69" s="12" t="s">
        <v>128</v>
      </c>
      <c r="L69" s="12"/>
      <c r="M69" s="13" t="n">
        <v>1486.31</v>
      </c>
    </row>
    <row r="70" customFormat="false" ht="15" hidden="false" customHeight="false" outlineLevel="0" collapsed="false">
      <c r="A70" s="4" t="n">
        <v>4</v>
      </c>
      <c r="B70" s="4" t="s">
        <v>14</v>
      </c>
      <c r="C70" s="4" t="s">
        <v>62</v>
      </c>
      <c r="D70" s="4" t="s">
        <v>161</v>
      </c>
      <c r="E70" s="4" t="s">
        <v>64</v>
      </c>
      <c r="F70" s="4" t="s">
        <v>65</v>
      </c>
      <c r="G70" s="4" t="n">
        <v>0</v>
      </c>
      <c r="H70" s="4" t="s">
        <v>66</v>
      </c>
      <c r="I70" s="4" t="s">
        <v>67</v>
      </c>
      <c r="J70" s="4" t="s">
        <v>68</v>
      </c>
      <c r="K70" s="4" t="s">
        <v>69</v>
      </c>
      <c r="L70" s="4" t="s">
        <v>70</v>
      </c>
      <c r="M70" s="3" t="n">
        <v>12832.27</v>
      </c>
    </row>
    <row r="71" customFormat="false" ht="15" hidden="false" customHeight="false" outlineLevel="0" collapsed="false">
      <c r="A71" s="4" t="n">
        <v>4</v>
      </c>
      <c r="B71" s="4" t="s">
        <v>14</v>
      </c>
      <c r="C71" s="4" t="s">
        <v>62</v>
      </c>
      <c r="D71" s="4" t="s">
        <v>161</v>
      </c>
      <c r="E71" s="4" t="s">
        <v>71</v>
      </c>
      <c r="F71" s="4" t="s">
        <v>72</v>
      </c>
      <c r="G71" s="4" t="n">
        <v>1000</v>
      </c>
      <c r="H71" s="4" t="s">
        <v>66</v>
      </c>
      <c r="I71" s="4" t="s">
        <v>67</v>
      </c>
      <c r="J71" s="4" t="s">
        <v>68</v>
      </c>
      <c r="K71" s="4" t="s">
        <v>69</v>
      </c>
      <c r="L71" s="4"/>
      <c r="M71" s="3" t="n">
        <v>1283.22</v>
      </c>
    </row>
    <row r="72" customFormat="false" ht="15" hidden="false" customHeight="false" outlineLevel="0" collapsed="false">
      <c r="A72" s="4" t="n">
        <v>4</v>
      </c>
      <c r="B72" s="4" t="s">
        <v>14</v>
      </c>
      <c r="C72" s="4" t="s">
        <v>62</v>
      </c>
      <c r="D72" s="4" t="s">
        <v>161</v>
      </c>
      <c r="E72" s="4" t="s">
        <v>73</v>
      </c>
      <c r="F72" s="4" t="s">
        <v>74</v>
      </c>
      <c r="G72" s="4" t="n">
        <v>1000</v>
      </c>
      <c r="H72" s="4" t="s">
        <v>162</v>
      </c>
      <c r="I72" s="4" t="s">
        <v>67</v>
      </c>
      <c r="J72" s="4" t="s">
        <v>68</v>
      </c>
      <c r="K72" s="4" t="s">
        <v>69</v>
      </c>
      <c r="L72" s="4"/>
      <c r="M72" s="3" t="n">
        <v>1283.22</v>
      </c>
    </row>
    <row r="73" customFormat="false" ht="15" hidden="false" customHeight="false" outlineLevel="0" collapsed="false">
      <c r="A73" s="4" t="n">
        <v>4</v>
      </c>
      <c r="B73" s="4" t="s">
        <v>14</v>
      </c>
      <c r="C73" s="4" t="s">
        <v>62</v>
      </c>
      <c r="D73" s="4" t="s">
        <v>161</v>
      </c>
      <c r="E73" s="4" t="s">
        <v>76</v>
      </c>
      <c r="F73" s="4" t="s">
        <v>77</v>
      </c>
      <c r="G73" s="4" t="n">
        <v>15</v>
      </c>
      <c r="H73" s="4" t="s">
        <v>66</v>
      </c>
      <c r="I73" s="4" t="s">
        <v>67</v>
      </c>
      <c r="J73" s="4" t="s">
        <v>68</v>
      </c>
      <c r="K73" s="4" t="s">
        <v>69</v>
      </c>
      <c r="L73" s="4" t="s">
        <v>70</v>
      </c>
      <c r="M73" s="3" t="n">
        <v>1924.84</v>
      </c>
    </row>
    <row r="74" customFormat="false" ht="15" hidden="false" customHeight="false" outlineLevel="0" collapsed="false">
      <c r="A74" s="4" t="n">
        <v>4</v>
      </c>
      <c r="B74" s="4" t="s">
        <v>14</v>
      </c>
      <c r="C74" s="4" t="s">
        <v>62</v>
      </c>
      <c r="D74" s="4" t="s">
        <v>161</v>
      </c>
      <c r="E74" s="4" t="s">
        <v>78</v>
      </c>
      <c r="F74" s="4" t="s">
        <v>79</v>
      </c>
      <c r="G74" s="4" t="n">
        <v>30</v>
      </c>
      <c r="H74" s="4" t="s">
        <v>80</v>
      </c>
      <c r="I74" s="4" t="s">
        <v>67</v>
      </c>
      <c r="J74" s="4" t="s">
        <v>68</v>
      </c>
      <c r="K74" s="4" t="s">
        <v>69</v>
      </c>
      <c r="L74" s="4" t="s">
        <v>70</v>
      </c>
      <c r="M74" s="3" t="n">
        <v>3849.68</v>
      </c>
    </row>
    <row r="75" customFormat="false" ht="15" hidden="false" customHeight="false" outlineLevel="0" collapsed="false">
      <c r="A75" s="4" t="n">
        <v>4</v>
      </c>
      <c r="B75" s="4" t="s">
        <v>14</v>
      </c>
      <c r="C75" s="4" t="s">
        <v>62</v>
      </c>
      <c r="D75" s="4" t="s">
        <v>161</v>
      </c>
      <c r="E75" s="4" t="s">
        <v>81</v>
      </c>
      <c r="F75" s="4" t="s">
        <v>82</v>
      </c>
      <c r="G75" s="4" t="n">
        <v>0</v>
      </c>
      <c r="H75" s="4" t="s">
        <v>80</v>
      </c>
      <c r="I75" s="4" t="s">
        <v>67</v>
      </c>
      <c r="J75" s="4" t="s">
        <v>68</v>
      </c>
      <c r="K75" s="4" t="s">
        <v>69</v>
      </c>
      <c r="L75" s="4"/>
      <c r="M75" s="3" t="n">
        <v>1676.54</v>
      </c>
    </row>
    <row r="76" customFormat="false" ht="15" hidden="false" customHeight="false" outlineLevel="0" collapsed="false">
      <c r="A76" s="4" t="n">
        <v>4</v>
      </c>
      <c r="B76" s="4" t="s">
        <v>14</v>
      </c>
      <c r="C76" s="4" t="s">
        <v>62</v>
      </c>
      <c r="D76" s="4" t="s">
        <v>161</v>
      </c>
      <c r="E76" s="4" t="s">
        <v>83</v>
      </c>
      <c r="F76" s="4" t="s">
        <v>84</v>
      </c>
      <c r="G76" s="4" t="n">
        <v>10</v>
      </c>
      <c r="H76" s="4" t="s">
        <v>66</v>
      </c>
      <c r="I76" s="4" t="s">
        <v>67</v>
      </c>
      <c r="J76" s="4" t="s">
        <v>68</v>
      </c>
      <c r="K76" s="4" t="s">
        <v>69</v>
      </c>
      <c r="L76" s="4"/>
      <c r="M76" s="3" t="n">
        <v>1154.9</v>
      </c>
    </row>
    <row r="77" customFormat="false" ht="15" hidden="false" customHeight="false" outlineLevel="0" collapsed="false">
      <c r="A77" s="4" t="n">
        <v>4</v>
      </c>
      <c r="B77" s="4" t="s">
        <v>14</v>
      </c>
      <c r="C77" s="4" t="s">
        <v>62</v>
      </c>
      <c r="D77" s="4" t="s">
        <v>161</v>
      </c>
      <c r="E77" s="4" t="s">
        <v>85</v>
      </c>
      <c r="F77" s="4" t="s">
        <v>86</v>
      </c>
      <c r="G77" s="4" t="n">
        <v>19</v>
      </c>
      <c r="H77" s="4" t="s">
        <v>66</v>
      </c>
      <c r="I77" s="4" t="s">
        <v>67</v>
      </c>
      <c r="J77" s="4" t="s">
        <v>87</v>
      </c>
      <c r="K77" s="4" t="s">
        <v>88</v>
      </c>
      <c r="L77" s="4"/>
      <c r="M77" s="3" t="n">
        <v>552.72</v>
      </c>
    </row>
    <row r="78" customFormat="false" ht="15" hidden="false" customHeight="false" outlineLevel="0" collapsed="false">
      <c r="A78" s="4" t="n">
        <v>4</v>
      </c>
      <c r="B78" s="4" t="s">
        <v>14</v>
      </c>
      <c r="C78" s="4" t="s">
        <v>62</v>
      </c>
      <c r="D78" s="4" t="s">
        <v>161</v>
      </c>
      <c r="E78" s="4" t="s">
        <v>89</v>
      </c>
      <c r="F78" s="4" t="s">
        <v>90</v>
      </c>
      <c r="G78" s="4" t="n">
        <v>0</v>
      </c>
      <c r="H78" s="4" t="s">
        <v>163</v>
      </c>
      <c r="I78" s="4" t="s">
        <v>92</v>
      </c>
      <c r="J78" s="4" t="s">
        <v>93</v>
      </c>
      <c r="K78" s="4" t="s">
        <v>94</v>
      </c>
      <c r="L78" s="4"/>
      <c r="M78" s="3" t="n">
        <v>784.41</v>
      </c>
    </row>
    <row r="79" customFormat="false" ht="15" hidden="false" customHeight="false" outlineLevel="0" collapsed="false">
      <c r="A79" s="4" t="n">
        <v>4</v>
      </c>
      <c r="B79" s="4" t="s">
        <v>14</v>
      </c>
      <c r="C79" s="4" t="s">
        <v>62</v>
      </c>
      <c r="D79" s="4" t="s">
        <v>161</v>
      </c>
      <c r="E79" s="4" t="s">
        <v>95</v>
      </c>
      <c r="F79" s="4" t="s">
        <v>96</v>
      </c>
      <c r="G79" s="4" t="n">
        <v>0</v>
      </c>
      <c r="H79" s="4" t="s">
        <v>150</v>
      </c>
      <c r="I79" s="4" t="s">
        <v>92</v>
      </c>
      <c r="J79" s="4" t="s">
        <v>93</v>
      </c>
      <c r="K79" s="4" t="s">
        <v>94</v>
      </c>
      <c r="L79" s="4"/>
      <c r="M79" s="3" t="n">
        <v>1150.79</v>
      </c>
    </row>
    <row r="80" customFormat="false" ht="15" hidden="false" customHeight="false" outlineLevel="0" collapsed="false">
      <c r="A80" s="4" t="n">
        <v>4</v>
      </c>
      <c r="B80" s="4" t="s">
        <v>14</v>
      </c>
      <c r="C80" s="4" t="s">
        <v>62</v>
      </c>
      <c r="D80" s="4" t="s">
        <v>161</v>
      </c>
      <c r="E80" s="4" t="s">
        <v>98</v>
      </c>
      <c r="F80" s="4" t="s">
        <v>99</v>
      </c>
      <c r="G80" s="4" t="n">
        <v>0</v>
      </c>
      <c r="H80" s="4" t="s">
        <v>164</v>
      </c>
      <c r="I80" s="4" t="s">
        <v>92</v>
      </c>
      <c r="J80" s="4" t="s">
        <v>93</v>
      </c>
      <c r="K80" s="4" t="s">
        <v>94</v>
      </c>
      <c r="L80" s="4"/>
      <c r="M80" s="3" t="n">
        <v>804.69</v>
      </c>
    </row>
    <row r="81" customFormat="false" ht="15" hidden="false" customHeight="false" outlineLevel="0" collapsed="false">
      <c r="A81" s="4" t="n">
        <v>4</v>
      </c>
      <c r="B81" s="4" t="s">
        <v>14</v>
      </c>
      <c r="C81" s="4" t="s">
        <v>62</v>
      </c>
      <c r="D81" s="4" t="s">
        <v>161</v>
      </c>
      <c r="E81" s="4" t="s">
        <v>101</v>
      </c>
      <c r="F81" s="4" t="s">
        <v>102</v>
      </c>
      <c r="G81" s="4" t="n">
        <v>0</v>
      </c>
      <c r="H81" s="4" t="s">
        <v>165</v>
      </c>
      <c r="I81" s="4" t="s">
        <v>92</v>
      </c>
      <c r="J81" s="4" t="s">
        <v>93</v>
      </c>
      <c r="K81" s="4" t="s">
        <v>94</v>
      </c>
      <c r="L81" s="4"/>
      <c r="M81" s="3" t="n">
        <v>393.33</v>
      </c>
    </row>
    <row r="82" customFormat="false" ht="15" hidden="false" customHeight="false" outlineLevel="0" collapsed="false">
      <c r="A82" s="4" t="n">
        <v>4</v>
      </c>
      <c r="B82" s="4" t="s">
        <v>14</v>
      </c>
      <c r="C82" s="4" t="s">
        <v>62</v>
      </c>
      <c r="D82" s="4" t="s">
        <v>161</v>
      </c>
      <c r="E82" s="4" t="s">
        <v>104</v>
      </c>
      <c r="F82" s="4" t="s">
        <v>105</v>
      </c>
      <c r="G82" s="4" t="n">
        <v>0</v>
      </c>
      <c r="H82" s="4" t="s">
        <v>166</v>
      </c>
      <c r="I82" s="4" t="s">
        <v>92</v>
      </c>
      <c r="J82" s="4" t="s">
        <v>93</v>
      </c>
      <c r="K82" s="4" t="s">
        <v>94</v>
      </c>
      <c r="L82" s="4"/>
      <c r="M82" s="3" t="n">
        <v>212.04</v>
      </c>
    </row>
    <row r="83" customFormat="false" ht="15" hidden="false" customHeight="false" outlineLevel="0" collapsed="false">
      <c r="A83" s="4" t="n">
        <v>4</v>
      </c>
      <c r="B83" s="4" t="s">
        <v>14</v>
      </c>
      <c r="C83" s="4" t="s">
        <v>62</v>
      </c>
      <c r="D83" s="4" t="s">
        <v>161</v>
      </c>
      <c r="E83" s="4" t="s">
        <v>107</v>
      </c>
      <c r="F83" s="4" t="s">
        <v>108</v>
      </c>
      <c r="G83" s="4" t="n">
        <v>0</v>
      </c>
      <c r="H83" s="4" t="s">
        <v>167</v>
      </c>
      <c r="I83" s="4" t="s">
        <v>92</v>
      </c>
      <c r="J83" s="4" t="s">
        <v>93</v>
      </c>
      <c r="K83" s="4" t="s">
        <v>94</v>
      </c>
      <c r="L83" s="4"/>
      <c r="M83" s="3" t="n">
        <v>770.58</v>
      </c>
    </row>
    <row r="84" customFormat="false" ht="15" hidden="false" customHeight="false" outlineLevel="0" collapsed="false">
      <c r="A84" s="4" t="n">
        <v>4</v>
      </c>
      <c r="B84" s="4" t="s">
        <v>14</v>
      </c>
      <c r="C84" s="4" t="s">
        <v>62</v>
      </c>
      <c r="D84" s="4" t="s">
        <v>161</v>
      </c>
      <c r="E84" s="4" t="s">
        <v>110</v>
      </c>
      <c r="F84" s="4" t="s">
        <v>111</v>
      </c>
      <c r="G84" s="4" t="n">
        <v>0</v>
      </c>
      <c r="H84" s="4" t="s">
        <v>80</v>
      </c>
      <c r="I84" s="4" t="s">
        <v>92</v>
      </c>
      <c r="J84" s="4" t="s">
        <v>93</v>
      </c>
      <c r="K84" s="4" t="s">
        <v>94</v>
      </c>
      <c r="L84" s="4"/>
      <c r="M84" s="3" t="n">
        <v>67.06</v>
      </c>
    </row>
    <row r="85" customFormat="false" ht="15" hidden="false" customHeight="false" outlineLevel="0" collapsed="false">
      <c r="A85" s="4" t="n">
        <v>4</v>
      </c>
      <c r="B85" s="4" t="s">
        <v>14</v>
      </c>
      <c r="C85" s="4" t="s">
        <v>62</v>
      </c>
      <c r="D85" s="4" t="s">
        <v>161</v>
      </c>
      <c r="E85" s="4" t="s">
        <v>112</v>
      </c>
      <c r="F85" s="4" t="s">
        <v>113</v>
      </c>
      <c r="G85" s="4" t="n">
        <v>0</v>
      </c>
      <c r="H85" s="4" t="s">
        <v>168</v>
      </c>
      <c r="I85" s="4" t="s">
        <v>92</v>
      </c>
      <c r="J85" s="4" t="s">
        <v>93</v>
      </c>
      <c r="K85" s="4" t="s">
        <v>94</v>
      </c>
      <c r="L85" s="4"/>
      <c r="M85" s="3" t="n">
        <v>229.97</v>
      </c>
    </row>
    <row r="86" customFormat="false" ht="15" hidden="false" customHeight="false" outlineLevel="0" collapsed="false">
      <c r="A86" s="4" t="n">
        <v>4</v>
      </c>
      <c r="B86" s="4" t="s">
        <v>14</v>
      </c>
      <c r="C86" s="4" t="s">
        <v>62</v>
      </c>
      <c r="D86" s="4" t="s">
        <v>161</v>
      </c>
      <c r="E86" s="4" t="s">
        <v>115</v>
      </c>
      <c r="F86" s="4" t="s">
        <v>116</v>
      </c>
      <c r="G86" s="4" t="n">
        <v>0</v>
      </c>
      <c r="H86" s="4" t="s">
        <v>169</v>
      </c>
      <c r="I86" s="4" t="s">
        <v>92</v>
      </c>
      <c r="J86" s="4" t="s">
        <v>93</v>
      </c>
      <c r="K86" s="4" t="s">
        <v>94</v>
      </c>
      <c r="L86" s="4"/>
      <c r="M86" s="3" t="n">
        <v>398.26</v>
      </c>
    </row>
    <row r="87" customFormat="false" ht="15" hidden="false" customHeight="false" outlineLevel="0" collapsed="false">
      <c r="A87" s="4" t="n">
        <v>4</v>
      </c>
      <c r="B87" s="4" t="s">
        <v>14</v>
      </c>
      <c r="C87" s="4" t="s">
        <v>62</v>
      </c>
      <c r="D87" s="4" t="s">
        <v>161</v>
      </c>
      <c r="E87" s="4" t="s">
        <v>118</v>
      </c>
      <c r="F87" s="4" t="s">
        <v>119</v>
      </c>
      <c r="G87" s="4" t="n">
        <v>0</v>
      </c>
      <c r="H87" s="4" t="s">
        <v>133</v>
      </c>
      <c r="I87" s="4" t="s">
        <v>92</v>
      </c>
      <c r="J87" s="4" t="s">
        <v>93</v>
      </c>
      <c r="K87" s="4" t="s">
        <v>94</v>
      </c>
      <c r="L87" s="4"/>
      <c r="M87" s="3" t="n">
        <v>463.21</v>
      </c>
    </row>
    <row r="88" customFormat="false" ht="15" hidden="false" customHeight="false" outlineLevel="0" collapsed="false">
      <c r="A88" s="4" t="n">
        <v>4</v>
      </c>
      <c r="B88" s="4" t="s">
        <v>14</v>
      </c>
      <c r="C88" s="4" t="s">
        <v>62</v>
      </c>
      <c r="D88" s="4" t="s">
        <v>161</v>
      </c>
      <c r="E88" s="4" t="s">
        <v>121</v>
      </c>
      <c r="F88" s="4" t="s">
        <v>122</v>
      </c>
      <c r="G88" s="4" t="n">
        <v>1400</v>
      </c>
      <c r="H88" s="4" t="s">
        <v>66</v>
      </c>
      <c r="I88" s="4" t="s">
        <v>92</v>
      </c>
      <c r="J88" s="4" t="s">
        <v>123</v>
      </c>
      <c r="K88" s="4" t="s">
        <v>124</v>
      </c>
      <c r="L88" s="4"/>
      <c r="M88" s="3" t="n">
        <v>2604.95</v>
      </c>
    </row>
    <row r="89" customFormat="false" ht="15" hidden="false" customHeight="false" outlineLevel="0" collapsed="false">
      <c r="A89" s="12" t="n">
        <v>4</v>
      </c>
      <c r="B89" s="12" t="s">
        <v>14</v>
      </c>
      <c r="C89" s="12" t="s">
        <v>62</v>
      </c>
      <c r="D89" s="12" t="s">
        <v>161</v>
      </c>
      <c r="E89" s="12" t="s">
        <v>125</v>
      </c>
      <c r="F89" s="12" t="s">
        <v>126</v>
      </c>
      <c r="G89" s="12" t="n">
        <v>2750</v>
      </c>
      <c r="H89" s="12" t="s">
        <v>66</v>
      </c>
      <c r="I89" s="12" t="s">
        <v>92</v>
      </c>
      <c r="J89" s="12" t="s">
        <v>127</v>
      </c>
      <c r="K89" s="12" t="s">
        <v>128</v>
      </c>
      <c r="L89" s="12"/>
      <c r="M89" s="13" t="n">
        <v>4871.91</v>
      </c>
    </row>
    <row r="90" customFormat="false" ht="15" hidden="false" customHeight="false" outlineLevel="0" collapsed="false">
      <c r="A90" s="4" t="n">
        <v>4</v>
      </c>
      <c r="B90" s="4" t="s">
        <v>14</v>
      </c>
      <c r="C90" s="4" t="s">
        <v>139</v>
      </c>
      <c r="D90" s="4" t="s">
        <v>170</v>
      </c>
      <c r="E90" s="4" t="s">
        <v>157</v>
      </c>
      <c r="F90" s="4" t="s">
        <v>158</v>
      </c>
      <c r="G90" s="4" t="n">
        <v>2151</v>
      </c>
      <c r="H90" s="4" t="s">
        <v>143</v>
      </c>
      <c r="I90" s="4" t="s">
        <v>67</v>
      </c>
      <c r="J90" s="4" t="s">
        <v>144</v>
      </c>
      <c r="K90" s="4" t="s">
        <v>69</v>
      </c>
      <c r="L90" s="4"/>
      <c r="M90" s="3" t="n">
        <v>1535.17</v>
      </c>
    </row>
    <row r="91" customFormat="false" ht="15" hidden="false" customHeight="false" outlineLevel="0" collapsed="false">
      <c r="A91" s="4" t="n">
        <v>4</v>
      </c>
      <c r="B91" s="4" t="s">
        <v>14</v>
      </c>
      <c r="C91" s="4" t="s">
        <v>139</v>
      </c>
      <c r="D91" s="4" t="s">
        <v>170</v>
      </c>
      <c r="E91" s="4" t="s">
        <v>159</v>
      </c>
      <c r="F91" s="4" t="s">
        <v>160</v>
      </c>
      <c r="G91" s="4" t="n">
        <v>4620</v>
      </c>
      <c r="H91" s="4" t="s">
        <v>143</v>
      </c>
      <c r="I91" s="4" t="s">
        <v>67</v>
      </c>
      <c r="J91" s="4" t="s">
        <v>144</v>
      </c>
      <c r="K91" s="4" t="s">
        <v>69</v>
      </c>
      <c r="L91" s="4"/>
      <c r="M91" s="3" t="n">
        <v>4068.99</v>
      </c>
    </row>
    <row r="92" customFormat="false" ht="15" hidden="false" customHeight="false" outlineLevel="0" collapsed="false">
      <c r="A92" s="12" t="n">
        <v>4</v>
      </c>
      <c r="B92" s="12" t="s">
        <v>14</v>
      </c>
      <c r="C92" s="12" t="s">
        <v>139</v>
      </c>
      <c r="D92" s="12" t="s">
        <v>170</v>
      </c>
      <c r="E92" s="12" t="s">
        <v>125</v>
      </c>
      <c r="F92" s="12" t="s">
        <v>126</v>
      </c>
      <c r="G92" s="12" t="n">
        <v>2750</v>
      </c>
      <c r="H92" s="12" t="s">
        <v>66</v>
      </c>
      <c r="I92" s="12" t="s">
        <v>92</v>
      </c>
      <c r="J92" s="12" t="s">
        <v>127</v>
      </c>
      <c r="K92" s="12" t="s">
        <v>128</v>
      </c>
      <c r="L92" s="12"/>
      <c r="M92" s="13" t="n">
        <v>1541.15</v>
      </c>
    </row>
    <row r="93" customFormat="false" ht="15" hidden="false" customHeight="false" outlineLevel="0" collapsed="false">
      <c r="A93" s="4" t="n">
        <v>5</v>
      </c>
      <c r="B93" s="4" t="s">
        <v>15</v>
      </c>
      <c r="C93" s="4" t="s">
        <v>62</v>
      </c>
      <c r="D93" s="4" t="s">
        <v>171</v>
      </c>
      <c r="E93" s="4" t="s">
        <v>64</v>
      </c>
      <c r="F93" s="4" t="s">
        <v>65</v>
      </c>
      <c r="G93" s="4" t="n">
        <v>0</v>
      </c>
      <c r="H93" s="4" t="s">
        <v>66</v>
      </c>
      <c r="I93" s="4" t="s">
        <v>67</v>
      </c>
      <c r="J93" s="4" t="s">
        <v>68</v>
      </c>
      <c r="K93" s="4" t="s">
        <v>69</v>
      </c>
      <c r="L93" s="4" t="s">
        <v>70</v>
      </c>
      <c r="M93" s="3" t="n">
        <v>12887.59</v>
      </c>
    </row>
    <row r="94" customFormat="false" ht="15" hidden="false" customHeight="false" outlineLevel="0" collapsed="false">
      <c r="A94" s="4" t="n">
        <v>5</v>
      </c>
      <c r="B94" s="4" t="s">
        <v>15</v>
      </c>
      <c r="C94" s="4" t="s">
        <v>62</v>
      </c>
      <c r="D94" s="4" t="s">
        <v>171</v>
      </c>
      <c r="E94" s="4" t="s">
        <v>71</v>
      </c>
      <c r="F94" s="4" t="s">
        <v>72</v>
      </c>
      <c r="G94" s="4" t="n">
        <v>1000</v>
      </c>
      <c r="H94" s="4" t="s">
        <v>66</v>
      </c>
      <c r="I94" s="4" t="s">
        <v>67</v>
      </c>
      <c r="J94" s="4" t="s">
        <v>68</v>
      </c>
      <c r="K94" s="4" t="s">
        <v>69</v>
      </c>
      <c r="L94" s="4"/>
      <c r="M94" s="3" t="n">
        <v>1288.75</v>
      </c>
    </row>
    <row r="95" customFormat="false" ht="15" hidden="false" customHeight="false" outlineLevel="0" collapsed="false">
      <c r="A95" s="4" t="n">
        <v>5</v>
      </c>
      <c r="B95" s="4" t="s">
        <v>15</v>
      </c>
      <c r="C95" s="4" t="s">
        <v>62</v>
      </c>
      <c r="D95" s="4" t="s">
        <v>171</v>
      </c>
      <c r="E95" s="4" t="s">
        <v>73</v>
      </c>
      <c r="F95" s="4" t="s">
        <v>74</v>
      </c>
      <c r="G95" s="4" t="n">
        <v>1000</v>
      </c>
      <c r="H95" s="4" t="s">
        <v>143</v>
      </c>
      <c r="I95" s="4" t="s">
        <v>67</v>
      </c>
      <c r="J95" s="4" t="s">
        <v>68</v>
      </c>
      <c r="K95" s="4" t="s">
        <v>69</v>
      </c>
      <c r="L95" s="4"/>
      <c r="M95" s="3" t="n">
        <v>1288.75</v>
      </c>
    </row>
    <row r="96" customFormat="false" ht="15" hidden="false" customHeight="false" outlineLevel="0" collapsed="false">
      <c r="A96" s="4" t="n">
        <v>5</v>
      </c>
      <c r="B96" s="4" t="s">
        <v>15</v>
      </c>
      <c r="C96" s="4" t="s">
        <v>62</v>
      </c>
      <c r="D96" s="4" t="s">
        <v>171</v>
      </c>
      <c r="E96" s="4" t="s">
        <v>76</v>
      </c>
      <c r="F96" s="4" t="s">
        <v>77</v>
      </c>
      <c r="G96" s="4" t="n">
        <v>15</v>
      </c>
      <c r="H96" s="4" t="s">
        <v>66</v>
      </c>
      <c r="I96" s="4" t="s">
        <v>67</v>
      </c>
      <c r="J96" s="4" t="s">
        <v>68</v>
      </c>
      <c r="K96" s="4" t="s">
        <v>69</v>
      </c>
      <c r="L96" s="4" t="s">
        <v>70</v>
      </c>
      <c r="M96" s="3" t="n">
        <v>1933.13</v>
      </c>
    </row>
    <row r="97" customFormat="false" ht="15" hidden="false" customHeight="false" outlineLevel="0" collapsed="false">
      <c r="A97" s="4" t="n">
        <v>5</v>
      </c>
      <c r="B97" s="4" t="s">
        <v>15</v>
      </c>
      <c r="C97" s="4" t="s">
        <v>62</v>
      </c>
      <c r="D97" s="4" t="s">
        <v>171</v>
      </c>
      <c r="E97" s="4" t="s">
        <v>78</v>
      </c>
      <c r="F97" s="4" t="s">
        <v>79</v>
      </c>
      <c r="G97" s="4" t="n">
        <v>30</v>
      </c>
      <c r="H97" s="4" t="s">
        <v>80</v>
      </c>
      <c r="I97" s="4" t="s">
        <v>67</v>
      </c>
      <c r="J97" s="4" t="s">
        <v>68</v>
      </c>
      <c r="K97" s="4" t="s">
        <v>69</v>
      </c>
      <c r="L97" s="4" t="s">
        <v>70</v>
      </c>
      <c r="M97" s="3" t="n">
        <v>3866.27</v>
      </c>
    </row>
    <row r="98" customFormat="false" ht="15" hidden="false" customHeight="false" outlineLevel="0" collapsed="false">
      <c r="A98" s="4" t="n">
        <v>5</v>
      </c>
      <c r="B98" s="4" t="s">
        <v>15</v>
      </c>
      <c r="C98" s="4" t="s">
        <v>62</v>
      </c>
      <c r="D98" s="4" t="s">
        <v>171</v>
      </c>
      <c r="E98" s="4" t="s">
        <v>81</v>
      </c>
      <c r="F98" s="4" t="s">
        <v>82</v>
      </c>
      <c r="G98" s="4" t="n">
        <v>0</v>
      </c>
      <c r="H98" s="4" t="s">
        <v>80</v>
      </c>
      <c r="I98" s="4" t="s">
        <v>67</v>
      </c>
      <c r="J98" s="4" t="s">
        <v>68</v>
      </c>
      <c r="K98" s="4" t="s">
        <v>69</v>
      </c>
      <c r="L98" s="4"/>
      <c r="M98" s="3" t="n">
        <v>1676.54</v>
      </c>
    </row>
    <row r="99" customFormat="false" ht="15" hidden="false" customHeight="false" outlineLevel="0" collapsed="false">
      <c r="A99" s="4" t="n">
        <v>5</v>
      </c>
      <c r="B99" s="4" t="s">
        <v>15</v>
      </c>
      <c r="C99" s="4" t="s">
        <v>62</v>
      </c>
      <c r="D99" s="4" t="s">
        <v>171</v>
      </c>
      <c r="E99" s="4" t="s">
        <v>83</v>
      </c>
      <c r="F99" s="4" t="s">
        <v>84</v>
      </c>
      <c r="G99" s="4" t="n">
        <v>10</v>
      </c>
      <c r="H99" s="4" t="s">
        <v>66</v>
      </c>
      <c r="I99" s="4" t="s">
        <v>67</v>
      </c>
      <c r="J99" s="4" t="s">
        <v>68</v>
      </c>
      <c r="K99" s="4" t="s">
        <v>69</v>
      </c>
      <c r="L99" s="4"/>
      <c r="M99" s="3" t="n">
        <v>1288.75</v>
      </c>
    </row>
    <row r="100" customFormat="false" ht="15" hidden="false" customHeight="false" outlineLevel="0" collapsed="false">
      <c r="A100" s="4" t="n">
        <v>5</v>
      </c>
      <c r="B100" s="4" t="s">
        <v>15</v>
      </c>
      <c r="C100" s="4" t="s">
        <v>62</v>
      </c>
      <c r="D100" s="4" t="s">
        <v>171</v>
      </c>
      <c r="E100" s="4" t="s">
        <v>85</v>
      </c>
      <c r="F100" s="4" t="s">
        <v>86</v>
      </c>
      <c r="G100" s="4" t="n">
        <v>22</v>
      </c>
      <c r="H100" s="4" t="s">
        <v>66</v>
      </c>
      <c r="I100" s="4" t="s">
        <v>67</v>
      </c>
      <c r="J100" s="4" t="s">
        <v>87</v>
      </c>
      <c r="K100" s="4" t="s">
        <v>88</v>
      </c>
      <c r="L100" s="4"/>
      <c r="M100" s="3" t="n">
        <v>640</v>
      </c>
    </row>
    <row r="101" customFormat="false" ht="15" hidden="false" customHeight="false" outlineLevel="0" collapsed="false">
      <c r="A101" s="4" t="n">
        <v>5</v>
      </c>
      <c r="B101" s="4" t="s">
        <v>15</v>
      </c>
      <c r="C101" s="4" t="s">
        <v>62</v>
      </c>
      <c r="D101" s="4" t="s">
        <v>171</v>
      </c>
      <c r="E101" s="4" t="s">
        <v>89</v>
      </c>
      <c r="F101" s="4" t="s">
        <v>90</v>
      </c>
      <c r="G101" s="4" t="n">
        <v>0</v>
      </c>
      <c r="H101" s="4" t="s">
        <v>172</v>
      </c>
      <c r="I101" s="4" t="s">
        <v>92</v>
      </c>
      <c r="J101" s="4" t="s">
        <v>93</v>
      </c>
      <c r="K101" s="4" t="s">
        <v>94</v>
      </c>
      <c r="L101" s="4"/>
      <c r="M101" s="3" t="n">
        <v>784.41</v>
      </c>
    </row>
    <row r="102" customFormat="false" ht="15" hidden="false" customHeight="false" outlineLevel="0" collapsed="false">
      <c r="A102" s="4" t="n">
        <v>5</v>
      </c>
      <c r="B102" s="4" t="s">
        <v>15</v>
      </c>
      <c r="C102" s="4" t="s">
        <v>62</v>
      </c>
      <c r="D102" s="4" t="s">
        <v>171</v>
      </c>
      <c r="E102" s="4" t="s">
        <v>95</v>
      </c>
      <c r="F102" s="4" t="s">
        <v>96</v>
      </c>
      <c r="G102" s="4" t="n">
        <v>0</v>
      </c>
      <c r="H102" s="4" t="s">
        <v>164</v>
      </c>
      <c r="I102" s="4" t="s">
        <v>92</v>
      </c>
      <c r="J102" s="4" t="s">
        <v>93</v>
      </c>
      <c r="K102" s="4" t="s">
        <v>94</v>
      </c>
      <c r="L102" s="4"/>
      <c r="M102" s="3" t="n">
        <v>1150.79</v>
      </c>
    </row>
    <row r="103" customFormat="false" ht="15" hidden="false" customHeight="false" outlineLevel="0" collapsed="false">
      <c r="A103" s="4" t="n">
        <v>5</v>
      </c>
      <c r="B103" s="4" t="s">
        <v>15</v>
      </c>
      <c r="C103" s="4" t="s">
        <v>62</v>
      </c>
      <c r="D103" s="4" t="s">
        <v>171</v>
      </c>
      <c r="E103" s="4" t="s">
        <v>98</v>
      </c>
      <c r="F103" s="4" t="s">
        <v>99</v>
      </c>
      <c r="G103" s="4" t="n">
        <v>0</v>
      </c>
      <c r="H103" s="4" t="s">
        <v>173</v>
      </c>
      <c r="I103" s="4" t="s">
        <v>92</v>
      </c>
      <c r="J103" s="4" t="s">
        <v>93</v>
      </c>
      <c r="K103" s="4" t="s">
        <v>94</v>
      </c>
      <c r="L103" s="4"/>
      <c r="M103" s="3" t="n">
        <v>804.69</v>
      </c>
    </row>
    <row r="104" customFormat="false" ht="15" hidden="false" customHeight="false" outlineLevel="0" collapsed="false">
      <c r="A104" s="4" t="n">
        <v>5</v>
      </c>
      <c r="B104" s="4" t="s">
        <v>15</v>
      </c>
      <c r="C104" s="4" t="s">
        <v>62</v>
      </c>
      <c r="D104" s="4" t="s">
        <v>171</v>
      </c>
      <c r="E104" s="4" t="s">
        <v>101</v>
      </c>
      <c r="F104" s="4" t="s">
        <v>102</v>
      </c>
      <c r="G104" s="4" t="n">
        <v>0</v>
      </c>
      <c r="H104" s="4" t="s">
        <v>174</v>
      </c>
      <c r="I104" s="4" t="s">
        <v>92</v>
      </c>
      <c r="J104" s="4" t="s">
        <v>93</v>
      </c>
      <c r="K104" s="4" t="s">
        <v>94</v>
      </c>
      <c r="L104" s="4"/>
      <c r="M104" s="3" t="n">
        <v>393.33</v>
      </c>
    </row>
    <row r="105" customFormat="false" ht="15" hidden="false" customHeight="false" outlineLevel="0" collapsed="false">
      <c r="A105" s="4" t="n">
        <v>5</v>
      </c>
      <c r="B105" s="4" t="s">
        <v>15</v>
      </c>
      <c r="C105" s="4" t="s">
        <v>62</v>
      </c>
      <c r="D105" s="4" t="s">
        <v>171</v>
      </c>
      <c r="E105" s="4" t="s">
        <v>104</v>
      </c>
      <c r="F105" s="4" t="s">
        <v>105</v>
      </c>
      <c r="G105" s="4" t="n">
        <v>0</v>
      </c>
      <c r="H105" s="4" t="s">
        <v>175</v>
      </c>
      <c r="I105" s="4" t="s">
        <v>92</v>
      </c>
      <c r="J105" s="4" t="s">
        <v>93</v>
      </c>
      <c r="K105" s="4" t="s">
        <v>94</v>
      </c>
      <c r="L105" s="4"/>
      <c r="M105" s="3" t="n">
        <v>212.04</v>
      </c>
    </row>
    <row r="106" customFormat="false" ht="15" hidden="false" customHeight="false" outlineLevel="0" collapsed="false">
      <c r="A106" s="4" t="n">
        <v>5</v>
      </c>
      <c r="B106" s="4" t="s">
        <v>15</v>
      </c>
      <c r="C106" s="4" t="s">
        <v>62</v>
      </c>
      <c r="D106" s="4" t="s">
        <v>171</v>
      </c>
      <c r="E106" s="4" t="s">
        <v>107</v>
      </c>
      <c r="F106" s="4" t="s">
        <v>108</v>
      </c>
      <c r="G106" s="4" t="n">
        <v>0</v>
      </c>
      <c r="H106" s="4" t="s">
        <v>176</v>
      </c>
      <c r="I106" s="4" t="s">
        <v>92</v>
      </c>
      <c r="J106" s="4" t="s">
        <v>93</v>
      </c>
      <c r="K106" s="4" t="s">
        <v>94</v>
      </c>
      <c r="L106" s="4"/>
      <c r="M106" s="3" t="n">
        <v>770.58</v>
      </c>
    </row>
    <row r="107" customFormat="false" ht="15" hidden="false" customHeight="false" outlineLevel="0" collapsed="false">
      <c r="A107" s="4" t="n">
        <v>5</v>
      </c>
      <c r="B107" s="4" t="s">
        <v>15</v>
      </c>
      <c r="C107" s="4" t="s">
        <v>62</v>
      </c>
      <c r="D107" s="4" t="s">
        <v>171</v>
      </c>
      <c r="E107" s="4" t="s">
        <v>110</v>
      </c>
      <c r="F107" s="4" t="s">
        <v>111</v>
      </c>
      <c r="G107" s="4" t="n">
        <v>0</v>
      </c>
      <c r="H107" s="4" t="s">
        <v>80</v>
      </c>
      <c r="I107" s="4" t="s">
        <v>92</v>
      </c>
      <c r="J107" s="4" t="s">
        <v>93</v>
      </c>
      <c r="K107" s="4" t="s">
        <v>94</v>
      </c>
      <c r="L107" s="4"/>
      <c r="M107" s="3" t="n">
        <v>67.06</v>
      </c>
    </row>
    <row r="108" customFormat="false" ht="15" hidden="false" customHeight="false" outlineLevel="0" collapsed="false">
      <c r="A108" s="4" t="n">
        <v>5</v>
      </c>
      <c r="B108" s="4" t="s">
        <v>15</v>
      </c>
      <c r="C108" s="4" t="s">
        <v>62</v>
      </c>
      <c r="D108" s="4" t="s">
        <v>171</v>
      </c>
      <c r="E108" s="4" t="s">
        <v>112</v>
      </c>
      <c r="F108" s="4" t="s">
        <v>113</v>
      </c>
      <c r="G108" s="4" t="n">
        <v>0</v>
      </c>
      <c r="H108" s="4" t="s">
        <v>177</v>
      </c>
      <c r="I108" s="4" t="s">
        <v>92</v>
      </c>
      <c r="J108" s="4" t="s">
        <v>93</v>
      </c>
      <c r="K108" s="4" t="s">
        <v>94</v>
      </c>
      <c r="L108" s="4"/>
      <c r="M108" s="3" t="n">
        <v>229.97</v>
      </c>
    </row>
    <row r="109" customFormat="false" ht="15" hidden="false" customHeight="false" outlineLevel="0" collapsed="false">
      <c r="A109" s="4" t="n">
        <v>5</v>
      </c>
      <c r="B109" s="4" t="s">
        <v>15</v>
      </c>
      <c r="C109" s="4" t="s">
        <v>62</v>
      </c>
      <c r="D109" s="4" t="s">
        <v>171</v>
      </c>
      <c r="E109" s="4" t="s">
        <v>115</v>
      </c>
      <c r="F109" s="4" t="s">
        <v>116</v>
      </c>
      <c r="G109" s="4" t="n">
        <v>0</v>
      </c>
      <c r="H109" s="4" t="s">
        <v>178</v>
      </c>
      <c r="I109" s="4" t="s">
        <v>92</v>
      </c>
      <c r="J109" s="4" t="s">
        <v>93</v>
      </c>
      <c r="K109" s="4" t="s">
        <v>94</v>
      </c>
      <c r="L109" s="4"/>
      <c r="M109" s="3" t="n">
        <v>398.26</v>
      </c>
    </row>
    <row r="110" customFormat="false" ht="15" hidden="false" customHeight="false" outlineLevel="0" collapsed="false">
      <c r="A110" s="4" t="n">
        <v>5</v>
      </c>
      <c r="B110" s="4" t="s">
        <v>15</v>
      </c>
      <c r="C110" s="4" t="s">
        <v>62</v>
      </c>
      <c r="D110" s="4" t="s">
        <v>171</v>
      </c>
      <c r="E110" s="4" t="s">
        <v>118</v>
      </c>
      <c r="F110" s="4" t="s">
        <v>119</v>
      </c>
      <c r="G110" s="4" t="n">
        <v>0</v>
      </c>
      <c r="H110" s="4" t="s">
        <v>151</v>
      </c>
      <c r="I110" s="4" t="s">
        <v>92</v>
      </c>
      <c r="J110" s="4" t="s">
        <v>93</v>
      </c>
      <c r="K110" s="4" t="s">
        <v>94</v>
      </c>
      <c r="L110" s="4"/>
      <c r="M110" s="3" t="n">
        <v>463.21</v>
      </c>
    </row>
    <row r="111" customFormat="false" ht="15" hidden="false" customHeight="false" outlineLevel="0" collapsed="false">
      <c r="A111" s="4" t="n">
        <v>5</v>
      </c>
      <c r="B111" s="4" t="s">
        <v>15</v>
      </c>
      <c r="C111" s="4" t="s">
        <v>62</v>
      </c>
      <c r="D111" s="4" t="s">
        <v>171</v>
      </c>
      <c r="E111" s="4" t="s">
        <v>121</v>
      </c>
      <c r="F111" s="4" t="s">
        <v>122</v>
      </c>
      <c r="G111" s="4" t="n">
        <v>1400</v>
      </c>
      <c r="H111" s="4" t="s">
        <v>66</v>
      </c>
      <c r="I111" s="4" t="s">
        <v>92</v>
      </c>
      <c r="J111" s="4" t="s">
        <v>123</v>
      </c>
      <c r="K111" s="4" t="s">
        <v>124</v>
      </c>
      <c r="L111" s="4"/>
      <c r="M111" s="3" t="n">
        <v>2616.17</v>
      </c>
    </row>
    <row r="112" customFormat="false" ht="15" hidden="false" customHeight="false" outlineLevel="0" collapsed="false">
      <c r="A112" s="12" t="n">
        <v>5</v>
      </c>
      <c r="B112" s="12" t="s">
        <v>15</v>
      </c>
      <c r="C112" s="12" t="s">
        <v>62</v>
      </c>
      <c r="D112" s="12" t="s">
        <v>171</v>
      </c>
      <c r="E112" s="12" t="s">
        <v>125</v>
      </c>
      <c r="F112" s="12" t="s">
        <v>126</v>
      </c>
      <c r="G112" s="12" t="n">
        <v>2750</v>
      </c>
      <c r="H112" s="12" t="s">
        <v>66</v>
      </c>
      <c r="I112" s="12" t="s">
        <v>92</v>
      </c>
      <c r="J112" s="12" t="s">
        <v>127</v>
      </c>
      <c r="K112" s="12" t="s">
        <v>128</v>
      </c>
      <c r="L112" s="12"/>
      <c r="M112" s="13" t="n">
        <v>4930.73</v>
      </c>
    </row>
    <row r="113" customFormat="false" ht="15" hidden="false" customHeight="false" outlineLevel="0" collapsed="false">
      <c r="A113" s="4" t="n">
        <v>5</v>
      </c>
      <c r="B113" s="4" t="s">
        <v>15</v>
      </c>
      <c r="C113" s="4" t="s">
        <v>139</v>
      </c>
      <c r="D113" s="4" t="s">
        <v>179</v>
      </c>
      <c r="E113" s="4" t="s">
        <v>157</v>
      </c>
      <c r="F113" s="4" t="s">
        <v>158</v>
      </c>
      <c r="G113" s="4" t="n">
        <v>5344</v>
      </c>
      <c r="H113" s="4" t="s">
        <v>143</v>
      </c>
      <c r="I113" s="4" t="s">
        <v>67</v>
      </c>
      <c r="J113" s="4" t="s">
        <v>144</v>
      </c>
      <c r="K113" s="4" t="s">
        <v>69</v>
      </c>
      <c r="L113" s="4"/>
      <c r="M113" s="3" t="n">
        <v>3775.29</v>
      </c>
    </row>
    <row r="114" customFormat="false" ht="15" hidden="false" customHeight="false" outlineLevel="0" collapsed="false">
      <c r="A114" s="4" t="n">
        <v>5</v>
      </c>
      <c r="B114" s="4" t="s">
        <v>15</v>
      </c>
      <c r="C114" s="4" t="s">
        <v>139</v>
      </c>
      <c r="D114" s="4" t="s">
        <v>179</v>
      </c>
      <c r="E114" s="4" t="s">
        <v>159</v>
      </c>
      <c r="F114" s="4" t="s">
        <v>160</v>
      </c>
      <c r="G114" s="4" t="n">
        <v>3431</v>
      </c>
      <c r="H114" s="4" t="s">
        <v>143</v>
      </c>
      <c r="I114" s="4" t="s">
        <v>67</v>
      </c>
      <c r="J114" s="4" t="s">
        <v>144</v>
      </c>
      <c r="K114" s="4" t="s">
        <v>69</v>
      </c>
      <c r="L114" s="4"/>
      <c r="M114" s="3" t="n">
        <v>3031.24</v>
      </c>
    </row>
    <row r="115" customFormat="false" ht="15" hidden="false" customHeight="false" outlineLevel="0" collapsed="false">
      <c r="A115" s="12" t="n">
        <v>5</v>
      </c>
      <c r="B115" s="12" t="s">
        <v>15</v>
      </c>
      <c r="C115" s="12" t="s">
        <v>139</v>
      </c>
      <c r="D115" s="12" t="s">
        <v>179</v>
      </c>
      <c r="E115" s="12" t="s">
        <v>125</v>
      </c>
      <c r="F115" s="12" t="s">
        <v>126</v>
      </c>
      <c r="G115" s="12" t="n">
        <v>2750</v>
      </c>
      <c r="H115" s="12" t="s">
        <v>66</v>
      </c>
      <c r="I115" s="12" t="s">
        <v>92</v>
      </c>
      <c r="J115" s="12" t="s">
        <v>127</v>
      </c>
      <c r="K115" s="12" t="s">
        <v>128</v>
      </c>
      <c r="L115" s="12"/>
      <c r="M115" s="13" t="n">
        <v>1871.8</v>
      </c>
    </row>
    <row r="116" customFormat="false" ht="15" hidden="false" customHeight="false" outlineLevel="0" collapsed="false">
      <c r="A116" s="4" t="n">
        <v>6</v>
      </c>
      <c r="B116" s="4" t="s">
        <v>16</v>
      </c>
      <c r="C116" s="4" t="s">
        <v>62</v>
      </c>
      <c r="D116" s="4" t="s">
        <v>180</v>
      </c>
      <c r="E116" s="4" t="s">
        <v>64</v>
      </c>
      <c r="F116" s="4" t="s">
        <v>65</v>
      </c>
      <c r="G116" s="4" t="n">
        <v>0</v>
      </c>
      <c r="H116" s="4" t="s">
        <v>66</v>
      </c>
      <c r="I116" s="4" t="s">
        <v>67</v>
      </c>
      <c r="J116" s="4" t="s">
        <v>68</v>
      </c>
      <c r="K116" s="4" t="s">
        <v>69</v>
      </c>
      <c r="L116" s="4" t="s">
        <v>70</v>
      </c>
      <c r="M116" s="3" t="n">
        <v>13247.18</v>
      </c>
    </row>
    <row r="117" customFormat="false" ht="15" hidden="false" customHeight="false" outlineLevel="0" collapsed="false">
      <c r="A117" s="4" t="n">
        <v>6</v>
      </c>
      <c r="B117" s="4" t="s">
        <v>16</v>
      </c>
      <c r="C117" s="4" t="s">
        <v>62</v>
      </c>
      <c r="D117" s="4" t="s">
        <v>180</v>
      </c>
      <c r="E117" s="4" t="s">
        <v>71</v>
      </c>
      <c r="F117" s="4" t="s">
        <v>72</v>
      </c>
      <c r="G117" s="4" t="n">
        <v>1000</v>
      </c>
      <c r="H117" s="4" t="s">
        <v>66</v>
      </c>
      <c r="I117" s="4" t="s">
        <v>67</v>
      </c>
      <c r="J117" s="4" t="s">
        <v>68</v>
      </c>
      <c r="K117" s="4" t="s">
        <v>69</v>
      </c>
      <c r="L117" s="4"/>
      <c r="M117" s="3" t="n">
        <v>1324.71</v>
      </c>
    </row>
    <row r="118" customFormat="false" ht="15" hidden="false" customHeight="false" outlineLevel="0" collapsed="false">
      <c r="A118" s="4" t="n">
        <v>6</v>
      </c>
      <c r="B118" s="4" t="s">
        <v>16</v>
      </c>
      <c r="C118" s="4" t="s">
        <v>62</v>
      </c>
      <c r="D118" s="4" t="s">
        <v>180</v>
      </c>
      <c r="E118" s="4" t="s">
        <v>76</v>
      </c>
      <c r="F118" s="4" t="s">
        <v>77</v>
      </c>
      <c r="G118" s="4" t="n">
        <v>15</v>
      </c>
      <c r="H118" s="4" t="s">
        <v>66</v>
      </c>
      <c r="I118" s="4" t="s">
        <v>67</v>
      </c>
      <c r="J118" s="4" t="s">
        <v>68</v>
      </c>
      <c r="K118" s="4" t="s">
        <v>69</v>
      </c>
      <c r="L118" s="4" t="s">
        <v>70</v>
      </c>
      <c r="M118" s="3" t="n">
        <v>1987.07</v>
      </c>
    </row>
    <row r="119" customFormat="false" ht="15" hidden="false" customHeight="false" outlineLevel="0" collapsed="false">
      <c r="A119" s="4" t="n">
        <v>6</v>
      </c>
      <c r="B119" s="4" t="s">
        <v>16</v>
      </c>
      <c r="C119" s="4" t="s">
        <v>62</v>
      </c>
      <c r="D119" s="4" t="s">
        <v>180</v>
      </c>
      <c r="E119" s="4" t="s">
        <v>78</v>
      </c>
      <c r="F119" s="4" t="s">
        <v>79</v>
      </c>
      <c r="G119" s="4" t="n">
        <v>30</v>
      </c>
      <c r="H119" s="4" t="s">
        <v>80</v>
      </c>
      <c r="I119" s="4" t="s">
        <v>67</v>
      </c>
      <c r="J119" s="4" t="s">
        <v>68</v>
      </c>
      <c r="K119" s="4" t="s">
        <v>69</v>
      </c>
      <c r="L119" s="4" t="s">
        <v>70</v>
      </c>
      <c r="M119" s="3" t="n">
        <v>3974.15</v>
      </c>
    </row>
    <row r="120" customFormat="false" ht="15" hidden="false" customHeight="false" outlineLevel="0" collapsed="false">
      <c r="A120" s="4" t="n">
        <v>6</v>
      </c>
      <c r="B120" s="4" t="s">
        <v>16</v>
      </c>
      <c r="C120" s="4" t="s">
        <v>62</v>
      </c>
      <c r="D120" s="4" t="s">
        <v>180</v>
      </c>
      <c r="E120" s="4" t="s">
        <v>81</v>
      </c>
      <c r="F120" s="4" t="s">
        <v>82</v>
      </c>
      <c r="G120" s="4" t="n">
        <v>0</v>
      </c>
      <c r="H120" s="4" t="s">
        <v>80</v>
      </c>
      <c r="I120" s="4" t="s">
        <v>67</v>
      </c>
      <c r="J120" s="4" t="s">
        <v>68</v>
      </c>
      <c r="K120" s="4" t="s">
        <v>69</v>
      </c>
      <c r="L120" s="4"/>
      <c r="M120" s="3" t="n">
        <v>1676.54</v>
      </c>
    </row>
    <row r="121" customFormat="false" ht="15" hidden="false" customHeight="false" outlineLevel="0" collapsed="false">
      <c r="A121" s="4" t="n">
        <v>6</v>
      </c>
      <c r="B121" s="4" t="s">
        <v>16</v>
      </c>
      <c r="C121" s="4" t="s">
        <v>62</v>
      </c>
      <c r="D121" s="4" t="s">
        <v>180</v>
      </c>
      <c r="E121" s="4" t="s">
        <v>83</v>
      </c>
      <c r="F121" s="4" t="s">
        <v>84</v>
      </c>
      <c r="G121" s="4" t="n">
        <v>10</v>
      </c>
      <c r="H121" s="4" t="s">
        <v>66</v>
      </c>
      <c r="I121" s="4" t="s">
        <v>67</v>
      </c>
      <c r="J121" s="4" t="s">
        <v>68</v>
      </c>
      <c r="K121" s="4" t="s">
        <v>69</v>
      </c>
      <c r="L121" s="4"/>
      <c r="M121" s="3" t="n">
        <v>1324.71</v>
      </c>
    </row>
    <row r="122" customFormat="false" ht="15" hidden="false" customHeight="false" outlineLevel="0" collapsed="false">
      <c r="A122" s="4" t="n">
        <v>6</v>
      </c>
      <c r="B122" s="4" t="s">
        <v>16</v>
      </c>
      <c r="C122" s="4" t="s">
        <v>62</v>
      </c>
      <c r="D122" s="4" t="s">
        <v>180</v>
      </c>
      <c r="E122" s="4" t="s">
        <v>181</v>
      </c>
      <c r="F122" s="4" t="s">
        <v>182</v>
      </c>
      <c r="G122" s="4" t="n">
        <v>30</v>
      </c>
      <c r="H122" s="4" t="s">
        <v>66</v>
      </c>
      <c r="I122" s="4" t="s">
        <v>67</v>
      </c>
      <c r="J122" s="4" t="s">
        <v>183</v>
      </c>
      <c r="K122" s="4" t="s">
        <v>184</v>
      </c>
      <c r="L122" s="4"/>
      <c r="M122" s="3" t="n">
        <v>7844.78</v>
      </c>
    </row>
    <row r="123" customFormat="false" ht="15" hidden="false" customHeight="false" outlineLevel="0" collapsed="false">
      <c r="A123" s="4" t="n">
        <v>6</v>
      </c>
      <c r="B123" s="4" t="s">
        <v>16</v>
      </c>
      <c r="C123" s="4" t="s">
        <v>62</v>
      </c>
      <c r="D123" s="4" t="s">
        <v>180</v>
      </c>
      <c r="E123" s="4" t="s">
        <v>85</v>
      </c>
      <c r="F123" s="4" t="s">
        <v>86</v>
      </c>
      <c r="G123" s="4" t="n">
        <v>22</v>
      </c>
      <c r="H123" s="4" t="s">
        <v>66</v>
      </c>
      <c r="I123" s="4" t="s">
        <v>67</v>
      </c>
      <c r="J123" s="4" t="s">
        <v>87</v>
      </c>
      <c r="K123" s="4" t="s">
        <v>88</v>
      </c>
      <c r="L123" s="4"/>
      <c r="M123" s="3" t="n">
        <v>640</v>
      </c>
    </row>
    <row r="124" customFormat="false" ht="15" hidden="false" customHeight="false" outlineLevel="0" collapsed="false">
      <c r="A124" s="4" t="n">
        <v>6</v>
      </c>
      <c r="B124" s="4" t="s">
        <v>16</v>
      </c>
      <c r="C124" s="4" t="s">
        <v>62</v>
      </c>
      <c r="D124" s="4" t="s">
        <v>180</v>
      </c>
      <c r="E124" s="4" t="s">
        <v>89</v>
      </c>
      <c r="F124" s="4" t="s">
        <v>90</v>
      </c>
      <c r="G124" s="4" t="n">
        <v>0</v>
      </c>
      <c r="H124" s="4" t="s">
        <v>185</v>
      </c>
      <c r="I124" s="4" t="s">
        <v>92</v>
      </c>
      <c r="J124" s="4" t="s">
        <v>93</v>
      </c>
      <c r="K124" s="4" t="s">
        <v>94</v>
      </c>
      <c r="L124" s="4"/>
      <c r="M124" s="3" t="n">
        <v>784.41</v>
      </c>
    </row>
    <row r="125" customFormat="false" ht="15" hidden="false" customHeight="false" outlineLevel="0" collapsed="false">
      <c r="A125" s="4" t="n">
        <v>6</v>
      </c>
      <c r="B125" s="4" t="s">
        <v>16</v>
      </c>
      <c r="C125" s="4" t="s">
        <v>62</v>
      </c>
      <c r="D125" s="4" t="s">
        <v>180</v>
      </c>
      <c r="E125" s="4" t="s">
        <v>95</v>
      </c>
      <c r="F125" s="4" t="s">
        <v>96</v>
      </c>
      <c r="G125" s="4" t="n">
        <v>0</v>
      </c>
      <c r="H125" s="4" t="s">
        <v>173</v>
      </c>
      <c r="I125" s="4" t="s">
        <v>92</v>
      </c>
      <c r="J125" s="4" t="s">
        <v>93</v>
      </c>
      <c r="K125" s="4" t="s">
        <v>94</v>
      </c>
      <c r="L125" s="4"/>
      <c r="M125" s="3" t="n">
        <v>1150.79</v>
      </c>
    </row>
    <row r="126" customFormat="false" ht="15" hidden="false" customHeight="false" outlineLevel="0" collapsed="false">
      <c r="A126" s="4" t="n">
        <v>6</v>
      </c>
      <c r="B126" s="4" t="s">
        <v>16</v>
      </c>
      <c r="C126" s="4" t="s">
        <v>62</v>
      </c>
      <c r="D126" s="4" t="s">
        <v>180</v>
      </c>
      <c r="E126" s="4" t="s">
        <v>98</v>
      </c>
      <c r="F126" s="4" t="s">
        <v>99</v>
      </c>
      <c r="G126" s="4" t="n">
        <v>0</v>
      </c>
      <c r="H126" s="4" t="s">
        <v>186</v>
      </c>
      <c r="I126" s="4" t="s">
        <v>92</v>
      </c>
      <c r="J126" s="4" t="s">
        <v>93</v>
      </c>
      <c r="K126" s="4" t="s">
        <v>94</v>
      </c>
      <c r="L126" s="4"/>
      <c r="M126" s="3" t="n">
        <v>804.69</v>
      </c>
    </row>
    <row r="127" customFormat="false" ht="15" hidden="false" customHeight="false" outlineLevel="0" collapsed="false">
      <c r="A127" s="4" t="n">
        <v>6</v>
      </c>
      <c r="B127" s="4" t="s">
        <v>16</v>
      </c>
      <c r="C127" s="4" t="s">
        <v>62</v>
      </c>
      <c r="D127" s="4" t="s">
        <v>180</v>
      </c>
      <c r="E127" s="4" t="s">
        <v>101</v>
      </c>
      <c r="F127" s="4" t="s">
        <v>102</v>
      </c>
      <c r="G127" s="4" t="n">
        <v>0</v>
      </c>
      <c r="H127" s="4" t="s">
        <v>187</v>
      </c>
      <c r="I127" s="4" t="s">
        <v>92</v>
      </c>
      <c r="J127" s="4" t="s">
        <v>93</v>
      </c>
      <c r="K127" s="4" t="s">
        <v>94</v>
      </c>
      <c r="L127" s="4"/>
      <c r="M127" s="3" t="n">
        <v>393.33</v>
      </c>
    </row>
    <row r="128" customFormat="false" ht="15" hidden="false" customHeight="false" outlineLevel="0" collapsed="false">
      <c r="A128" s="4" t="n">
        <v>6</v>
      </c>
      <c r="B128" s="4" t="s">
        <v>16</v>
      </c>
      <c r="C128" s="4" t="s">
        <v>62</v>
      </c>
      <c r="D128" s="4" t="s">
        <v>180</v>
      </c>
      <c r="E128" s="4" t="s">
        <v>104</v>
      </c>
      <c r="F128" s="4" t="s">
        <v>105</v>
      </c>
      <c r="G128" s="4" t="n">
        <v>0</v>
      </c>
      <c r="H128" s="4" t="s">
        <v>91</v>
      </c>
      <c r="I128" s="4" t="s">
        <v>92</v>
      </c>
      <c r="J128" s="4" t="s">
        <v>93</v>
      </c>
      <c r="K128" s="4" t="s">
        <v>94</v>
      </c>
      <c r="L128" s="4"/>
      <c r="M128" s="3" t="n">
        <v>212.04</v>
      </c>
    </row>
    <row r="129" customFormat="false" ht="15" hidden="false" customHeight="false" outlineLevel="0" collapsed="false">
      <c r="A129" s="4" t="n">
        <v>6</v>
      </c>
      <c r="B129" s="4" t="s">
        <v>16</v>
      </c>
      <c r="C129" s="4" t="s">
        <v>62</v>
      </c>
      <c r="D129" s="4" t="s">
        <v>180</v>
      </c>
      <c r="E129" s="4" t="s">
        <v>107</v>
      </c>
      <c r="F129" s="4" t="s">
        <v>108</v>
      </c>
      <c r="G129" s="4" t="n">
        <v>0</v>
      </c>
      <c r="H129" s="4" t="s">
        <v>188</v>
      </c>
      <c r="I129" s="4" t="s">
        <v>92</v>
      </c>
      <c r="J129" s="4" t="s">
        <v>93</v>
      </c>
      <c r="K129" s="4" t="s">
        <v>94</v>
      </c>
      <c r="L129" s="4"/>
      <c r="M129" s="3" t="n">
        <v>770.58</v>
      </c>
    </row>
    <row r="130" customFormat="false" ht="15" hidden="false" customHeight="false" outlineLevel="0" collapsed="false">
      <c r="A130" s="4" t="n">
        <v>6</v>
      </c>
      <c r="B130" s="4" t="s">
        <v>16</v>
      </c>
      <c r="C130" s="4" t="s">
        <v>62</v>
      </c>
      <c r="D130" s="4" t="s">
        <v>180</v>
      </c>
      <c r="E130" s="4" t="s">
        <v>110</v>
      </c>
      <c r="F130" s="4" t="s">
        <v>111</v>
      </c>
      <c r="G130" s="4" t="n">
        <v>0</v>
      </c>
      <c r="H130" s="4" t="s">
        <v>80</v>
      </c>
      <c r="I130" s="4" t="s">
        <v>92</v>
      </c>
      <c r="J130" s="4" t="s">
        <v>93</v>
      </c>
      <c r="K130" s="4" t="s">
        <v>94</v>
      </c>
      <c r="L130" s="4"/>
      <c r="M130" s="3" t="n">
        <v>67.06</v>
      </c>
    </row>
    <row r="131" customFormat="false" ht="15" hidden="false" customHeight="false" outlineLevel="0" collapsed="false">
      <c r="A131" s="4" t="n">
        <v>6</v>
      </c>
      <c r="B131" s="4" t="s">
        <v>16</v>
      </c>
      <c r="C131" s="4" t="s">
        <v>62</v>
      </c>
      <c r="D131" s="4" t="s">
        <v>180</v>
      </c>
      <c r="E131" s="4" t="s">
        <v>112</v>
      </c>
      <c r="F131" s="4" t="s">
        <v>113</v>
      </c>
      <c r="G131" s="4" t="n">
        <v>0</v>
      </c>
      <c r="H131" s="4" t="s">
        <v>189</v>
      </c>
      <c r="I131" s="4" t="s">
        <v>92</v>
      </c>
      <c r="J131" s="4" t="s">
        <v>93</v>
      </c>
      <c r="K131" s="4" t="s">
        <v>94</v>
      </c>
      <c r="L131" s="4"/>
      <c r="M131" s="3" t="n">
        <v>229.97</v>
      </c>
    </row>
    <row r="132" customFormat="false" ht="15" hidden="false" customHeight="false" outlineLevel="0" collapsed="false">
      <c r="A132" s="4" t="n">
        <v>6</v>
      </c>
      <c r="B132" s="4" t="s">
        <v>16</v>
      </c>
      <c r="C132" s="4" t="s">
        <v>62</v>
      </c>
      <c r="D132" s="4" t="s">
        <v>180</v>
      </c>
      <c r="E132" s="4" t="s">
        <v>115</v>
      </c>
      <c r="F132" s="4" t="s">
        <v>116</v>
      </c>
      <c r="G132" s="4" t="n">
        <v>0</v>
      </c>
      <c r="H132" s="4" t="s">
        <v>190</v>
      </c>
      <c r="I132" s="4" t="s">
        <v>92</v>
      </c>
      <c r="J132" s="4" t="s">
        <v>93</v>
      </c>
      <c r="K132" s="4" t="s">
        <v>94</v>
      </c>
      <c r="L132" s="4"/>
      <c r="M132" s="3" t="n">
        <v>398.26</v>
      </c>
    </row>
    <row r="133" customFormat="false" ht="15" hidden="false" customHeight="false" outlineLevel="0" collapsed="false">
      <c r="A133" s="4" t="n">
        <v>6</v>
      </c>
      <c r="B133" s="4" t="s">
        <v>16</v>
      </c>
      <c r="C133" s="4" t="s">
        <v>62</v>
      </c>
      <c r="D133" s="4" t="s">
        <v>180</v>
      </c>
      <c r="E133" s="4" t="s">
        <v>118</v>
      </c>
      <c r="F133" s="4" t="s">
        <v>119</v>
      </c>
      <c r="G133" s="4" t="n">
        <v>0</v>
      </c>
      <c r="H133" s="4" t="s">
        <v>165</v>
      </c>
      <c r="I133" s="4" t="s">
        <v>92</v>
      </c>
      <c r="J133" s="4" t="s">
        <v>93</v>
      </c>
      <c r="K133" s="4" t="s">
        <v>94</v>
      </c>
      <c r="L133" s="4"/>
      <c r="M133" s="3" t="n">
        <v>463.21</v>
      </c>
    </row>
    <row r="134" customFormat="false" ht="15" hidden="false" customHeight="false" outlineLevel="0" collapsed="false">
      <c r="A134" s="4" t="n">
        <v>6</v>
      </c>
      <c r="B134" s="4" t="s">
        <v>16</v>
      </c>
      <c r="C134" s="4" t="s">
        <v>62</v>
      </c>
      <c r="D134" s="4" t="s">
        <v>180</v>
      </c>
      <c r="E134" s="4" t="s">
        <v>121</v>
      </c>
      <c r="F134" s="4" t="s">
        <v>122</v>
      </c>
      <c r="G134" s="4" t="n">
        <v>1400</v>
      </c>
      <c r="H134" s="4" t="s">
        <v>66</v>
      </c>
      <c r="I134" s="4" t="s">
        <v>92</v>
      </c>
      <c r="J134" s="4" t="s">
        <v>123</v>
      </c>
      <c r="K134" s="4" t="s">
        <v>124</v>
      </c>
      <c r="L134" s="4"/>
      <c r="M134" s="3" t="n">
        <v>2689.17</v>
      </c>
    </row>
    <row r="135" customFormat="false" ht="15" hidden="false" customHeight="false" outlineLevel="0" collapsed="false">
      <c r="A135" s="12" t="n">
        <v>6</v>
      </c>
      <c r="B135" s="12" t="s">
        <v>16</v>
      </c>
      <c r="C135" s="12" t="s">
        <v>62</v>
      </c>
      <c r="D135" s="12" t="s">
        <v>180</v>
      </c>
      <c r="E135" s="12" t="s">
        <v>125</v>
      </c>
      <c r="F135" s="12" t="s">
        <v>126</v>
      </c>
      <c r="G135" s="12" t="n">
        <v>2750</v>
      </c>
      <c r="H135" s="12" t="s">
        <v>66</v>
      </c>
      <c r="I135" s="12" t="s">
        <v>92</v>
      </c>
      <c r="J135" s="12" t="s">
        <v>127</v>
      </c>
      <c r="K135" s="12" t="s">
        <v>128</v>
      </c>
      <c r="L135" s="12"/>
      <c r="M135" s="13" t="n">
        <v>6876.73</v>
      </c>
    </row>
    <row r="136" customFormat="false" ht="15" hidden="false" customHeight="false" outlineLevel="0" collapsed="false">
      <c r="A136" s="4" t="n">
        <v>6</v>
      </c>
      <c r="B136" s="4" t="s">
        <v>16</v>
      </c>
      <c r="C136" s="4" t="s">
        <v>139</v>
      </c>
      <c r="D136" s="4" t="s">
        <v>191</v>
      </c>
      <c r="E136" s="4" t="s">
        <v>157</v>
      </c>
      <c r="F136" s="4" t="s">
        <v>158</v>
      </c>
      <c r="G136" s="4" t="n">
        <v>4414</v>
      </c>
      <c r="H136" s="4" t="s">
        <v>143</v>
      </c>
      <c r="I136" s="4" t="s">
        <v>67</v>
      </c>
      <c r="J136" s="4" t="s">
        <v>144</v>
      </c>
      <c r="K136" s="4" t="s">
        <v>69</v>
      </c>
      <c r="L136" s="4"/>
      <c r="M136" s="3" t="n">
        <v>3107.82</v>
      </c>
    </row>
    <row r="137" customFormat="false" ht="15" hidden="false" customHeight="false" outlineLevel="0" collapsed="false">
      <c r="A137" s="4" t="n">
        <v>6</v>
      </c>
      <c r="B137" s="4" t="s">
        <v>16</v>
      </c>
      <c r="C137" s="4" t="s">
        <v>139</v>
      </c>
      <c r="D137" s="4" t="s">
        <v>191</v>
      </c>
      <c r="E137" s="4" t="s">
        <v>159</v>
      </c>
      <c r="F137" s="4" t="s">
        <v>160</v>
      </c>
      <c r="G137" s="4" t="n">
        <v>4557</v>
      </c>
      <c r="H137" s="4" t="s">
        <v>143</v>
      </c>
      <c r="I137" s="4" t="s">
        <v>67</v>
      </c>
      <c r="J137" s="4" t="s">
        <v>144</v>
      </c>
      <c r="K137" s="4" t="s">
        <v>69</v>
      </c>
      <c r="L137" s="4"/>
      <c r="M137" s="3" t="n">
        <v>4035.32</v>
      </c>
    </row>
    <row r="138" customFormat="false" ht="15" hidden="false" customHeight="false" outlineLevel="0" collapsed="false">
      <c r="A138" s="12" t="n">
        <v>6</v>
      </c>
      <c r="B138" s="12" t="s">
        <v>16</v>
      </c>
      <c r="C138" s="12" t="s">
        <v>139</v>
      </c>
      <c r="D138" s="12" t="s">
        <v>191</v>
      </c>
      <c r="E138" s="12" t="s">
        <v>125</v>
      </c>
      <c r="F138" s="12" t="s">
        <v>126</v>
      </c>
      <c r="G138" s="12" t="n">
        <v>2750</v>
      </c>
      <c r="H138" s="12" t="s">
        <v>66</v>
      </c>
      <c r="I138" s="12" t="s">
        <v>92</v>
      </c>
      <c r="J138" s="12" t="s">
        <v>127</v>
      </c>
      <c r="K138" s="12" t="s">
        <v>128</v>
      </c>
      <c r="L138" s="12"/>
      <c r="M138" s="13" t="n">
        <v>1964.37</v>
      </c>
    </row>
    <row r="139" customFormat="false" ht="15" hidden="false" customHeight="false" outlineLevel="0" collapsed="false">
      <c r="A139" s="4" t="n">
        <v>7</v>
      </c>
      <c r="B139" s="4" t="s">
        <v>17</v>
      </c>
      <c r="C139" s="4" t="s">
        <v>62</v>
      </c>
      <c r="D139" s="4" t="s">
        <v>192</v>
      </c>
      <c r="E139" s="4" t="s">
        <v>64</v>
      </c>
      <c r="F139" s="4" t="s">
        <v>65</v>
      </c>
      <c r="G139" s="4" t="n">
        <v>0</v>
      </c>
      <c r="H139" s="4" t="s">
        <v>66</v>
      </c>
      <c r="I139" s="4" t="s">
        <v>67</v>
      </c>
      <c r="J139" s="4" t="s">
        <v>68</v>
      </c>
      <c r="K139" s="4" t="s">
        <v>69</v>
      </c>
      <c r="L139" s="4" t="s">
        <v>70</v>
      </c>
      <c r="M139" s="3" t="n">
        <v>13247.18</v>
      </c>
    </row>
    <row r="140" customFormat="false" ht="15" hidden="false" customHeight="false" outlineLevel="0" collapsed="false">
      <c r="A140" s="4" t="n">
        <v>7</v>
      </c>
      <c r="B140" s="4" t="s">
        <v>17</v>
      </c>
      <c r="C140" s="4" t="s">
        <v>62</v>
      </c>
      <c r="D140" s="4" t="s">
        <v>192</v>
      </c>
      <c r="E140" s="4" t="s">
        <v>71</v>
      </c>
      <c r="F140" s="4" t="s">
        <v>72</v>
      </c>
      <c r="G140" s="4" t="n">
        <v>1000</v>
      </c>
      <c r="H140" s="4" t="s">
        <v>66</v>
      </c>
      <c r="I140" s="4" t="s">
        <v>67</v>
      </c>
      <c r="J140" s="4" t="s">
        <v>68</v>
      </c>
      <c r="K140" s="4" t="s">
        <v>69</v>
      </c>
      <c r="L140" s="4"/>
      <c r="M140" s="3" t="n">
        <v>1324.71</v>
      </c>
    </row>
    <row r="141" customFormat="false" ht="15" hidden="false" customHeight="false" outlineLevel="0" collapsed="false">
      <c r="A141" s="4" t="n">
        <v>7</v>
      </c>
      <c r="B141" s="4" t="s">
        <v>17</v>
      </c>
      <c r="C141" s="4" t="s">
        <v>62</v>
      </c>
      <c r="D141" s="4" t="s">
        <v>192</v>
      </c>
      <c r="E141" s="4" t="s">
        <v>73</v>
      </c>
      <c r="F141" s="4" t="s">
        <v>74</v>
      </c>
      <c r="G141" s="4" t="n">
        <v>1000</v>
      </c>
      <c r="H141" s="4" t="s">
        <v>193</v>
      </c>
      <c r="I141" s="4" t="s">
        <v>67</v>
      </c>
      <c r="J141" s="4" t="s">
        <v>68</v>
      </c>
      <c r="K141" s="4" t="s">
        <v>69</v>
      </c>
      <c r="L141" s="4"/>
      <c r="M141" s="3" t="n">
        <v>1324.71</v>
      </c>
    </row>
    <row r="142" customFormat="false" ht="15" hidden="false" customHeight="false" outlineLevel="0" collapsed="false">
      <c r="A142" s="4" t="n">
        <v>7</v>
      </c>
      <c r="B142" s="4" t="s">
        <v>17</v>
      </c>
      <c r="C142" s="4" t="s">
        <v>62</v>
      </c>
      <c r="D142" s="4" t="s">
        <v>192</v>
      </c>
      <c r="E142" s="4" t="s">
        <v>76</v>
      </c>
      <c r="F142" s="4" t="s">
        <v>77</v>
      </c>
      <c r="G142" s="4" t="n">
        <v>15</v>
      </c>
      <c r="H142" s="4" t="s">
        <v>66</v>
      </c>
      <c r="I142" s="4" t="s">
        <v>67</v>
      </c>
      <c r="J142" s="4" t="s">
        <v>68</v>
      </c>
      <c r="K142" s="4" t="s">
        <v>69</v>
      </c>
      <c r="L142" s="4" t="s">
        <v>70</v>
      </c>
      <c r="M142" s="3" t="n">
        <v>1987.07</v>
      </c>
    </row>
    <row r="143" customFormat="false" ht="15" hidden="false" customHeight="false" outlineLevel="0" collapsed="false">
      <c r="A143" s="4" t="n">
        <v>7</v>
      </c>
      <c r="B143" s="4" t="s">
        <v>17</v>
      </c>
      <c r="C143" s="4" t="s">
        <v>62</v>
      </c>
      <c r="D143" s="4" t="s">
        <v>192</v>
      </c>
      <c r="E143" s="4" t="s">
        <v>78</v>
      </c>
      <c r="F143" s="4" t="s">
        <v>79</v>
      </c>
      <c r="G143" s="4" t="n">
        <v>30</v>
      </c>
      <c r="H143" s="4" t="s">
        <v>80</v>
      </c>
      <c r="I143" s="4" t="s">
        <v>67</v>
      </c>
      <c r="J143" s="4" t="s">
        <v>68</v>
      </c>
      <c r="K143" s="4" t="s">
        <v>69</v>
      </c>
      <c r="L143" s="4" t="s">
        <v>70</v>
      </c>
      <c r="M143" s="3" t="n">
        <v>3974.15</v>
      </c>
    </row>
    <row r="144" customFormat="false" ht="15" hidden="false" customHeight="false" outlineLevel="0" collapsed="false">
      <c r="A144" s="4" t="n">
        <v>7</v>
      </c>
      <c r="B144" s="4" t="s">
        <v>17</v>
      </c>
      <c r="C144" s="4" t="s">
        <v>62</v>
      </c>
      <c r="D144" s="4" t="s">
        <v>192</v>
      </c>
      <c r="E144" s="4" t="s">
        <v>81</v>
      </c>
      <c r="F144" s="4" t="s">
        <v>82</v>
      </c>
      <c r="G144" s="4" t="n">
        <v>0</v>
      </c>
      <c r="H144" s="4" t="s">
        <v>80</v>
      </c>
      <c r="I144" s="4" t="s">
        <v>67</v>
      </c>
      <c r="J144" s="4" t="s">
        <v>68</v>
      </c>
      <c r="K144" s="4" t="s">
        <v>69</v>
      </c>
      <c r="L144" s="4"/>
      <c r="M144" s="3" t="n">
        <v>1676.54</v>
      </c>
    </row>
    <row r="145" customFormat="false" ht="15" hidden="false" customHeight="false" outlineLevel="0" collapsed="false">
      <c r="A145" s="4" t="n">
        <v>7</v>
      </c>
      <c r="B145" s="4" t="s">
        <v>17</v>
      </c>
      <c r="C145" s="4" t="s">
        <v>62</v>
      </c>
      <c r="D145" s="4" t="s">
        <v>192</v>
      </c>
      <c r="E145" s="4" t="s">
        <v>83</v>
      </c>
      <c r="F145" s="4" t="s">
        <v>84</v>
      </c>
      <c r="G145" s="4" t="n">
        <v>10</v>
      </c>
      <c r="H145" s="4" t="s">
        <v>66</v>
      </c>
      <c r="I145" s="4" t="s">
        <v>67</v>
      </c>
      <c r="J145" s="4" t="s">
        <v>68</v>
      </c>
      <c r="K145" s="4" t="s">
        <v>69</v>
      </c>
      <c r="L145" s="4"/>
      <c r="M145" s="3" t="n">
        <v>1324.71</v>
      </c>
    </row>
    <row r="146" customFormat="false" ht="15" hidden="false" customHeight="false" outlineLevel="0" collapsed="false">
      <c r="A146" s="4" t="n">
        <v>7</v>
      </c>
      <c r="B146" s="4" t="s">
        <v>17</v>
      </c>
      <c r="C146" s="4" t="s">
        <v>62</v>
      </c>
      <c r="D146" s="4" t="s">
        <v>192</v>
      </c>
      <c r="E146" s="4" t="s">
        <v>85</v>
      </c>
      <c r="F146" s="4" t="s">
        <v>86</v>
      </c>
      <c r="G146" s="4" t="n">
        <v>22</v>
      </c>
      <c r="H146" s="4" t="s">
        <v>66</v>
      </c>
      <c r="I146" s="4" t="s">
        <v>67</v>
      </c>
      <c r="J146" s="4" t="s">
        <v>87</v>
      </c>
      <c r="K146" s="4" t="s">
        <v>88</v>
      </c>
      <c r="L146" s="4"/>
      <c r="M146" s="3" t="n">
        <v>640</v>
      </c>
    </row>
    <row r="147" customFormat="false" ht="15" hidden="false" customHeight="false" outlineLevel="0" collapsed="false">
      <c r="A147" s="4" t="n">
        <v>7</v>
      </c>
      <c r="B147" s="4" t="s">
        <v>17</v>
      </c>
      <c r="C147" s="4" t="s">
        <v>62</v>
      </c>
      <c r="D147" s="4" t="s">
        <v>192</v>
      </c>
      <c r="E147" s="4" t="s">
        <v>194</v>
      </c>
      <c r="F147" s="4" t="s">
        <v>195</v>
      </c>
      <c r="G147" s="4" t="n">
        <v>0</v>
      </c>
      <c r="H147" s="4" t="s">
        <v>143</v>
      </c>
      <c r="I147" s="4" t="s">
        <v>67</v>
      </c>
      <c r="J147" s="4" t="s">
        <v>68</v>
      </c>
      <c r="K147" s="4" t="s">
        <v>69</v>
      </c>
      <c r="L147" s="4"/>
      <c r="M147" s="3" t="n">
        <v>1324.71</v>
      </c>
    </row>
    <row r="148" customFormat="false" ht="15" hidden="false" customHeight="false" outlineLevel="0" collapsed="false">
      <c r="A148" s="4" t="n">
        <v>7</v>
      </c>
      <c r="B148" s="4" t="s">
        <v>17</v>
      </c>
      <c r="C148" s="4" t="s">
        <v>62</v>
      </c>
      <c r="D148" s="4" t="s">
        <v>192</v>
      </c>
      <c r="E148" s="4" t="s">
        <v>89</v>
      </c>
      <c r="F148" s="4" t="s">
        <v>90</v>
      </c>
      <c r="G148" s="4" t="n">
        <v>0</v>
      </c>
      <c r="H148" s="4" t="s">
        <v>196</v>
      </c>
      <c r="I148" s="4" t="s">
        <v>92</v>
      </c>
      <c r="J148" s="4" t="s">
        <v>93</v>
      </c>
      <c r="K148" s="4" t="s">
        <v>94</v>
      </c>
      <c r="L148" s="4"/>
      <c r="M148" s="3" t="n">
        <v>784.41</v>
      </c>
    </row>
    <row r="149" customFormat="false" ht="15" hidden="false" customHeight="false" outlineLevel="0" collapsed="false">
      <c r="A149" s="4" t="n">
        <v>7</v>
      </c>
      <c r="B149" s="4" t="s">
        <v>17</v>
      </c>
      <c r="C149" s="4" t="s">
        <v>62</v>
      </c>
      <c r="D149" s="4" t="s">
        <v>192</v>
      </c>
      <c r="E149" s="4" t="s">
        <v>95</v>
      </c>
      <c r="F149" s="4" t="s">
        <v>96</v>
      </c>
      <c r="G149" s="4" t="n">
        <v>0</v>
      </c>
      <c r="H149" s="4" t="s">
        <v>186</v>
      </c>
      <c r="I149" s="4" t="s">
        <v>92</v>
      </c>
      <c r="J149" s="4" t="s">
        <v>93</v>
      </c>
      <c r="K149" s="4" t="s">
        <v>94</v>
      </c>
      <c r="L149" s="4"/>
      <c r="M149" s="3" t="n">
        <v>1150.79</v>
      </c>
    </row>
    <row r="150" customFormat="false" ht="15" hidden="false" customHeight="false" outlineLevel="0" collapsed="false">
      <c r="A150" s="4" t="n">
        <v>7</v>
      </c>
      <c r="B150" s="4" t="s">
        <v>17</v>
      </c>
      <c r="C150" s="4" t="s">
        <v>62</v>
      </c>
      <c r="D150" s="4" t="s">
        <v>192</v>
      </c>
      <c r="E150" s="4" t="s">
        <v>98</v>
      </c>
      <c r="F150" s="4" t="s">
        <v>99</v>
      </c>
      <c r="G150" s="4" t="n">
        <v>0</v>
      </c>
      <c r="H150" s="4" t="s">
        <v>197</v>
      </c>
      <c r="I150" s="4" t="s">
        <v>92</v>
      </c>
      <c r="J150" s="4" t="s">
        <v>93</v>
      </c>
      <c r="K150" s="4" t="s">
        <v>94</v>
      </c>
      <c r="L150" s="4"/>
      <c r="M150" s="3" t="n">
        <v>804.69</v>
      </c>
    </row>
    <row r="151" customFormat="false" ht="15" hidden="false" customHeight="false" outlineLevel="0" collapsed="false">
      <c r="A151" s="4" t="n">
        <v>7</v>
      </c>
      <c r="B151" s="4" t="s">
        <v>17</v>
      </c>
      <c r="C151" s="4" t="s">
        <v>62</v>
      </c>
      <c r="D151" s="4" t="s">
        <v>192</v>
      </c>
      <c r="E151" s="4" t="s">
        <v>101</v>
      </c>
      <c r="F151" s="4" t="s">
        <v>102</v>
      </c>
      <c r="G151" s="4" t="n">
        <v>0</v>
      </c>
      <c r="H151" s="4" t="s">
        <v>198</v>
      </c>
      <c r="I151" s="4" t="s">
        <v>92</v>
      </c>
      <c r="J151" s="4" t="s">
        <v>93</v>
      </c>
      <c r="K151" s="4" t="s">
        <v>94</v>
      </c>
      <c r="L151" s="4"/>
      <c r="M151" s="3" t="n">
        <v>393.33</v>
      </c>
    </row>
    <row r="152" customFormat="false" ht="15" hidden="false" customHeight="false" outlineLevel="0" collapsed="false">
      <c r="A152" s="4" t="n">
        <v>7</v>
      </c>
      <c r="B152" s="4" t="s">
        <v>17</v>
      </c>
      <c r="C152" s="4" t="s">
        <v>62</v>
      </c>
      <c r="D152" s="4" t="s">
        <v>192</v>
      </c>
      <c r="E152" s="4" t="s">
        <v>104</v>
      </c>
      <c r="F152" s="4" t="s">
        <v>105</v>
      </c>
      <c r="G152" s="4" t="n">
        <v>0</v>
      </c>
      <c r="H152" s="4" t="s">
        <v>131</v>
      </c>
      <c r="I152" s="4" t="s">
        <v>92</v>
      </c>
      <c r="J152" s="4" t="s">
        <v>93</v>
      </c>
      <c r="K152" s="4" t="s">
        <v>94</v>
      </c>
      <c r="L152" s="4"/>
      <c r="M152" s="3" t="n">
        <v>212.04</v>
      </c>
    </row>
    <row r="153" customFormat="false" ht="15" hidden="false" customHeight="false" outlineLevel="0" collapsed="false">
      <c r="A153" s="4" t="n">
        <v>7</v>
      </c>
      <c r="B153" s="4" t="s">
        <v>17</v>
      </c>
      <c r="C153" s="4" t="s">
        <v>62</v>
      </c>
      <c r="D153" s="4" t="s">
        <v>192</v>
      </c>
      <c r="E153" s="4" t="s">
        <v>107</v>
      </c>
      <c r="F153" s="4" t="s">
        <v>108</v>
      </c>
      <c r="G153" s="4" t="n">
        <v>0</v>
      </c>
      <c r="H153" s="4" t="s">
        <v>199</v>
      </c>
      <c r="I153" s="4" t="s">
        <v>92</v>
      </c>
      <c r="J153" s="4" t="s">
        <v>93</v>
      </c>
      <c r="K153" s="4" t="s">
        <v>94</v>
      </c>
      <c r="L153" s="4"/>
      <c r="M153" s="3" t="n">
        <v>770.58</v>
      </c>
    </row>
    <row r="154" customFormat="false" ht="15" hidden="false" customHeight="false" outlineLevel="0" collapsed="false">
      <c r="A154" s="4" t="n">
        <v>7</v>
      </c>
      <c r="B154" s="4" t="s">
        <v>17</v>
      </c>
      <c r="C154" s="4" t="s">
        <v>62</v>
      </c>
      <c r="D154" s="4" t="s">
        <v>192</v>
      </c>
      <c r="E154" s="4" t="s">
        <v>110</v>
      </c>
      <c r="F154" s="4" t="s">
        <v>111</v>
      </c>
      <c r="G154" s="4" t="n">
        <v>0</v>
      </c>
      <c r="H154" s="4" t="s">
        <v>80</v>
      </c>
      <c r="I154" s="4" t="s">
        <v>92</v>
      </c>
      <c r="J154" s="4" t="s">
        <v>93</v>
      </c>
      <c r="K154" s="4" t="s">
        <v>94</v>
      </c>
      <c r="L154" s="4"/>
      <c r="M154" s="3" t="n">
        <v>67.06</v>
      </c>
    </row>
    <row r="155" customFormat="false" ht="15" hidden="false" customHeight="false" outlineLevel="0" collapsed="false">
      <c r="A155" s="4" t="n">
        <v>7</v>
      </c>
      <c r="B155" s="4" t="s">
        <v>17</v>
      </c>
      <c r="C155" s="4" t="s">
        <v>62</v>
      </c>
      <c r="D155" s="4" t="s">
        <v>192</v>
      </c>
      <c r="E155" s="4" t="s">
        <v>112</v>
      </c>
      <c r="F155" s="4" t="s">
        <v>113</v>
      </c>
      <c r="G155" s="4" t="n">
        <v>0</v>
      </c>
      <c r="H155" s="4" t="s">
        <v>200</v>
      </c>
      <c r="I155" s="4" t="s">
        <v>92</v>
      </c>
      <c r="J155" s="4" t="s">
        <v>93</v>
      </c>
      <c r="K155" s="4" t="s">
        <v>94</v>
      </c>
      <c r="L155" s="4"/>
      <c r="M155" s="3" t="n">
        <v>229.97</v>
      </c>
    </row>
    <row r="156" customFormat="false" ht="15" hidden="false" customHeight="false" outlineLevel="0" collapsed="false">
      <c r="A156" s="4" t="n">
        <v>7</v>
      </c>
      <c r="B156" s="4" t="s">
        <v>17</v>
      </c>
      <c r="C156" s="4" t="s">
        <v>62</v>
      </c>
      <c r="D156" s="4" t="s">
        <v>192</v>
      </c>
      <c r="E156" s="4" t="s">
        <v>115</v>
      </c>
      <c r="F156" s="4" t="s">
        <v>116</v>
      </c>
      <c r="G156" s="4" t="n">
        <v>0</v>
      </c>
      <c r="H156" s="4" t="s">
        <v>201</v>
      </c>
      <c r="I156" s="4" t="s">
        <v>92</v>
      </c>
      <c r="J156" s="4" t="s">
        <v>93</v>
      </c>
      <c r="K156" s="4" t="s">
        <v>94</v>
      </c>
      <c r="L156" s="4"/>
      <c r="M156" s="3" t="n">
        <v>398.26</v>
      </c>
    </row>
    <row r="157" customFormat="false" ht="15" hidden="false" customHeight="false" outlineLevel="0" collapsed="false">
      <c r="A157" s="4" t="n">
        <v>7</v>
      </c>
      <c r="B157" s="4" t="s">
        <v>17</v>
      </c>
      <c r="C157" s="4" t="s">
        <v>62</v>
      </c>
      <c r="D157" s="4" t="s">
        <v>192</v>
      </c>
      <c r="E157" s="4" t="s">
        <v>118</v>
      </c>
      <c r="F157" s="4" t="s">
        <v>119</v>
      </c>
      <c r="G157" s="4" t="n">
        <v>0</v>
      </c>
      <c r="H157" s="4" t="s">
        <v>174</v>
      </c>
      <c r="I157" s="4" t="s">
        <v>92</v>
      </c>
      <c r="J157" s="4" t="s">
        <v>93</v>
      </c>
      <c r="K157" s="4" t="s">
        <v>94</v>
      </c>
      <c r="L157" s="4"/>
      <c r="M157" s="3" t="n">
        <v>463.21</v>
      </c>
    </row>
    <row r="158" customFormat="false" ht="15" hidden="false" customHeight="false" outlineLevel="0" collapsed="false">
      <c r="A158" s="4" t="n">
        <v>7</v>
      </c>
      <c r="B158" s="4" t="s">
        <v>17</v>
      </c>
      <c r="C158" s="4" t="s">
        <v>62</v>
      </c>
      <c r="D158" s="4" t="s">
        <v>192</v>
      </c>
      <c r="E158" s="4" t="s">
        <v>121</v>
      </c>
      <c r="F158" s="4" t="s">
        <v>122</v>
      </c>
      <c r="G158" s="4" t="n">
        <v>1400</v>
      </c>
      <c r="H158" s="4" t="s">
        <v>66</v>
      </c>
      <c r="I158" s="4" t="s">
        <v>92</v>
      </c>
      <c r="J158" s="4" t="s">
        <v>123</v>
      </c>
      <c r="K158" s="4" t="s">
        <v>124</v>
      </c>
      <c r="L158" s="4"/>
      <c r="M158" s="3" t="n">
        <v>2689.17</v>
      </c>
    </row>
    <row r="159" customFormat="false" ht="15" hidden="false" customHeight="false" outlineLevel="0" collapsed="false">
      <c r="A159" s="12" t="n">
        <v>7</v>
      </c>
      <c r="B159" s="12" t="s">
        <v>17</v>
      </c>
      <c r="C159" s="12" t="s">
        <v>62</v>
      </c>
      <c r="D159" s="12" t="s">
        <v>192</v>
      </c>
      <c r="E159" s="12" t="s">
        <v>125</v>
      </c>
      <c r="F159" s="12" t="s">
        <v>126</v>
      </c>
      <c r="G159" s="12" t="n">
        <v>2750</v>
      </c>
      <c r="H159" s="12" t="s">
        <v>66</v>
      </c>
      <c r="I159" s="12" t="s">
        <v>92</v>
      </c>
      <c r="J159" s="12" t="s">
        <v>127</v>
      </c>
      <c r="K159" s="12" t="s">
        <v>128</v>
      </c>
      <c r="L159" s="12"/>
      <c r="M159" s="13" t="n">
        <v>5448.01</v>
      </c>
    </row>
    <row r="160" customFormat="false" ht="15" hidden="false" customHeight="false" outlineLevel="0" collapsed="false">
      <c r="A160" s="4" t="n">
        <v>7</v>
      </c>
      <c r="B160" s="4" t="s">
        <v>17</v>
      </c>
      <c r="C160" s="4" t="s">
        <v>139</v>
      </c>
      <c r="D160" s="4" t="s">
        <v>202</v>
      </c>
      <c r="E160" s="4" t="s">
        <v>157</v>
      </c>
      <c r="F160" s="4" t="s">
        <v>158</v>
      </c>
      <c r="G160" s="4" t="n">
        <v>3205</v>
      </c>
      <c r="H160" s="4" t="s">
        <v>143</v>
      </c>
      <c r="I160" s="4" t="s">
        <v>67</v>
      </c>
      <c r="J160" s="4" t="s">
        <v>144</v>
      </c>
      <c r="K160" s="4" t="s">
        <v>69</v>
      </c>
      <c r="L160" s="4"/>
      <c r="M160" s="3" t="n">
        <v>2254.17</v>
      </c>
    </row>
    <row r="161" customFormat="false" ht="15" hidden="false" customHeight="false" outlineLevel="0" collapsed="false">
      <c r="A161" s="4" t="n">
        <v>7</v>
      </c>
      <c r="B161" s="4" t="s">
        <v>17</v>
      </c>
      <c r="C161" s="4" t="s">
        <v>139</v>
      </c>
      <c r="D161" s="4" t="s">
        <v>202</v>
      </c>
      <c r="E161" s="4" t="s">
        <v>159</v>
      </c>
      <c r="F161" s="4" t="s">
        <v>160</v>
      </c>
      <c r="G161" s="4" t="n">
        <v>3953</v>
      </c>
      <c r="H161" s="4" t="s">
        <v>143</v>
      </c>
      <c r="I161" s="4" t="s">
        <v>67</v>
      </c>
      <c r="J161" s="4" t="s">
        <v>144</v>
      </c>
      <c r="K161" s="4" t="s">
        <v>69</v>
      </c>
      <c r="L161" s="4"/>
      <c r="M161" s="3" t="n">
        <v>3502.55</v>
      </c>
    </row>
    <row r="162" customFormat="false" ht="15" hidden="false" customHeight="false" outlineLevel="0" collapsed="false">
      <c r="A162" s="12" t="n">
        <v>7</v>
      </c>
      <c r="B162" s="12" t="s">
        <v>17</v>
      </c>
      <c r="C162" s="12" t="s">
        <v>139</v>
      </c>
      <c r="D162" s="12" t="s">
        <v>202</v>
      </c>
      <c r="E162" s="12" t="s">
        <v>125</v>
      </c>
      <c r="F162" s="12" t="s">
        <v>126</v>
      </c>
      <c r="G162" s="12" t="n">
        <v>2750</v>
      </c>
      <c r="H162" s="12" t="s">
        <v>66</v>
      </c>
      <c r="I162" s="12" t="s">
        <v>92</v>
      </c>
      <c r="J162" s="12" t="s">
        <v>127</v>
      </c>
      <c r="K162" s="12" t="s">
        <v>128</v>
      </c>
      <c r="L162" s="12"/>
      <c r="M162" s="13" t="n">
        <v>1583.1</v>
      </c>
    </row>
    <row r="163" customFormat="false" ht="15" hidden="false" customHeight="false" outlineLevel="0" collapsed="false">
      <c r="A163" s="4" t="n">
        <v>8</v>
      </c>
      <c r="B163" s="4" t="s">
        <v>18</v>
      </c>
      <c r="C163" s="4" t="s">
        <v>62</v>
      </c>
      <c r="D163" s="4" t="s">
        <v>203</v>
      </c>
      <c r="E163" s="4" t="s">
        <v>64</v>
      </c>
      <c r="F163" s="4" t="s">
        <v>65</v>
      </c>
      <c r="G163" s="4" t="n">
        <v>0</v>
      </c>
      <c r="H163" s="4" t="s">
        <v>66</v>
      </c>
      <c r="I163" s="4" t="s">
        <v>67</v>
      </c>
      <c r="J163" s="4" t="s">
        <v>68</v>
      </c>
      <c r="K163" s="4" t="s">
        <v>69</v>
      </c>
      <c r="L163" s="4" t="s">
        <v>70</v>
      </c>
      <c r="M163" s="3" t="n">
        <v>13247.18</v>
      </c>
    </row>
    <row r="164" customFormat="false" ht="15" hidden="false" customHeight="false" outlineLevel="0" collapsed="false">
      <c r="A164" s="4" t="n">
        <v>8</v>
      </c>
      <c r="B164" s="4" t="s">
        <v>18</v>
      </c>
      <c r="C164" s="4" t="s">
        <v>62</v>
      </c>
      <c r="D164" s="4" t="s">
        <v>203</v>
      </c>
      <c r="E164" s="4" t="s">
        <v>71</v>
      </c>
      <c r="F164" s="4" t="s">
        <v>72</v>
      </c>
      <c r="G164" s="4" t="n">
        <v>1000</v>
      </c>
      <c r="H164" s="4" t="s">
        <v>66</v>
      </c>
      <c r="I164" s="4" t="s">
        <v>67</v>
      </c>
      <c r="J164" s="4" t="s">
        <v>68</v>
      </c>
      <c r="K164" s="4" t="s">
        <v>69</v>
      </c>
      <c r="L164" s="4"/>
      <c r="M164" s="3" t="n">
        <v>1324.71</v>
      </c>
    </row>
    <row r="165" customFormat="false" ht="15" hidden="false" customHeight="false" outlineLevel="0" collapsed="false">
      <c r="A165" s="4" t="n">
        <v>8</v>
      </c>
      <c r="B165" s="4" t="s">
        <v>18</v>
      </c>
      <c r="C165" s="4" t="s">
        <v>62</v>
      </c>
      <c r="D165" s="4" t="s">
        <v>203</v>
      </c>
      <c r="E165" s="4" t="s">
        <v>73</v>
      </c>
      <c r="F165" s="4" t="s">
        <v>74</v>
      </c>
      <c r="G165" s="4" t="n">
        <v>1000</v>
      </c>
      <c r="H165" s="4" t="s">
        <v>204</v>
      </c>
      <c r="I165" s="4" t="s">
        <v>67</v>
      </c>
      <c r="J165" s="4" t="s">
        <v>68</v>
      </c>
      <c r="K165" s="4" t="s">
        <v>69</v>
      </c>
      <c r="L165" s="4"/>
      <c r="M165" s="3" t="n">
        <v>1324.71</v>
      </c>
    </row>
    <row r="166" customFormat="false" ht="15" hidden="false" customHeight="false" outlineLevel="0" collapsed="false">
      <c r="A166" s="4" t="n">
        <v>8</v>
      </c>
      <c r="B166" s="4" t="s">
        <v>18</v>
      </c>
      <c r="C166" s="4" t="s">
        <v>62</v>
      </c>
      <c r="D166" s="4" t="s">
        <v>203</v>
      </c>
      <c r="E166" s="4" t="s">
        <v>76</v>
      </c>
      <c r="F166" s="4" t="s">
        <v>77</v>
      </c>
      <c r="G166" s="4" t="n">
        <v>15</v>
      </c>
      <c r="H166" s="4" t="s">
        <v>66</v>
      </c>
      <c r="I166" s="4" t="s">
        <v>67</v>
      </c>
      <c r="J166" s="4" t="s">
        <v>68</v>
      </c>
      <c r="K166" s="4" t="s">
        <v>69</v>
      </c>
      <c r="L166" s="4" t="s">
        <v>70</v>
      </c>
      <c r="M166" s="3" t="n">
        <v>1987.07</v>
      </c>
    </row>
    <row r="167" customFormat="false" ht="15" hidden="false" customHeight="false" outlineLevel="0" collapsed="false">
      <c r="A167" s="4" t="n">
        <v>8</v>
      </c>
      <c r="B167" s="4" t="s">
        <v>18</v>
      </c>
      <c r="C167" s="4" t="s">
        <v>62</v>
      </c>
      <c r="D167" s="4" t="s">
        <v>203</v>
      </c>
      <c r="E167" s="4" t="s">
        <v>78</v>
      </c>
      <c r="F167" s="4" t="s">
        <v>79</v>
      </c>
      <c r="G167" s="4" t="n">
        <v>30</v>
      </c>
      <c r="H167" s="4" t="s">
        <v>80</v>
      </c>
      <c r="I167" s="4" t="s">
        <v>67</v>
      </c>
      <c r="J167" s="4" t="s">
        <v>68</v>
      </c>
      <c r="K167" s="4" t="s">
        <v>69</v>
      </c>
      <c r="L167" s="4" t="s">
        <v>70</v>
      </c>
      <c r="M167" s="3" t="n">
        <v>3974.15</v>
      </c>
    </row>
    <row r="168" customFormat="false" ht="15" hidden="false" customHeight="false" outlineLevel="0" collapsed="false">
      <c r="A168" s="4" t="n">
        <v>8</v>
      </c>
      <c r="B168" s="4" t="s">
        <v>18</v>
      </c>
      <c r="C168" s="4" t="s">
        <v>62</v>
      </c>
      <c r="D168" s="4" t="s">
        <v>203</v>
      </c>
      <c r="E168" s="4" t="s">
        <v>81</v>
      </c>
      <c r="F168" s="4" t="s">
        <v>82</v>
      </c>
      <c r="G168" s="4" t="n">
        <v>0</v>
      </c>
      <c r="H168" s="4" t="s">
        <v>80</v>
      </c>
      <c r="I168" s="4" t="s">
        <v>67</v>
      </c>
      <c r="J168" s="4" t="s">
        <v>68</v>
      </c>
      <c r="K168" s="4" t="s">
        <v>69</v>
      </c>
      <c r="L168" s="4"/>
      <c r="M168" s="3" t="n">
        <v>1676.54</v>
      </c>
    </row>
    <row r="169" customFormat="false" ht="15" hidden="false" customHeight="false" outlineLevel="0" collapsed="false">
      <c r="A169" s="4" t="n">
        <v>8</v>
      </c>
      <c r="B169" s="4" t="s">
        <v>18</v>
      </c>
      <c r="C169" s="4" t="s">
        <v>62</v>
      </c>
      <c r="D169" s="4" t="s">
        <v>203</v>
      </c>
      <c r="E169" s="4" t="s">
        <v>83</v>
      </c>
      <c r="F169" s="4" t="s">
        <v>84</v>
      </c>
      <c r="G169" s="4" t="n">
        <v>10</v>
      </c>
      <c r="H169" s="4" t="s">
        <v>66</v>
      </c>
      <c r="I169" s="4" t="s">
        <v>67</v>
      </c>
      <c r="J169" s="4" t="s">
        <v>68</v>
      </c>
      <c r="K169" s="4" t="s">
        <v>69</v>
      </c>
      <c r="L169" s="4"/>
      <c r="M169" s="3" t="n">
        <v>1324.71</v>
      </c>
    </row>
    <row r="170" customFormat="false" ht="15" hidden="false" customHeight="false" outlineLevel="0" collapsed="false">
      <c r="A170" s="4" t="n">
        <v>8</v>
      </c>
      <c r="B170" s="4" t="s">
        <v>18</v>
      </c>
      <c r="C170" s="4" t="s">
        <v>62</v>
      </c>
      <c r="D170" s="4" t="s">
        <v>203</v>
      </c>
      <c r="E170" s="4" t="s">
        <v>85</v>
      </c>
      <c r="F170" s="4" t="s">
        <v>86</v>
      </c>
      <c r="G170" s="4" t="n">
        <v>22</v>
      </c>
      <c r="H170" s="4" t="s">
        <v>66</v>
      </c>
      <c r="I170" s="4" t="s">
        <v>67</v>
      </c>
      <c r="J170" s="4" t="s">
        <v>87</v>
      </c>
      <c r="K170" s="4" t="s">
        <v>88</v>
      </c>
      <c r="L170" s="4"/>
      <c r="M170" s="3" t="n">
        <v>640</v>
      </c>
    </row>
    <row r="171" customFormat="false" ht="15" hidden="false" customHeight="false" outlineLevel="0" collapsed="false">
      <c r="A171" s="4" t="n">
        <v>8</v>
      </c>
      <c r="B171" s="4" t="s">
        <v>18</v>
      </c>
      <c r="C171" s="4" t="s">
        <v>62</v>
      </c>
      <c r="D171" s="4" t="s">
        <v>203</v>
      </c>
      <c r="E171" s="4" t="s">
        <v>89</v>
      </c>
      <c r="F171" s="4" t="s">
        <v>90</v>
      </c>
      <c r="G171" s="4" t="n">
        <v>0</v>
      </c>
      <c r="H171" s="4" t="s">
        <v>205</v>
      </c>
      <c r="I171" s="4" t="s">
        <v>92</v>
      </c>
      <c r="J171" s="4" t="s">
        <v>93</v>
      </c>
      <c r="K171" s="4" t="s">
        <v>94</v>
      </c>
      <c r="L171" s="4"/>
      <c r="M171" s="3" t="n">
        <v>784.41</v>
      </c>
    </row>
    <row r="172" customFormat="false" ht="15" hidden="false" customHeight="false" outlineLevel="0" collapsed="false">
      <c r="A172" s="4" t="n">
        <v>8</v>
      </c>
      <c r="B172" s="4" t="s">
        <v>18</v>
      </c>
      <c r="C172" s="4" t="s">
        <v>62</v>
      </c>
      <c r="D172" s="4" t="s">
        <v>203</v>
      </c>
      <c r="E172" s="4" t="s">
        <v>95</v>
      </c>
      <c r="F172" s="4" t="s">
        <v>96</v>
      </c>
      <c r="G172" s="4" t="n">
        <v>0</v>
      </c>
      <c r="H172" s="4" t="s">
        <v>197</v>
      </c>
      <c r="I172" s="4" t="s">
        <v>92</v>
      </c>
      <c r="J172" s="4" t="s">
        <v>93</v>
      </c>
      <c r="K172" s="4" t="s">
        <v>94</v>
      </c>
      <c r="L172" s="4"/>
      <c r="M172" s="3" t="n">
        <v>1150.79</v>
      </c>
    </row>
    <row r="173" customFormat="false" ht="15" hidden="false" customHeight="false" outlineLevel="0" collapsed="false">
      <c r="A173" s="4" t="n">
        <v>8</v>
      </c>
      <c r="B173" s="4" t="s">
        <v>18</v>
      </c>
      <c r="C173" s="4" t="s">
        <v>62</v>
      </c>
      <c r="D173" s="4" t="s">
        <v>203</v>
      </c>
      <c r="E173" s="4" t="s">
        <v>98</v>
      </c>
      <c r="F173" s="4" t="s">
        <v>99</v>
      </c>
      <c r="G173" s="4" t="n">
        <v>0</v>
      </c>
      <c r="H173" s="4" t="s">
        <v>206</v>
      </c>
      <c r="I173" s="4" t="s">
        <v>92</v>
      </c>
      <c r="J173" s="4" t="s">
        <v>93</v>
      </c>
      <c r="K173" s="4" t="s">
        <v>94</v>
      </c>
      <c r="L173" s="4"/>
      <c r="M173" s="3" t="n">
        <v>804.69</v>
      </c>
    </row>
    <row r="174" customFormat="false" ht="15" hidden="false" customHeight="false" outlineLevel="0" collapsed="false">
      <c r="A174" s="4" t="n">
        <v>8</v>
      </c>
      <c r="B174" s="4" t="s">
        <v>18</v>
      </c>
      <c r="C174" s="4" t="s">
        <v>62</v>
      </c>
      <c r="D174" s="4" t="s">
        <v>203</v>
      </c>
      <c r="E174" s="4" t="s">
        <v>101</v>
      </c>
      <c r="F174" s="4" t="s">
        <v>102</v>
      </c>
      <c r="G174" s="4" t="n">
        <v>0</v>
      </c>
      <c r="H174" s="4" t="s">
        <v>207</v>
      </c>
      <c r="I174" s="4" t="s">
        <v>92</v>
      </c>
      <c r="J174" s="4" t="s">
        <v>93</v>
      </c>
      <c r="K174" s="4" t="s">
        <v>94</v>
      </c>
      <c r="L174" s="4"/>
      <c r="M174" s="3" t="n">
        <v>393.33</v>
      </c>
    </row>
    <row r="175" customFormat="false" ht="15" hidden="false" customHeight="false" outlineLevel="0" collapsed="false">
      <c r="A175" s="4" t="n">
        <v>8</v>
      </c>
      <c r="B175" s="4" t="s">
        <v>18</v>
      </c>
      <c r="C175" s="4" t="s">
        <v>62</v>
      </c>
      <c r="D175" s="4" t="s">
        <v>203</v>
      </c>
      <c r="E175" s="4" t="s">
        <v>104</v>
      </c>
      <c r="F175" s="4" t="s">
        <v>105</v>
      </c>
      <c r="G175" s="4" t="n">
        <v>0</v>
      </c>
      <c r="H175" s="4" t="s">
        <v>149</v>
      </c>
      <c r="I175" s="4" t="s">
        <v>92</v>
      </c>
      <c r="J175" s="4" t="s">
        <v>93</v>
      </c>
      <c r="K175" s="4" t="s">
        <v>94</v>
      </c>
      <c r="L175" s="4"/>
      <c r="M175" s="3" t="n">
        <v>212.04</v>
      </c>
    </row>
    <row r="176" customFormat="false" ht="15" hidden="false" customHeight="false" outlineLevel="0" collapsed="false">
      <c r="A176" s="4" t="n">
        <v>8</v>
      </c>
      <c r="B176" s="4" t="s">
        <v>18</v>
      </c>
      <c r="C176" s="4" t="s">
        <v>62</v>
      </c>
      <c r="D176" s="4" t="s">
        <v>203</v>
      </c>
      <c r="E176" s="4" t="s">
        <v>107</v>
      </c>
      <c r="F176" s="4" t="s">
        <v>108</v>
      </c>
      <c r="G176" s="4" t="n">
        <v>0</v>
      </c>
      <c r="H176" s="4" t="s">
        <v>208</v>
      </c>
      <c r="I176" s="4" t="s">
        <v>92</v>
      </c>
      <c r="J176" s="4" t="s">
        <v>93</v>
      </c>
      <c r="K176" s="4" t="s">
        <v>94</v>
      </c>
      <c r="L176" s="4"/>
      <c r="M176" s="3" t="n">
        <v>770.58</v>
      </c>
    </row>
    <row r="177" customFormat="false" ht="15" hidden="false" customHeight="false" outlineLevel="0" collapsed="false">
      <c r="A177" s="4" t="n">
        <v>8</v>
      </c>
      <c r="B177" s="4" t="s">
        <v>18</v>
      </c>
      <c r="C177" s="4" t="s">
        <v>62</v>
      </c>
      <c r="D177" s="4" t="s">
        <v>203</v>
      </c>
      <c r="E177" s="4" t="s">
        <v>110</v>
      </c>
      <c r="F177" s="4" t="s">
        <v>111</v>
      </c>
      <c r="G177" s="4" t="n">
        <v>0</v>
      </c>
      <c r="H177" s="4" t="s">
        <v>80</v>
      </c>
      <c r="I177" s="4" t="s">
        <v>92</v>
      </c>
      <c r="J177" s="4" t="s">
        <v>93</v>
      </c>
      <c r="K177" s="4" t="s">
        <v>94</v>
      </c>
      <c r="L177" s="4"/>
      <c r="M177" s="3" t="n">
        <v>67.06</v>
      </c>
    </row>
    <row r="178" customFormat="false" ht="15" hidden="false" customHeight="false" outlineLevel="0" collapsed="false">
      <c r="A178" s="4" t="n">
        <v>8</v>
      </c>
      <c r="B178" s="4" t="s">
        <v>18</v>
      </c>
      <c r="C178" s="4" t="s">
        <v>62</v>
      </c>
      <c r="D178" s="4" t="s">
        <v>203</v>
      </c>
      <c r="E178" s="4" t="s">
        <v>112</v>
      </c>
      <c r="F178" s="4" t="s">
        <v>113</v>
      </c>
      <c r="G178" s="4" t="n">
        <v>0</v>
      </c>
      <c r="H178" s="4" t="s">
        <v>209</v>
      </c>
      <c r="I178" s="4" t="s">
        <v>92</v>
      </c>
      <c r="J178" s="4" t="s">
        <v>93</v>
      </c>
      <c r="K178" s="4" t="s">
        <v>94</v>
      </c>
      <c r="L178" s="4"/>
      <c r="M178" s="3" t="n">
        <v>229.97</v>
      </c>
    </row>
    <row r="179" customFormat="false" ht="15" hidden="false" customHeight="false" outlineLevel="0" collapsed="false">
      <c r="A179" s="4" t="n">
        <v>8</v>
      </c>
      <c r="B179" s="4" t="s">
        <v>18</v>
      </c>
      <c r="C179" s="4" t="s">
        <v>62</v>
      </c>
      <c r="D179" s="4" t="s">
        <v>203</v>
      </c>
      <c r="E179" s="4" t="s">
        <v>115</v>
      </c>
      <c r="F179" s="4" t="s">
        <v>116</v>
      </c>
      <c r="G179" s="4" t="n">
        <v>0</v>
      </c>
      <c r="H179" s="4" t="s">
        <v>210</v>
      </c>
      <c r="I179" s="4" t="s">
        <v>92</v>
      </c>
      <c r="J179" s="4" t="s">
        <v>93</v>
      </c>
      <c r="K179" s="4" t="s">
        <v>94</v>
      </c>
      <c r="L179" s="4"/>
      <c r="M179" s="3" t="n">
        <v>398.26</v>
      </c>
    </row>
    <row r="180" customFormat="false" ht="15" hidden="false" customHeight="false" outlineLevel="0" collapsed="false">
      <c r="A180" s="4" t="n">
        <v>8</v>
      </c>
      <c r="B180" s="4" t="s">
        <v>18</v>
      </c>
      <c r="C180" s="4" t="s">
        <v>62</v>
      </c>
      <c r="D180" s="4" t="s">
        <v>203</v>
      </c>
      <c r="E180" s="4" t="s">
        <v>118</v>
      </c>
      <c r="F180" s="4" t="s">
        <v>119</v>
      </c>
      <c r="G180" s="4" t="n">
        <v>0</v>
      </c>
      <c r="H180" s="4" t="s">
        <v>187</v>
      </c>
      <c r="I180" s="4" t="s">
        <v>92</v>
      </c>
      <c r="J180" s="4" t="s">
        <v>93</v>
      </c>
      <c r="K180" s="4" t="s">
        <v>94</v>
      </c>
      <c r="L180" s="4"/>
      <c r="M180" s="3" t="n">
        <v>463.21</v>
      </c>
    </row>
    <row r="181" customFormat="false" ht="15" hidden="false" customHeight="false" outlineLevel="0" collapsed="false">
      <c r="A181" s="4" t="n">
        <v>8</v>
      </c>
      <c r="B181" s="4" t="s">
        <v>18</v>
      </c>
      <c r="C181" s="4" t="s">
        <v>62</v>
      </c>
      <c r="D181" s="4" t="s">
        <v>203</v>
      </c>
      <c r="E181" s="4" t="s">
        <v>121</v>
      </c>
      <c r="F181" s="4" t="s">
        <v>122</v>
      </c>
      <c r="G181" s="4" t="n">
        <v>1400</v>
      </c>
      <c r="H181" s="4" t="s">
        <v>66</v>
      </c>
      <c r="I181" s="4" t="s">
        <v>92</v>
      </c>
      <c r="J181" s="4" t="s">
        <v>123</v>
      </c>
      <c r="K181" s="4" t="s">
        <v>124</v>
      </c>
      <c r="L181" s="4"/>
      <c r="M181" s="3" t="n">
        <v>2689.17</v>
      </c>
    </row>
    <row r="182" customFormat="false" ht="15" hidden="false" customHeight="false" outlineLevel="0" collapsed="false">
      <c r="A182" s="12" t="n">
        <v>8</v>
      </c>
      <c r="B182" s="12" t="s">
        <v>18</v>
      </c>
      <c r="C182" s="12" t="s">
        <v>62</v>
      </c>
      <c r="D182" s="12" t="s">
        <v>203</v>
      </c>
      <c r="E182" s="12" t="s">
        <v>125</v>
      </c>
      <c r="F182" s="12" t="s">
        <v>126</v>
      </c>
      <c r="G182" s="12" t="n">
        <v>2750</v>
      </c>
      <c r="H182" s="12" t="s">
        <v>66</v>
      </c>
      <c r="I182" s="12" t="s">
        <v>92</v>
      </c>
      <c r="J182" s="12" t="s">
        <v>127</v>
      </c>
      <c r="K182" s="12" t="s">
        <v>128</v>
      </c>
      <c r="L182" s="12"/>
      <c r="M182" s="13" t="n">
        <v>5083.71</v>
      </c>
    </row>
    <row r="183" customFormat="false" ht="15" hidden="false" customHeight="false" outlineLevel="0" collapsed="false">
      <c r="A183" s="4" t="n">
        <v>8</v>
      </c>
      <c r="B183" s="4" t="s">
        <v>18</v>
      </c>
      <c r="C183" s="4" t="s">
        <v>139</v>
      </c>
      <c r="D183" s="4" t="s">
        <v>211</v>
      </c>
      <c r="E183" s="4" t="s">
        <v>157</v>
      </c>
      <c r="F183" s="4" t="s">
        <v>158</v>
      </c>
      <c r="G183" s="4" t="n">
        <v>4553</v>
      </c>
      <c r="H183" s="4" t="s">
        <v>143</v>
      </c>
      <c r="I183" s="4" t="s">
        <v>67</v>
      </c>
      <c r="J183" s="4" t="s">
        <v>144</v>
      </c>
      <c r="K183" s="4" t="s">
        <v>69</v>
      </c>
      <c r="L183" s="4"/>
      <c r="M183" s="3" t="n">
        <v>3223.75</v>
      </c>
    </row>
    <row r="184" customFormat="false" ht="15" hidden="false" customHeight="false" outlineLevel="0" collapsed="false">
      <c r="A184" s="4" t="n">
        <v>8</v>
      </c>
      <c r="B184" s="4" t="s">
        <v>18</v>
      </c>
      <c r="C184" s="4" t="s">
        <v>139</v>
      </c>
      <c r="D184" s="4" t="s">
        <v>211</v>
      </c>
      <c r="E184" s="4" t="s">
        <v>159</v>
      </c>
      <c r="F184" s="4" t="s">
        <v>160</v>
      </c>
      <c r="G184" s="4" t="n">
        <v>4542</v>
      </c>
      <c r="H184" s="4" t="s">
        <v>143</v>
      </c>
      <c r="I184" s="4" t="s">
        <v>67</v>
      </c>
      <c r="J184" s="4" t="s">
        <v>144</v>
      </c>
      <c r="K184" s="4" t="s">
        <v>69</v>
      </c>
      <c r="L184" s="4"/>
      <c r="M184" s="3" t="n">
        <v>4013.37</v>
      </c>
    </row>
    <row r="185" customFormat="false" ht="15" hidden="false" customHeight="false" outlineLevel="0" collapsed="false">
      <c r="A185" s="12" t="n">
        <v>8</v>
      </c>
      <c r="B185" s="12" t="s">
        <v>18</v>
      </c>
      <c r="C185" s="12" t="s">
        <v>139</v>
      </c>
      <c r="D185" s="12" t="s">
        <v>211</v>
      </c>
      <c r="E185" s="12" t="s">
        <v>125</v>
      </c>
      <c r="F185" s="12" t="s">
        <v>126</v>
      </c>
      <c r="G185" s="12" t="n">
        <v>2750</v>
      </c>
      <c r="H185" s="12" t="s">
        <v>66</v>
      </c>
      <c r="I185" s="12" t="s">
        <v>92</v>
      </c>
      <c r="J185" s="12" t="s">
        <v>127</v>
      </c>
      <c r="K185" s="12" t="s">
        <v>128</v>
      </c>
      <c r="L185" s="12"/>
      <c r="M185" s="13" t="n">
        <v>1990.21</v>
      </c>
    </row>
    <row r="186" customFormat="false" ht="15" hidden="false" customHeight="false" outlineLevel="0" collapsed="false">
      <c r="A186" s="4" t="n">
        <v>9</v>
      </c>
      <c r="B186" s="4" t="s">
        <v>19</v>
      </c>
      <c r="C186" s="4" t="s">
        <v>62</v>
      </c>
      <c r="D186" s="4" t="s">
        <v>212</v>
      </c>
      <c r="E186" s="4" t="s">
        <v>64</v>
      </c>
      <c r="F186" s="4" t="s">
        <v>65</v>
      </c>
      <c r="G186" s="4" t="n">
        <v>0</v>
      </c>
      <c r="H186" s="4" t="s">
        <v>66</v>
      </c>
      <c r="I186" s="4" t="s">
        <v>67</v>
      </c>
      <c r="J186" s="4" t="s">
        <v>68</v>
      </c>
      <c r="K186" s="4" t="s">
        <v>69</v>
      </c>
      <c r="L186" s="4" t="s">
        <v>70</v>
      </c>
      <c r="M186" s="3" t="n">
        <v>13247.18</v>
      </c>
    </row>
    <row r="187" customFormat="false" ht="15" hidden="false" customHeight="false" outlineLevel="0" collapsed="false">
      <c r="A187" s="4" t="n">
        <v>9</v>
      </c>
      <c r="B187" s="4" t="s">
        <v>19</v>
      </c>
      <c r="C187" s="4" t="s">
        <v>62</v>
      </c>
      <c r="D187" s="4" t="s">
        <v>212</v>
      </c>
      <c r="E187" s="4" t="s">
        <v>71</v>
      </c>
      <c r="F187" s="4" t="s">
        <v>72</v>
      </c>
      <c r="G187" s="4" t="n">
        <v>1000</v>
      </c>
      <c r="H187" s="4" t="s">
        <v>66</v>
      </c>
      <c r="I187" s="4" t="s">
        <v>67</v>
      </c>
      <c r="J187" s="4" t="s">
        <v>68</v>
      </c>
      <c r="K187" s="4" t="s">
        <v>69</v>
      </c>
      <c r="L187" s="4"/>
      <c r="M187" s="3" t="n">
        <v>1324.71</v>
      </c>
    </row>
    <row r="188" customFormat="false" ht="15" hidden="false" customHeight="false" outlineLevel="0" collapsed="false">
      <c r="A188" s="4" t="n">
        <v>9</v>
      </c>
      <c r="B188" s="4" t="s">
        <v>19</v>
      </c>
      <c r="C188" s="4" t="s">
        <v>62</v>
      </c>
      <c r="D188" s="4" t="s">
        <v>212</v>
      </c>
      <c r="E188" s="4" t="s">
        <v>73</v>
      </c>
      <c r="F188" s="4" t="s">
        <v>74</v>
      </c>
      <c r="G188" s="4" t="n">
        <v>1000</v>
      </c>
      <c r="H188" s="4" t="s">
        <v>213</v>
      </c>
      <c r="I188" s="4" t="s">
        <v>67</v>
      </c>
      <c r="J188" s="4" t="s">
        <v>68</v>
      </c>
      <c r="K188" s="4" t="s">
        <v>69</v>
      </c>
      <c r="L188" s="4"/>
      <c r="M188" s="3" t="n">
        <v>1324.71</v>
      </c>
    </row>
    <row r="189" customFormat="false" ht="15" hidden="false" customHeight="false" outlineLevel="0" collapsed="false">
      <c r="A189" s="4" t="n">
        <v>9</v>
      </c>
      <c r="B189" s="4" t="s">
        <v>19</v>
      </c>
      <c r="C189" s="4" t="s">
        <v>62</v>
      </c>
      <c r="D189" s="4" t="s">
        <v>212</v>
      </c>
      <c r="E189" s="4" t="s">
        <v>76</v>
      </c>
      <c r="F189" s="4" t="s">
        <v>77</v>
      </c>
      <c r="G189" s="4" t="n">
        <v>15</v>
      </c>
      <c r="H189" s="4" t="s">
        <v>66</v>
      </c>
      <c r="I189" s="4" t="s">
        <v>67</v>
      </c>
      <c r="J189" s="4" t="s">
        <v>68</v>
      </c>
      <c r="K189" s="4" t="s">
        <v>69</v>
      </c>
      <c r="L189" s="4" t="s">
        <v>70</v>
      </c>
      <c r="M189" s="3" t="n">
        <v>1987.07</v>
      </c>
    </row>
    <row r="190" customFormat="false" ht="15" hidden="false" customHeight="false" outlineLevel="0" collapsed="false">
      <c r="A190" s="4" t="n">
        <v>9</v>
      </c>
      <c r="B190" s="4" t="s">
        <v>19</v>
      </c>
      <c r="C190" s="4" t="s">
        <v>62</v>
      </c>
      <c r="D190" s="4" t="s">
        <v>212</v>
      </c>
      <c r="E190" s="4" t="s">
        <v>78</v>
      </c>
      <c r="F190" s="4" t="s">
        <v>79</v>
      </c>
      <c r="G190" s="4" t="n">
        <v>30</v>
      </c>
      <c r="H190" s="4" t="s">
        <v>80</v>
      </c>
      <c r="I190" s="4" t="s">
        <v>67</v>
      </c>
      <c r="J190" s="4" t="s">
        <v>68</v>
      </c>
      <c r="K190" s="4" t="s">
        <v>69</v>
      </c>
      <c r="L190" s="4" t="s">
        <v>70</v>
      </c>
      <c r="M190" s="3" t="n">
        <v>3974.15</v>
      </c>
    </row>
    <row r="191" customFormat="false" ht="15" hidden="false" customHeight="false" outlineLevel="0" collapsed="false">
      <c r="A191" s="4" t="n">
        <v>9</v>
      </c>
      <c r="B191" s="4" t="s">
        <v>19</v>
      </c>
      <c r="C191" s="4" t="s">
        <v>62</v>
      </c>
      <c r="D191" s="4" t="s">
        <v>212</v>
      </c>
      <c r="E191" s="4" t="s">
        <v>81</v>
      </c>
      <c r="F191" s="4" t="s">
        <v>82</v>
      </c>
      <c r="G191" s="4" t="n">
        <v>0</v>
      </c>
      <c r="H191" s="4" t="s">
        <v>80</v>
      </c>
      <c r="I191" s="4" t="s">
        <v>67</v>
      </c>
      <c r="J191" s="4" t="s">
        <v>68</v>
      </c>
      <c r="K191" s="4" t="s">
        <v>69</v>
      </c>
      <c r="L191" s="4"/>
      <c r="M191" s="3" t="n">
        <v>1676.54</v>
      </c>
    </row>
    <row r="192" customFormat="false" ht="15" hidden="false" customHeight="false" outlineLevel="0" collapsed="false">
      <c r="A192" s="4" t="n">
        <v>9</v>
      </c>
      <c r="B192" s="4" t="s">
        <v>19</v>
      </c>
      <c r="C192" s="4" t="s">
        <v>62</v>
      </c>
      <c r="D192" s="4" t="s">
        <v>212</v>
      </c>
      <c r="E192" s="4" t="s">
        <v>83</v>
      </c>
      <c r="F192" s="4" t="s">
        <v>84</v>
      </c>
      <c r="G192" s="4" t="n">
        <v>10</v>
      </c>
      <c r="H192" s="4" t="s">
        <v>66</v>
      </c>
      <c r="I192" s="4" t="s">
        <v>67</v>
      </c>
      <c r="J192" s="4" t="s">
        <v>68</v>
      </c>
      <c r="K192" s="4" t="s">
        <v>69</v>
      </c>
      <c r="L192" s="4"/>
      <c r="M192" s="3" t="n">
        <v>1324.71</v>
      </c>
    </row>
    <row r="193" customFormat="false" ht="15" hidden="false" customHeight="false" outlineLevel="0" collapsed="false">
      <c r="A193" s="4" t="n">
        <v>9</v>
      </c>
      <c r="B193" s="4" t="s">
        <v>19</v>
      </c>
      <c r="C193" s="4" t="s">
        <v>62</v>
      </c>
      <c r="D193" s="4" t="s">
        <v>212</v>
      </c>
      <c r="E193" s="4" t="s">
        <v>85</v>
      </c>
      <c r="F193" s="4" t="s">
        <v>86</v>
      </c>
      <c r="G193" s="4" t="n">
        <v>22</v>
      </c>
      <c r="H193" s="4" t="s">
        <v>66</v>
      </c>
      <c r="I193" s="4" t="s">
        <v>67</v>
      </c>
      <c r="J193" s="4" t="s">
        <v>87</v>
      </c>
      <c r="K193" s="4" t="s">
        <v>88</v>
      </c>
      <c r="L193" s="4"/>
      <c r="M193" s="3" t="n">
        <v>640</v>
      </c>
    </row>
    <row r="194" customFormat="false" ht="15" hidden="false" customHeight="false" outlineLevel="0" collapsed="false">
      <c r="A194" s="4" t="n">
        <v>9</v>
      </c>
      <c r="B194" s="4" t="s">
        <v>19</v>
      </c>
      <c r="C194" s="4" t="s">
        <v>62</v>
      </c>
      <c r="D194" s="4" t="s">
        <v>212</v>
      </c>
      <c r="E194" s="4" t="s">
        <v>89</v>
      </c>
      <c r="F194" s="4" t="s">
        <v>90</v>
      </c>
      <c r="G194" s="4" t="n">
        <v>0</v>
      </c>
      <c r="H194" s="4" t="s">
        <v>214</v>
      </c>
      <c r="I194" s="4" t="s">
        <v>92</v>
      </c>
      <c r="J194" s="4" t="s">
        <v>93</v>
      </c>
      <c r="K194" s="4" t="s">
        <v>94</v>
      </c>
      <c r="L194" s="4"/>
      <c r="M194" s="3" t="n">
        <v>784.41</v>
      </c>
    </row>
    <row r="195" customFormat="false" ht="15" hidden="false" customHeight="false" outlineLevel="0" collapsed="false">
      <c r="A195" s="4" t="n">
        <v>9</v>
      </c>
      <c r="B195" s="4" t="s">
        <v>19</v>
      </c>
      <c r="C195" s="4" t="s">
        <v>62</v>
      </c>
      <c r="D195" s="4" t="s">
        <v>212</v>
      </c>
      <c r="E195" s="4" t="s">
        <v>95</v>
      </c>
      <c r="F195" s="4" t="s">
        <v>96</v>
      </c>
      <c r="G195" s="4" t="n">
        <v>0</v>
      </c>
      <c r="H195" s="4" t="s">
        <v>206</v>
      </c>
      <c r="I195" s="4" t="s">
        <v>92</v>
      </c>
      <c r="J195" s="4" t="s">
        <v>93</v>
      </c>
      <c r="K195" s="4" t="s">
        <v>94</v>
      </c>
      <c r="L195" s="4"/>
      <c r="M195" s="3" t="n">
        <v>1150.79</v>
      </c>
    </row>
    <row r="196" customFormat="false" ht="15" hidden="false" customHeight="false" outlineLevel="0" collapsed="false">
      <c r="A196" s="4" t="n">
        <v>9</v>
      </c>
      <c r="B196" s="4" t="s">
        <v>19</v>
      </c>
      <c r="C196" s="4" t="s">
        <v>62</v>
      </c>
      <c r="D196" s="4" t="s">
        <v>212</v>
      </c>
      <c r="E196" s="4" t="s">
        <v>98</v>
      </c>
      <c r="F196" s="4" t="s">
        <v>99</v>
      </c>
      <c r="G196" s="4" t="n">
        <v>0</v>
      </c>
      <c r="H196" s="4" t="s">
        <v>215</v>
      </c>
      <c r="I196" s="4" t="s">
        <v>92</v>
      </c>
      <c r="J196" s="4" t="s">
        <v>93</v>
      </c>
      <c r="K196" s="4" t="s">
        <v>94</v>
      </c>
      <c r="L196" s="4"/>
      <c r="M196" s="3" t="n">
        <v>804.69</v>
      </c>
    </row>
    <row r="197" customFormat="false" ht="15" hidden="false" customHeight="false" outlineLevel="0" collapsed="false">
      <c r="A197" s="4" t="n">
        <v>9</v>
      </c>
      <c r="B197" s="4" t="s">
        <v>19</v>
      </c>
      <c r="C197" s="4" t="s">
        <v>62</v>
      </c>
      <c r="D197" s="4" t="s">
        <v>212</v>
      </c>
      <c r="E197" s="4" t="s">
        <v>101</v>
      </c>
      <c r="F197" s="4" t="s">
        <v>102</v>
      </c>
      <c r="G197" s="4" t="n">
        <v>0</v>
      </c>
      <c r="H197" s="4" t="s">
        <v>216</v>
      </c>
      <c r="I197" s="4" t="s">
        <v>92</v>
      </c>
      <c r="J197" s="4" t="s">
        <v>93</v>
      </c>
      <c r="K197" s="4" t="s">
        <v>94</v>
      </c>
      <c r="L197" s="4"/>
      <c r="M197" s="3" t="n">
        <v>393.33</v>
      </c>
    </row>
    <row r="198" customFormat="false" ht="15" hidden="false" customHeight="false" outlineLevel="0" collapsed="false">
      <c r="A198" s="4" t="n">
        <v>9</v>
      </c>
      <c r="B198" s="4" t="s">
        <v>19</v>
      </c>
      <c r="C198" s="4" t="s">
        <v>62</v>
      </c>
      <c r="D198" s="4" t="s">
        <v>212</v>
      </c>
      <c r="E198" s="4" t="s">
        <v>104</v>
      </c>
      <c r="F198" s="4" t="s">
        <v>105</v>
      </c>
      <c r="G198" s="4" t="n">
        <v>0</v>
      </c>
      <c r="H198" s="4" t="s">
        <v>163</v>
      </c>
      <c r="I198" s="4" t="s">
        <v>92</v>
      </c>
      <c r="J198" s="4" t="s">
        <v>93</v>
      </c>
      <c r="K198" s="4" t="s">
        <v>94</v>
      </c>
      <c r="L198" s="4"/>
      <c r="M198" s="3" t="n">
        <v>212.04</v>
      </c>
    </row>
    <row r="199" customFormat="false" ht="15" hidden="false" customHeight="false" outlineLevel="0" collapsed="false">
      <c r="A199" s="4" t="n">
        <v>9</v>
      </c>
      <c r="B199" s="4" t="s">
        <v>19</v>
      </c>
      <c r="C199" s="4" t="s">
        <v>62</v>
      </c>
      <c r="D199" s="4" t="s">
        <v>212</v>
      </c>
      <c r="E199" s="4" t="s">
        <v>107</v>
      </c>
      <c r="F199" s="4" t="s">
        <v>108</v>
      </c>
      <c r="G199" s="4" t="n">
        <v>0</v>
      </c>
      <c r="H199" s="4" t="s">
        <v>217</v>
      </c>
      <c r="I199" s="4" t="s">
        <v>92</v>
      </c>
      <c r="J199" s="4" t="s">
        <v>93</v>
      </c>
      <c r="K199" s="4" t="s">
        <v>94</v>
      </c>
      <c r="L199" s="4"/>
      <c r="M199" s="3" t="n">
        <v>770.58</v>
      </c>
    </row>
    <row r="200" customFormat="false" ht="15" hidden="false" customHeight="false" outlineLevel="0" collapsed="false">
      <c r="A200" s="4" t="n">
        <v>9</v>
      </c>
      <c r="B200" s="4" t="s">
        <v>19</v>
      </c>
      <c r="C200" s="4" t="s">
        <v>62</v>
      </c>
      <c r="D200" s="4" t="s">
        <v>212</v>
      </c>
      <c r="E200" s="4" t="s">
        <v>110</v>
      </c>
      <c r="F200" s="4" t="s">
        <v>111</v>
      </c>
      <c r="G200" s="4" t="n">
        <v>0</v>
      </c>
      <c r="H200" s="4" t="s">
        <v>80</v>
      </c>
      <c r="I200" s="4" t="s">
        <v>92</v>
      </c>
      <c r="J200" s="4" t="s">
        <v>93</v>
      </c>
      <c r="K200" s="4" t="s">
        <v>94</v>
      </c>
      <c r="L200" s="4"/>
      <c r="M200" s="3" t="n">
        <v>67.06</v>
      </c>
    </row>
    <row r="201" customFormat="false" ht="15" hidden="false" customHeight="false" outlineLevel="0" collapsed="false">
      <c r="A201" s="4" t="n">
        <v>9</v>
      </c>
      <c r="B201" s="4" t="s">
        <v>19</v>
      </c>
      <c r="C201" s="4" t="s">
        <v>62</v>
      </c>
      <c r="D201" s="4" t="s">
        <v>212</v>
      </c>
      <c r="E201" s="4" t="s">
        <v>112</v>
      </c>
      <c r="F201" s="4" t="s">
        <v>113</v>
      </c>
      <c r="G201" s="4" t="n">
        <v>0</v>
      </c>
      <c r="H201" s="4" t="s">
        <v>218</v>
      </c>
      <c r="I201" s="4" t="s">
        <v>92</v>
      </c>
      <c r="J201" s="4" t="s">
        <v>93</v>
      </c>
      <c r="K201" s="4" t="s">
        <v>94</v>
      </c>
      <c r="L201" s="4"/>
      <c r="M201" s="3" t="n">
        <v>229.97</v>
      </c>
    </row>
    <row r="202" customFormat="false" ht="15" hidden="false" customHeight="false" outlineLevel="0" collapsed="false">
      <c r="A202" s="4" t="n">
        <v>9</v>
      </c>
      <c r="B202" s="4" t="s">
        <v>19</v>
      </c>
      <c r="C202" s="4" t="s">
        <v>62</v>
      </c>
      <c r="D202" s="4" t="s">
        <v>212</v>
      </c>
      <c r="E202" s="4" t="s">
        <v>115</v>
      </c>
      <c r="F202" s="4" t="s">
        <v>116</v>
      </c>
      <c r="G202" s="4" t="n">
        <v>0</v>
      </c>
      <c r="H202" s="4" t="s">
        <v>193</v>
      </c>
      <c r="I202" s="4" t="s">
        <v>92</v>
      </c>
      <c r="J202" s="4" t="s">
        <v>93</v>
      </c>
      <c r="K202" s="4" t="s">
        <v>94</v>
      </c>
      <c r="L202" s="4"/>
      <c r="M202" s="3" t="n">
        <v>398.26</v>
      </c>
    </row>
    <row r="203" customFormat="false" ht="15" hidden="false" customHeight="false" outlineLevel="0" collapsed="false">
      <c r="A203" s="4" t="n">
        <v>9</v>
      </c>
      <c r="B203" s="4" t="s">
        <v>19</v>
      </c>
      <c r="C203" s="4" t="s">
        <v>62</v>
      </c>
      <c r="D203" s="4" t="s">
        <v>212</v>
      </c>
      <c r="E203" s="4" t="s">
        <v>118</v>
      </c>
      <c r="F203" s="4" t="s">
        <v>119</v>
      </c>
      <c r="G203" s="4" t="n">
        <v>0</v>
      </c>
      <c r="H203" s="4" t="s">
        <v>198</v>
      </c>
      <c r="I203" s="4" t="s">
        <v>92</v>
      </c>
      <c r="J203" s="4" t="s">
        <v>93</v>
      </c>
      <c r="K203" s="4" t="s">
        <v>94</v>
      </c>
      <c r="L203" s="4"/>
      <c r="M203" s="3" t="n">
        <v>463.21</v>
      </c>
    </row>
    <row r="204" customFormat="false" ht="15" hidden="false" customHeight="false" outlineLevel="0" collapsed="false">
      <c r="A204" s="4" t="n">
        <v>9</v>
      </c>
      <c r="B204" s="4" t="s">
        <v>19</v>
      </c>
      <c r="C204" s="4" t="s">
        <v>62</v>
      </c>
      <c r="D204" s="4" t="s">
        <v>212</v>
      </c>
      <c r="E204" s="4" t="s">
        <v>121</v>
      </c>
      <c r="F204" s="4" t="s">
        <v>122</v>
      </c>
      <c r="G204" s="4" t="n">
        <v>1400</v>
      </c>
      <c r="H204" s="4" t="s">
        <v>66</v>
      </c>
      <c r="I204" s="4" t="s">
        <v>92</v>
      </c>
      <c r="J204" s="4" t="s">
        <v>123</v>
      </c>
      <c r="K204" s="4" t="s">
        <v>124</v>
      </c>
      <c r="L204" s="4"/>
      <c r="M204" s="3" t="n">
        <v>2689.17</v>
      </c>
    </row>
    <row r="205" customFormat="false" ht="15" hidden="false" customHeight="false" outlineLevel="0" collapsed="false">
      <c r="A205" s="12" t="n">
        <v>9</v>
      </c>
      <c r="B205" s="12" t="s">
        <v>19</v>
      </c>
      <c r="C205" s="12" t="s">
        <v>62</v>
      </c>
      <c r="D205" s="12" t="s">
        <v>212</v>
      </c>
      <c r="E205" s="12" t="s">
        <v>125</v>
      </c>
      <c r="F205" s="12" t="s">
        <v>126</v>
      </c>
      <c r="G205" s="12" t="n">
        <v>2750</v>
      </c>
      <c r="H205" s="12" t="s">
        <v>66</v>
      </c>
      <c r="I205" s="12" t="s">
        <v>92</v>
      </c>
      <c r="J205" s="12" t="s">
        <v>127</v>
      </c>
      <c r="K205" s="12" t="s">
        <v>128</v>
      </c>
      <c r="L205" s="12"/>
      <c r="M205" s="13" t="n">
        <v>6301.66</v>
      </c>
    </row>
    <row r="206" customFormat="false" ht="15" hidden="false" customHeight="false" outlineLevel="0" collapsed="false">
      <c r="A206" s="4" t="n">
        <v>9</v>
      </c>
      <c r="B206" s="4" t="s">
        <v>19</v>
      </c>
      <c r="C206" s="4" t="s">
        <v>139</v>
      </c>
      <c r="D206" s="4" t="s">
        <v>219</v>
      </c>
      <c r="E206" s="4" t="s">
        <v>157</v>
      </c>
      <c r="F206" s="4" t="s">
        <v>158</v>
      </c>
      <c r="G206" s="4" t="n">
        <v>3421</v>
      </c>
      <c r="H206" s="4" t="s">
        <v>143</v>
      </c>
      <c r="I206" s="4" t="s">
        <v>67</v>
      </c>
      <c r="J206" s="4" t="s">
        <v>144</v>
      </c>
      <c r="K206" s="4" t="s">
        <v>69</v>
      </c>
      <c r="L206" s="4"/>
      <c r="M206" s="3" t="n">
        <v>2413.42</v>
      </c>
    </row>
    <row r="207" customFormat="false" ht="15" hidden="false" customHeight="false" outlineLevel="0" collapsed="false">
      <c r="A207" s="4" t="n">
        <v>9</v>
      </c>
      <c r="B207" s="4" t="s">
        <v>19</v>
      </c>
      <c r="C207" s="4" t="s">
        <v>139</v>
      </c>
      <c r="D207" s="4" t="s">
        <v>219</v>
      </c>
      <c r="E207" s="4" t="s">
        <v>159</v>
      </c>
      <c r="F207" s="4" t="s">
        <v>160</v>
      </c>
      <c r="G207" s="4" t="n">
        <v>2257</v>
      </c>
      <c r="H207" s="4" t="s">
        <v>143</v>
      </c>
      <c r="I207" s="4" t="s">
        <v>67</v>
      </c>
      <c r="J207" s="4" t="s">
        <v>144</v>
      </c>
      <c r="K207" s="4" t="s">
        <v>69</v>
      </c>
      <c r="L207" s="4"/>
      <c r="M207" s="3" t="n">
        <v>2015.46</v>
      </c>
    </row>
    <row r="208" customFormat="false" ht="15" hidden="false" customHeight="false" outlineLevel="0" collapsed="false">
      <c r="A208" s="4" t="n">
        <v>10</v>
      </c>
      <c r="B208" s="4" t="s">
        <v>20</v>
      </c>
      <c r="C208" s="4" t="s">
        <v>62</v>
      </c>
      <c r="D208" s="4" t="s">
        <v>220</v>
      </c>
      <c r="E208" s="4" t="s">
        <v>64</v>
      </c>
      <c r="F208" s="4" t="s">
        <v>65</v>
      </c>
      <c r="G208" s="4" t="n">
        <v>0</v>
      </c>
      <c r="H208" s="4" t="s">
        <v>66</v>
      </c>
      <c r="I208" s="4" t="s">
        <v>67</v>
      </c>
      <c r="J208" s="4" t="s">
        <v>68</v>
      </c>
      <c r="K208" s="4" t="s">
        <v>69</v>
      </c>
      <c r="L208" s="4" t="s">
        <v>70</v>
      </c>
      <c r="M208" s="3" t="n">
        <v>13247.18</v>
      </c>
    </row>
    <row r="209" customFormat="false" ht="15" hidden="false" customHeight="false" outlineLevel="0" collapsed="false">
      <c r="A209" s="4" t="n">
        <v>10</v>
      </c>
      <c r="B209" s="4" t="s">
        <v>20</v>
      </c>
      <c r="C209" s="4" t="s">
        <v>62</v>
      </c>
      <c r="D209" s="4" t="s">
        <v>220</v>
      </c>
      <c r="E209" s="4" t="s">
        <v>71</v>
      </c>
      <c r="F209" s="4" t="s">
        <v>72</v>
      </c>
      <c r="G209" s="4" t="n">
        <v>1000</v>
      </c>
      <c r="H209" s="4" t="s">
        <v>66</v>
      </c>
      <c r="I209" s="4" t="s">
        <v>67</v>
      </c>
      <c r="J209" s="4" t="s">
        <v>68</v>
      </c>
      <c r="K209" s="4" t="s">
        <v>69</v>
      </c>
      <c r="L209" s="4"/>
      <c r="M209" s="3" t="n">
        <v>1324.71</v>
      </c>
    </row>
    <row r="210" customFormat="false" ht="15" hidden="false" customHeight="false" outlineLevel="0" collapsed="false">
      <c r="A210" s="4" t="n">
        <v>10</v>
      </c>
      <c r="B210" s="4" t="s">
        <v>20</v>
      </c>
      <c r="C210" s="4" t="s">
        <v>62</v>
      </c>
      <c r="D210" s="4" t="s">
        <v>220</v>
      </c>
      <c r="E210" s="4" t="s">
        <v>73</v>
      </c>
      <c r="F210" s="4" t="s">
        <v>74</v>
      </c>
      <c r="G210" s="4" t="n">
        <v>1000</v>
      </c>
      <c r="H210" s="4" t="s">
        <v>221</v>
      </c>
      <c r="I210" s="4" t="s">
        <v>67</v>
      </c>
      <c r="J210" s="4" t="s">
        <v>68</v>
      </c>
      <c r="K210" s="4" t="s">
        <v>69</v>
      </c>
      <c r="L210" s="4"/>
      <c r="M210" s="3" t="n">
        <v>1324.71</v>
      </c>
    </row>
    <row r="211" customFormat="false" ht="15" hidden="false" customHeight="false" outlineLevel="0" collapsed="false">
      <c r="A211" s="4" t="n">
        <v>10</v>
      </c>
      <c r="B211" s="4" t="s">
        <v>20</v>
      </c>
      <c r="C211" s="4" t="s">
        <v>62</v>
      </c>
      <c r="D211" s="4" t="s">
        <v>220</v>
      </c>
      <c r="E211" s="4" t="s">
        <v>76</v>
      </c>
      <c r="F211" s="4" t="s">
        <v>77</v>
      </c>
      <c r="G211" s="4" t="n">
        <v>16</v>
      </c>
      <c r="H211" s="4" t="s">
        <v>66</v>
      </c>
      <c r="I211" s="4" t="s">
        <v>67</v>
      </c>
      <c r="J211" s="4" t="s">
        <v>68</v>
      </c>
      <c r="K211" s="4" t="s">
        <v>69</v>
      </c>
      <c r="L211" s="4" t="s">
        <v>70</v>
      </c>
      <c r="M211" s="3" t="n">
        <v>2119.54</v>
      </c>
    </row>
    <row r="212" customFormat="false" ht="15" hidden="false" customHeight="false" outlineLevel="0" collapsed="false">
      <c r="A212" s="4" t="n">
        <v>10</v>
      </c>
      <c r="B212" s="4" t="s">
        <v>20</v>
      </c>
      <c r="C212" s="4" t="s">
        <v>62</v>
      </c>
      <c r="D212" s="4" t="s">
        <v>220</v>
      </c>
      <c r="E212" s="4" t="s">
        <v>78</v>
      </c>
      <c r="F212" s="4" t="s">
        <v>79</v>
      </c>
      <c r="G212" s="4" t="n">
        <v>30</v>
      </c>
      <c r="H212" s="4" t="s">
        <v>80</v>
      </c>
      <c r="I212" s="4" t="s">
        <v>67</v>
      </c>
      <c r="J212" s="4" t="s">
        <v>68</v>
      </c>
      <c r="K212" s="4" t="s">
        <v>69</v>
      </c>
      <c r="L212" s="4" t="s">
        <v>70</v>
      </c>
      <c r="M212" s="3" t="n">
        <v>3974.15</v>
      </c>
    </row>
    <row r="213" customFormat="false" ht="15" hidden="false" customHeight="false" outlineLevel="0" collapsed="false">
      <c r="A213" s="4" t="n">
        <v>10</v>
      </c>
      <c r="B213" s="4" t="s">
        <v>20</v>
      </c>
      <c r="C213" s="4" t="s">
        <v>62</v>
      </c>
      <c r="D213" s="4" t="s">
        <v>220</v>
      </c>
      <c r="E213" s="4" t="s">
        <v>81</v>
      </c>
      <c r="F213" s="4" t="s">
        <v>82</v>
      </c>
      <c r="G213" s="4" t="n">
        <v>0</v>
      </c>
      <c r="H213" s="4" t="s">
        <v>80</v>
      </c>
      <c r="I213" s="4" t="s">
        <v>67</v>
      </c>
      <c r="J213" s="4" t="s">
        <v>68</v>
      </c>
      <c r="K213" s="4" t="s">
        <v>69</v>
      </c>
      <c r="L213" s="4"/>
      <c r="M213" s="3" t="n">
        <v>1676.54</v>
      </c>
    </row>
    <row r="214" customFormat="false" ht="15" hidden="false" customHeight="false" outlineLevel="0" collapsed="false">
      <c r="A214" s="4" t="n">
        <v>10</v>
      </c>
      <c r="B214" s="4" t="s">
        <v>20</v>
      </c>
      <c r="C214" s="4" t="s">
        <v>62</v>
      </c>
      <c r="D214" s="4" t="s">
        <v>220</v>
      </c>
      <c r="E214" s="4" t="s">
        <v>83</v>
      </c>
      <c r="F214" s="4" t="s">
        <v>84</v>
      </c>
      <c r="G214" s="4" t="n">
        <v>10</v>
      </c>
      <c r="H214" s="4" t="s">
        <v>66</v>
      </c>
      <c r="I214" s="4" t="s">
        <v>67</v>
      </c>
      <c r="J214" s="4" t="s">
        <v>68</v>
      </c>
      <c r="K214" s="4" t="s">
        <v>69</v>
      </c>
      <c r="L214" s="4"/>
      <c r="M214" s="3" t="n">
        <v>1324.71</v>
      </c>
    </row>
    <row r="215" customFormat="false" ht="15" hidden="false" customHeight="false" outlineLevel="0" collapsed="false">
      <c r="A215" s="4" t="n">
        <v>10</v>
      </c>
      <c r="B215" s="4" t="s">
        <v>20</v>
      </c>
      <c r="C215" s="4" t="s">
        <v>62</v>
      </c>
      <c r="D215" s="4" t="s">
        <v>220</v>
      </c>
      <c r="E215" s="4" t="s">
        <v>85</v>
      </c>
      <c r="F215" s="4" t="s">
        <v>86</v>
      </c>
      <c r="G215" s="4" t="n">
        <v>22</v>
      </c>
      <c r="H215" s="4" t="s">
        <v>66</v>
      </c>
      <c r="I215" s="4" t="s">
        <v>67</v>
      </c>
      <c r="J215" s="4" t="s">
        <v>87</v>
      </c>
      <c r="K215" s="4" t="s">
        <v>88</v>
      </c>
      <c r="L215" s="4"/>
      <c r="M215" s="3" t="n">
        <v>640</v>
      </c>
    </row>
    <row r="216" customFormat="false" ht="15" hidden="false" customHeight="false" outlineLevel="0" collapsed="false">
      <c r="A216" s="4" t="n">
        <v>10</v>
      </c>
      <c r="B216" s="4" t="s">
        <v>20</v>
      </c>
      <c r="C216" s="4" t="s">
        <v>62</v>
      </c>
      <c r="D216" s="4" t="s">
        <v>220</v>
      </c>
      <c r="E216" s="4" t="s">
        <v>157</v>
      </c>
      <c r="F216" s="4" t="s">
        <v>158</v>
      </c>
      <c r="G216" s="4" t="n">
        <v>3525</v>
      </c>
      <c r="H216" s="4" t="s">
        <v>143</v>
      </c>
      <c r="I216" s="4" t="s">
        <v>67</v>
      </c>
      <c r="J216" s="4" t="s">
        <v>144</v>
      </c>
      <c r="K216" s="4" t="s">
        <v>69</v>
      </c>
      <c r="L216" s="4"/>
      <c r="M216" s="3" t="n">
        <v>2488.37</v>
      </c>
    </row>
    <row r="217" customFormat="false" ht="15" hidden="false" customHeight="false" outlineLevel="0" collapsed="false">
      <c r="A217" s="4" t="n">
        <v>10</v>
      </c>
      <c r="B217" s="4" t="s">
        <v>20</v>
      </c>
      <c r="C217" s="4" t="s">
        <v>62</v>
      </c>
      <c r="D217" s="4" t="s">
        <v>220</v>
      </c>
      <c r="E217" s="4" t="s">
        <v>159</v>
      </c>
      <c r="F217" s="4" t="s">
        <v>160</v>
      </c>
      <c r="G217" s="4" t="n">
        <v>5837</v>
      </c>
      <c r="H217" s="4" t="s">
        <v>143</v>
      </c>
      <c r="I217" s="4" t="s">
        <v>67</v>
      </c>
      <c r="J217" s="4" t="s">
        <v>144</v>
      </c>
      <c r="K217" s="4" t="s">
        <v>69</v>
      </c>
      <c r="L217" s="4"/>
      <c r="M217" s="3" t="n">
        <v>5147.71</v>
      </c>
    </row>
    <row r="218" customFormat="false" ht="15" hidden="false" customHeight="false" outlineLevel="0" collapsed="false">
      <c r="A218" s="4" t="n">
        <v>10</v>
      </c>
      <c r="B218" s="4" t="s">
        <v>20</v>
      </c>
      <c r="C218" s="4" t="s">
        <v>62</v>
      </c>
      <c r="D218" s="4" t="s">
        <v>220</v>
      </c>
      <c r="E218" s="4" t="s">
        <v>89</v>
      </c>
      <c r="F218" s="4" t="s">
        <v>90</v>
      </c>
      <c r="G218" s="4" t="n">
        <v>0</v>
      </c>
      <c r="H218" s="4" t="s">
        <v>222</v>
      </c>
      <c r="I218" s="4" t="s">
        <v>92</v>
      </c>
      <c r="J218" s="4" t="s">
        <v>93</v>
      </c>
      <c r="K218" s="4" t="s">
        <v>94</v>
      </c>
      <c r="L218" s="4"/>
      <c r="M218" s="3" t="n">
        <v>784.41</v>
      </c>
    </row>
    <row r="219" customFormat="false" ht="15" hidden="false" customHeight="false" outlineLevel="0" collapsed="false">
      <c r="A219" s="4" t="n">
        <v>10</v>
      </c>
      <c r="B219" s="4" t="s">
        <v>20</v>
      </c>
      <c r="C219" s="4" t="s">
        <v>62</v>
      </c>
      <c r="D219" s="4" t="s">
        <v>220</v>
      </c>
      <c r="E219" s="4" t="s">
        <v>95</v>
      </c>
      <c r="F219" s="4" t="s">
        <v>96</v>
      </c>
      <c r="G219" s="4" t="n">
        <v>0</v>
      </c>
      <c r="H219" s="4" t="s">
        <v>215</v>
      </c>
      <c r="I219" s="4" t="s">
        <v>92</v>
      </c>
      <c r="J219" s="4" t="s">
        <v>93</v>
      </c>
      <c r="K219" s="4" t="s">
        <v>94</v>
      </c>
      <c r="L219" s="4"/>
      <c r="M219" s="3" t="n">
        <v>1150.79</v>
      </c>
    </row>
    <row r="220" customFormat="false" ht="15" hidden="false" customHeight="false" outlineLevel="0" collapsed="false">
      <c r="A220" s="4" t="n">
        <v>10</v>
      </c>
      <c r="B220" s="4" t="s">
        <v>20</v>
      </c>
      <c r="C220" s="4" t="s">
        <v>62</v>
      </c>
      <c r="D220" s="4" t="s">
        <v>220</v>
      </c>
      <c r="E220" s="4" t="s">
        <v>98</v>
      </c>
      <c r="F220" s="4" t="s">
        <v>99</v>
      </c>
      <c r="G220" s="4" t="n">
        <v>0</v>
      </c>
      <c r="H220" s="4" t="s">
        <v>223</v>
      </c>
      <c r="I220" s="4" t="s">
        <v>92</v>
      </c>
      <c r="J220" s="4" t="s">
        <v>93</v>
      </c>
      <c r="K220" s="4" t="s">
        <v>94</v>
      </c>
      <c r="L220" s="4"/>
      <c r="M220" s="3" t="n">
        <v>804.69</v>
      </c>
    </row>
    <row r="221" customFormat="false" ht="15" hidden="false" customHeight="false" outlineLevel="0" collapsed="false">
      <c r="A221" s="4" t="n">
        <v>10</v>
      </c>
      <c r="B221" s="4" t="s">
        <v>20</v>
      </c>
      <c r="C221" s="4" t="s">
        <v>62</v>
      </c>
      <c r="D221" s="4" t="s">
        <v>220</v>
      </c>
      <c r="E221" s="4" t="s">
        <v>101</v>
      </c>
      <c r="F221" s="4" t="s">
        <v>102</v>
      </c>
      <c r="G221" s="4" t="n">
        <v>0</v>
      </c>
      <c r="H221" s="4" t="s">
        <v>224</v>
      </c>
      <c r="I221" s="4" t="s">
        <v>92</v>
      </c>
      <c r="J221" s="4" t="s">
        <v>93</v>
      </c>
      <c r="K221" s="4" t="s">
        <v>94</v>
      </c>
      <c r="L221" s="4"/>
      <c r="M221" s="3" t="n">
        <v>393.33</v>
      </c>
    </row>
    <row r="222" customFormat="false" ht="15" hidden="false" customHeight="false" outlineLevel="0" collapsed="false">
      <c r="A222" s="4" t="n">
        <v>10</v>
      </c>
      <c r="B222" s="4" t="s">
        <v>20</v>
      </c>
      <c r="C222" s="4" t="s">
        <v>62</v>
      </c>
      <c r="D222" s="4" t="s">
        <v>220</v>
      </c>
      <c r="E222" s="4" t="s">
        <v>104</v>
      </c>
      <c r="F222" s="4" t="s">
        <v>105</v>
      </c>
      <c r="G222" s="4" t="n">
        <v>0</v>
      </c>
      <c r="H222" s="4" t="s">
        <v>172</v>
      </c>
      <c r="I222" s="4" t="s">
        <v>92</v>
      </c>
      <c r="J222" s="4" t="s">
        <v>93</v>
      </c>
      <c r="K222" s="4" t="s">
        <v>94</v>
      </c>
      <c r="L222" s="4"/>
      <c r="M222" s="3" t="n">
        <v>212.04</v>
      </c>
    </row>
    <row r="223" customFormat="false" ht="15" hidden="false" customHeight="false" outlineLevel="0" collapsed="false">
      <c r="A223" s="4" t="n">
        <v>10</v>
      </c>
      <c r="B223" s="4" t="s">
        <v>20</v>
      </c>
      <c r="C223" s="4" t="s">
        <v>62</v>
      </c>
      <c r="D223" s="4" t="s">
        <v>220</v>
      </c>
      <c r="E223" s="4" t="s">
        <v>107</v>
      </c>
      <c r="F223" s="4" t="s">
        <v>108</v>
      </c>
      <c r="G223" s="4" t="n">
        <v>0</v>
      </c>
      <c r="H223" s="4" t="s">
        <v>225</v>
      </c>
      <c r="I223" s="4" t="s">
        <v>92</v>
      </c>
      <c r="J223" s="4" t="s">
        <v>93</v>
      </c>
      <c r="K223" s="4" t="s">
        <v>94</v>
      </c>
      <c r="L223" s="4"/>
      <c r="M223" s="3" t="n">
        <v>770.58</v>
      </c>
    </row>
    <row r="224" customFormat="false" ht="15" hidden="false" customHeight="false" outlineLevel="0" collapsed="false">
      <c r="A224" s="4" t="n">
        <v>10</v>
      </c>
      <c r="B224" s="4" t="s">
        <v>20</v>
      </c>
      <c r="C224" s="4" t="s">
        <v>62</v>
      </c>
      <c r="D224" s="4" t="s">
        <v>220</v>
      </c>
      <c r="E224" s="4" t="s">
        <v>110</v>
      </c>
      <c r="F224" s="4" t="s">
        <v>111</v>
      </c>
      <c r="G224" s="4" t="n">
        <v>0</v>
      </c>
      <c r="H224" s="4" t="s">
        <v>80</v>
      </c>
      <c r="I224" s="4" t="s">
        <v>92</v>
      </c>
      <c r="J224" s="4" t="s">
        <v>93</v>
      </c>
      <c r="K224" s="4" t="s">
        <v>94</v>
      </c>
      <c r="L224" s="4"/>
      <c r="M224" s="3" t="n">
        <v>67.06</v>
      </c>
    </row>
    <row r="225" customFormat="false" ht="15" hidden="false" customHeight="false" outlineLevel="0" collapsed="false">
      <c r="A225" s="4" t="n">
        <v>10</v>
      </c>
      <c r="B225" s="4" t="s">
        <v>20</v>
      </c>
      <c r="C225" s="4" t="s">
        <v>62</v>
      </c>
      <c r="D225" s="4" t="s">
        <v>220</v>
      </c>
      <c r="E225" s="4" t="s">
        <v>112</v>
      </c>
      <c r="F225" s="4" t="s">
        <v>113</v>
      </c>
      <c r="G225" s="4" t="n">
        <v>0</v>
      </c>
      <c r="H225" s="4" t="s">
        <v>226</v>
      </c>
      <c r="I225" s="4" t="s">
        <v>92</v>
      </c>
      <c r="J225" s="4" t="s">
        <v>93</v>
      </c>
      <c r="K225" s="4" t="s">
        <v>94</v>
      </c>
      <c r="L225" s="4"/>
      <c r="M225" s="3" t="n">
        <v>229.97</v>
      </c>
    </row>
    <row r="226" customFormat="false" ht="15" hidden="false" customHeight="false" outlineLevel="0" collapsed="false">
      <c r="A226" s="4" t="n">
        <v>10</v>
      </c>
      <c r="B226" s="4" t="s">
        <v>20</v>
      </c>
      <c r="C226" s="4" t="s">
        <v>62</v>
      </c>
      <c r="D226" s="4" t="s">
        <v>220</v>
      </c>
      <c r="E226" s="4" t="s">
        <v>115</v>
      </c>
      <c r="F226" s="4" t="s">
        <v>116</v>
      </c>
      <c r="G226" s="4" t="n">
        <v>0</v>
      </c>
      <c r="H226" s="4" t="s">
        <v>204</v>
      </c>
      <c r="I226" s="4" t="s">
        <v>92</v>
      </c>
      <c r="J226" s="4" t="s">
        <v>93</v>
      </c>
      <c r="K226" s="4" t="s">
        <v>94</v>
      </c>
      <c r="L226" s="4"/>
      <c r="M226" s="3" t="n">
        <v>398.26</v>
      </c>
    </row>
    <row r="227" customFormat="false" ht="15" hidden="false" customHeight="false" outlineLevel="0" collapsed="false">
      <c r="A227" s="4" t="n">
        <v>10</v>
      </c>
      <c r="B227" s="4" t="s">
        <v>20</v>
      </c>
      <c r="C227" s="4" t="s">
        <v>62</v>
      </c>
      <c r="D227" s="4" t="s">
        <v>220</v>
      </c>
      <c r="E227" s="4" t="s">
        <v>118</v>
      </c>
      <c r="F227" s="4" t="s">
        <v>119</v>
      </c>
      <c r="G227" s="4" t="n">
        <v>0</v>
      </c>
      <c r="H227" s="4" t="s">
        <v>207</v>
      </c>
      <c r="I227" s="4" t="s">
        <v>92</v>
      </c>
      <c r="J227" s="4" t="s">
        <v>93</v>
      </c>
      <c r="K227" s="4" t="s">
        <v>94</v>
      </c>
      <c r="L227" s="4"/>
      <c r="M227" s="3" t="n">
        <v>463.21</v>
      </c>
    </row>
    <row r="228" customFormat="false" ht="15" hidden="false" customHeight="false" outlineLevel="0" collapsed="false">
      <c r="A228" s="4" t="n">
        <v>10</v>
      </c>
      <c r="B228" s="4" t="s">
        <v>20</v>
      </c>
      <c r="C228" s="4" t="s">
        <v>62</v>
      </c>
      <c r="D228" s="4" t="s">
        <v>220</v>
      </c>
      <c r="E228" s="4" t="s">
        <v>121</v>
      </c>
      <c r="F228" s="4" t="s">
        <v>122</v>
      </c>
      <c r="G228" s="4" t="n">
        <v>1400</v>
      </c>
      <c r="H228" s="4" t="s">
        <v>66</v>
      </c>
      <c r="I228" s="4" t="s">
        <v>92</v>
      </c>
      <c r="J228" s="4" t="s">
        <v>123</v>
      </c>
      <c r="K228" s="4" t="s">
        <v>124</v>
      </c>
      <c r="L228" s="4"/>
      <c r="M228" s="3" t="n">
        <v>2707.72</v>
      </c>
    </row>
    <row r="229" customFormat="false" ht="15" hidden="false" customHeight="false" outlineLevel="0" collapsed="false">
      <c r="A229" s="12" t="n">
        <v>10</v>
      </c>
      <c r="B229" s="12" t="s">
        <v>20</v>
      </c>
      <c r="C229" s="12" t="s">
        <v>62</v>
      </c>
      <c r="D229" s="12" t="s">
        <v>220</v>
      </c>
      <c r="E229" s="12" t="s">
        <v>125</v>
      </c>
      <c r="F229" s="12" t="s">
        <v>126</v>
      </c>
      <c r="G229" s="12" t="n">
        <v>2750</v>
      </c>
      <c r="H229" s="12" t="s">
        <v>66</v>
      </c>
      <c r="I229" s="12" t="s">
        <v>92</v>
      </c>
      <c r="J229" s="12" t="s">
        <v>127</v>
      </c>
      <c r="K229" s="12" t="s">
        <v>128</v>
      </c>
      <c r="L229" s="12"/>
      <c r="M229" s="13" t="n">
        <v>7214.96</v>
      </c>
    </row>
  </sheetData>
  <autoFilter ref="A3:M2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227</v>
      </c>
    </row>
    <row r="2" customFormat="false" ht="45" hidden="false" customHeight="true" outlineLevel="0" collapsed="false">
      <c r="A2" s="7" t="s">
        <v>228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15" hidden="false" customHeight="false" outlineLevel="0" collapsed="false">
      <c r="B3" s="14" t="s">
        <v>229</v>
      </c>
      <c r="C3" s="14" t="n">
        <v>1</v>
      </c>
      <c r="D3" s="14" t="n">
        <v>2</v>
      </c>
      <c r="E3" s="14" t="n">
        <v>3</v>
      </c>
      <c r="F3" s="14" t="n">
        <v>4</v>
      </c>
      <c r="G3" s="14" t="n">
        <v>5</v>
      </c>
      <c r="H3" s="14" t="n">
        <v>6</v>
      </c>
      <c r="I3" s="14" t="n">
        <v>7</v>
      </c>
      <c r="J3" s="14" t="n">
        <v>8</v>
      </c>
      <c r="K3" s="14" t="n">
        <v>9</v>
      </c>
      <c r="L3" s="14" t="n">
        <v>10</v>
      </c>
    </row>
    <row r="4" customFormat="false" ht="28.35" hidden="false" customHeight="false" outlineLevel="0" collapsed="false">
      <c r="A4" s="2" t="s">
        <v>230</v>
      </c>
      <c r="B4" s="2" t="s">
        <v>231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232</v>
      </c>
    </row>
    <row r="5" customFormat="false" ht="28.35" hidden="false" customHeight="false" outlineLevel="0" collapsed="false">
      <c r="A5" s="15" t="s">
        <v>233</v>
      </c>
      <c r="B5" s="16" t="s">
        <v>234</v>
      </c>
      <c r="C5" s="3" t="n">
        <f aca="false">SUMIFS(2_Rubricas!$M$4:$M$229,2_Rubricas!$A$4:$A$229,C$3,2_Rubricas!$J$4:$J$229,"Remuneração")</f>
        <v>24132.99</v>
      </c>
      <c r="D5" s="3" t="n">
        <f aca="false">SUMIFS(2_Rubricas!$M$4:$M$229,2_Rubricas!$A$4:$A$229,D$3,2_Rubricas!$J$4:$J$229,"Remuneração")</f>
        <v>24132.99</v>
      </c>
      <c r="E5" s="3" t="n">
        <f aca="false">SUMIFS(2_Rubricas!$M$4:$M$229,2_Rubricas!$A$4:$A$229,E$3,2_Rubricas!$J$4:$J$229,"Remuneração")</f>
        <v>23919.08</v>
      </c>
      <c r="F5" s="3" t="n">
        <f aca="false">SUMIFS(2_Rubricas!$M$4:$M$229,2_Rubricas!$A$4:$A$229,F$3,2_Rubricas!$J$4:$J$229,"Remuneração")</f>
        <v>24004.67</v>
      </c>
      <c r="G5" s="3" t="n">
        <f aca="false">SUMIFS(2_Rubricas!$M$4:$M$229,2_Rubricas!$A$4:$A$229,G$3,2_Rubricas!$J$4:$J$229,"Remuneração")</f>
        <v>24229.78</v>
      </c>
      <c r="H5" s="3" t="n">
        <f aca="false">SUMIFS(2_Rubricas!$M$4:$M$229,2_Rubricas!$A$4:$A$229,H$3,2_Rubricas!$J$4:$J$229,"Remuneração")</f>
        <v>23534.36</v>
      </c>
      <c r="I5" s="3" t="n">
        <f aca="false">SUMIFS(2_Rubricas!$M$4:$M$229,2_Rubricas!$A$4:$A$229,I$3,2_Rubricas!$J$4:$J$229,"Remuneração")</f>
        <v>26183.78</v>
      </c>
      <c r="J5" s="3" t="n">
        <f aca="false">SUMIFS(2_Rubricas!$M$4:$M$229,2_Rubricas!$A$4:$A$229,J$3,2_Rubricas!$J$4:$J$229,"Remuneração")</f>
        <v>24859.07</v>
      </c>
      <c r="K5" s="3" t="n">
        <f aca="false">SUMIFS(2_Rubricas!$M$4:$M$229,2_Rubricas!$A$4:$A$229,K$3,2_Rubricas!$J$4:$J$229,"Remuneração")</f>
        <v>24859.07</v>
      </c>
      <c r="L5" s="3" t="n">
        <f aca="false">SUMIFS(2_Rubricas!$M$4:$M$229,2_Rubricas!$A$4:$A$229,L$3,2_Rubricas!$J$4:$J$229,"Remuneração")</f>
        <v>24991.54</v>
      </c>
      <c r="M5" s="17" t="n">
        <f aca="false">SUM(C5:L5)</f>
        <v>244847.33</v>
      </c>
    </row>
    <row r="6" customFormat="false" ht="15" hidden="false" customHeight="false" outlineLevel="0" collapsed="false">
      <c r="A6" s="15" t="s">
        <v>235</v>
      </c>
      <c r="B6" s="16" t="s">
        <v>236</v>
      </c>
      <c r="C6" s="3" t="n">
        <f aca="false">SUMIFS(2_Rubricas!$M$4:$M$229,2_Rubricas!$A$4:$A$229,C$3,2_Rubricas!$J$4:$J$229,"1/3 Férias")</f>
        <v>0</v>
      </c>
      <c r="D6" s="3" t="n">
        <f aca="false">SUMIFS(2_Rubricas!$M$4:$M$229,2_Rubricas!$A$4:$A$229,D$3,2_Rubricas!$J$4:$J$229,"1/3 Férias")</f>
        <v>0</v>
      </c>
      <c r="E6" s="3" t="n">
        <f aca="false">SUMIFS(2_Rubricas!$M$4:$M$229,2_Rubricas!$A$4:$A$229,E$3,2_Rubricas!$J$4:$J$229,"1/3 Férias")</f>
        <v>0</v>
      </c>
      <c r="F6" s="3" t="n">
        <f aca="false">SUMIFS(2_Rubricas!$M$4:$M$229,2_Rubricas!$A$4:$A$229,F$3,2_Rubricas!$J$4:$J$229,"1/3 Férias")</f>
        <v>0</v>
      </c>
      <c r="G6" s="3" t="n">
        <f aca="false">SUMIFS(2_Rubricas!$M$4:$M$229,2_Rubricas!$A$4:$A$229,G$3,2_Rubricas!$J$4:$J$229,"1/3 Férias")</f>
        <v>0</v>
      </c>
      <c r="H6" s="3" t="n">
        <f aca="false">SUMIFS(2_Rubricas!$M$4:$M$229,2_Rubricas!$A$4:$A$229,H$3,2_Rubricas!$J$4:$J$229,"1/3 Férias")</f>
        <v>7844.78</v>
      </c>
      <c r="I6" s="3" t="n">
        <f aca="false">SUMIFS(2_Rubricas!$M$4:$M$229,2_Rubricas!$A$4:$A$229,I$3,2_Rubricas!$J$4:$J$229,"1/3 Férias")</f>
        <v>0</v>
      </c>
      <c r="J6" s="3" t="n">
        <f aca="false">SUMIFS(2_Rubricas!$M$4:$M$229,2_Rubricas!$A$4:$A$229,J$3,2_Rubricas!$J$4:$J$229,"1/3 Férias")</f>
        <v>0</v>
      </c>
      <c r="K6" s="3" t="n">
        <f aca="false">SUMIFS(2_Rubricas!$M$4:$M$229,2_Rubricas!$A$4:$A$229,K$3,2_Rubricas!$J$4:$J$229,"1/3 Férias")</f>
        <v>0</v>
      </c>
      <c r="L6" s="3" t="n">
        <f aca="false">SUMIFS(2_Rubricas!$M$4:$M$229,2_Rubricas!$A$4:$A$229,L$3,2_Rubricas!$J$4:$J$229,"1/3 Férias")</f>
        <v>0</v>
      </c>
      <c r="M6" s="17" t="n">
        <f aca="false">SUM(C6:L6)</f>
        <v>7844.78</v>
      </c>
    </row>
    <row r="7" customFormat="false" ht="28.35" hidden="false" customHeight="false" outlineLevel="0" collapsed="false">
      <c r="A7" s="15" t="s">
        <v>237</v>
      </c>
      <c r="B7" s="16" t="s">
        <v>238</v>
      </c>
      <c r="C7" s="3" t="n">
        <f aca="false">SUMIFS(2_Rubricas!$M$4:$M$229,2_Rubricas!$A$4:$A$229,C$3,2_Rubricas!$J$4:$J$229,"TPD")</f>
        <v>0</v>
      </c>
      <c r="D7" s="3" t="n">
        <f aca="false">SUMIFS(2_Rubricas!$M$4:$M$229,2_Rubricas!$A$4:$A$229,D$3,2_Rubricas!$J$4:$J$229,"TPD")</f>
        <v>1244.14</v>
      </c>
      <c r="E7" s="3" t="n">
        <f aca="false">SUMIFS(2_Rubricas!$M$4:$M$229,2_Rubricas!$A$4:$A$229,E$3,2_Rubricas!$J$4:$J$229,"TPD")</f>
        <v>5404.78</v>
      </c>
      <c r="F7" s="3" t="n">
        <f aca="false">SUMIFS(2_Rubricas!$M$4:$M$229,2_Rubricas!$A$4:$A$229,F$3,2_Rubricas!$J$4:$J$229,"TPD")</f>
        <v>5604.16</v>
      </c>
      <c r="G7" s="3" t="n">
        <f aca="false">SUMIFS(2_Rubricas!$M$4:$M$229,2_Rubricas!$A$4:$A$229,G$3,2_Rubricas!$J$4:$J$229,"TPD")</f>
        <v>6806.53</v>
      </c>
      <c r="H7" s="3" t="n">
        <f aca="false">SUMIFS(2_Rubricas!$M$4:$M$229,2_Rubricas!$A$4:$A$229,H$3,2_Rubricas!$J$4:$J$229,"TPD")</f>
        <v>7143.14</v>
      </c>
      <c r="I7" s="3" t="n">
        <f aca="false">SUMIFS(2_Rubricas!$M$4:$M$229,2_Rubricas!$A$4:$A$229,I$3,2_Rubricas!$J$4:$J$229,"TPD")</f>
        <v>5756.72</v>
      </c>
      <c r="J7" s="3" t="n">
        <f aca="false">SUMIFS(2_Rubricas!$M$4:$M$229,2_Rubricas!$A$4:$A$229,J$3,2_Rubricas!$J$4:$J$229,"TPD")</f>
        <v>7237.12</v>
      </c>
      <c r="K7" s="3" t="n">
        <f aca="false">SUMIFS(2_Rubricas!$M$4:$M$229,2_Rubricas!$A$4:$A$229,K$3,2_Rubricas!$J$4:$J$229,"TPD")</f>
        <v>4428.88</v>
      </c>
      <c r="L7" s="3" t="n">
        <f aca="false">SUMIFS(2_Rubricas!$M$4:$M$229,2_Rubricas!$A$4:$A$229,L$3,2_Rubricas!$J$4:$J$229,"TPD")</f>
        <v>7636.08</v>
      </c>
      <c r="M7" s="17" t="n">
        <f aca="false">SUM(C7:L7)</f>
        <v>51261.55</v>
      </c>
    </row>
    <row r="8" customFormat="false" ht="28.35" hidden="false" customHeight="false" outlineLevel="0" collapsed="false">
      <c r="A8" s="15" t="s">
        <v>239</v>
      </c>
      <c r="B8" s="16" t="s">
        <v>240</v>
      </c>
      <c r="C8" s="18" t="n">
        <f aca="false">SUMIFS(2_Rubricas!$M$4:$M$229,2_Rubricas!$A$4:$A$229,C$3,2_Rubricas!$J$4:$J$229,"Aux. Alimentação")</f>
        <v>640</v>
      </c>
      <c r="D8" s="18" t="n">
        <f aca="false">SUMIFS(2_Rubricas!$M$4:$M$229,2_Rubricas!$A$4:$A$229,D$3,2_Rubricas!$J$4:$J$229,"Aux. Alimentação")</f>
        <v>640</v>
      </c>
      <c r="E8" s="18" t="n">
        <f aca="false">SUMIFS(2_Rubricas!$M$4:$M$229,2_Rubricas!$A$4:$A$229,E$3,2_Rubricas!$J$4:$J$229,"Aux. Alimentação")</f>
        <v>494.54</v>
      </c>
      <c r="F8" s="18" t="n">
        <f aca="false">SUMIFS(2_Rubricas!$M$4:$M$229,2_Rubricas!$A$4:$A$229,F$3,2_Rubricas!$J$4:$J$229,"Aux. Alimentação")</f>
        <v>552.72</v>
      </c>
      <c r="G8" s="18" t="n">
        <f aca="false">SUMIFS(2_Rubricas!$M$4:$M$229,2_Rubricas!$A$4:$A$229,G$3,2_Rubricas!$J$4:$J$229,"Aux. Alimentação")</f>
        <v>640</v>
      </c>
      <c r="H8" s="18" t="n">
        <f aca="false">SUMIFS(2_Rubricas!$M$4:$M$229,2_Rubricas!$A$4:$A$229,H$3,2_Rubricas!$J$4:$J$229,"Aux. Alimentação")</f>
        <v>640</v>
      </c>
      <c r="I8" s="18" t="n">
        <f aca="false">SUMIFS(2_Rubricas!$M$4:$M$229,2_Rubricas!$A$4:$A$229,I$3,2_Rubricas!$J$4:$J$229,"Aux. Alimentação")</f>
        <v>640</v>
      </c>
      <c r="J8" s="18" t="n">
        <f aca="false">SUMIFS(2_Rubricas!$M$4:$M$229,2_Rubricas!$A$4:$A$229,J$3,2_Rubricas!$J$4:$J$229,"Aux. Alimentação")</f>
        <v>640</v>
      </c>
      <c r="K8" s="18" t="n">
        <f aca="false">SUMIFS(2_Rubricas!$M$4:$M$229,2_Rubricas!$A$4:$A$229,K$3,2_Rubricas!$J$4:$J$229,"Aux. Alimentação")</f>
        <v>640</v>
      </c>
      <c r="L8" s="18" t="n">
        <f aca="false">SUMIFS(2_Rubricas!$M$4:$M$229,2_Rubricas!$A$4:$A$229,L$3,2_Rubricas!$J$4:$J$229,"Aux. Alimentação")</f>
        <v>640</v>
      </c>
      <c r="M8" s="17" t="n">
        <f aca="false">SUM(C8:L8)</f>
        <v>6167.26</v>
      </c>
    </row>
    <row r="9" customFormat="false" ht="28.35" hidden="false" customHeight="false" outlineLevel="0" collapsed="false">
      <c r="A9" s="15" t="s">
        <v>241</v>
      </c>
      <c r="B9" s="19" t="s">
        <v>242</v>
      </c>
      <c r="C9" s="20" t="n">
        <f aca="false">C5+C6+C7</f>
        <v>24132.99</v>
      </c>
      <c r="D9" s="20" t="n">
        <f aca="false">D5+D6+D7</f>
        <v>25377.13</v>
      </c>
      <c r="E9" s="20" t="n">
        <f aca="false">E5+E6+E7</f>
        <v>29323.86</v>
      </c>
      <c r="F9" s="20" t="n">
        <f aca="false">F5+F6+F7</f>
        <v>29608.83</v>
      </c>
      <c r="G9" s="20" t="n">
        <f aca="false">G5+G6+G7</f>
        <v>31036.31</v>
      </c>
      <c r="H9" s="20" t="n">
        <f aca="false">H5+H6+H7</f>
        <v>38522.28</v>
      </c>
      <c r="I9" s="20" t="n">
        <f aca="false">I5+I6+I7</f>
        <v>31940.5</v>
      </c>
      <c r="J9" s="20" t="n">
        <f aca="false">J5+J6+J7</f>
        <v>32096.19</v>
      </c>
      <c r="K9" s="20" t="n">
        <f aca="false">K5+K6+K7</f>
        <v>29287.95</v>
      </c>
      <c r="L9" s="20" t="n">
        <f aca="false">L5+L6+L7</f>
        <v>32627.62</v>
      </c>
      <c r="M9" s="17" t="n">
        <f aca="false">SUM(C9:L9)</f>
        <v>303953.66</v>
      </c>
    </row>
    <row r="10" customFormat="false" ht="15" hidden="false" customHeight="false" outlineLevel="0" collapsed="false">
      <c r="A10" s="15" t="s">
        <v>243</v>
      </c>
      <c r="B10" s="16" t="s">
        <v>244</v>
      </c>
      <c r="C10" s="3" t="n">
        <f aca="false">SUMIFS(2_Rubricas!$M$4:$M$229,2_Rubricas!$A$4:$A$229,C$3,2_Rubricas!$J$4:$J$229,"Seguridade")</f>
        <v>2604.95</v>
      </c>
      <c r="D10" s="3" t="n">
        <f aca="false">SUMIFS(2_Rubricas!$M$4:$M$229,2_Rubricas!$A$4:$A$229,D$3,2_Rubricas!$J$4:$J$229,"Seguridade")</f>
        <v>2604.95</v>
      </c>
      <c r="E10" s="3" t="n">
        <f aca="false">SUMIFS(2_Rubricas!$M$4:$M$229,2_Rubricas!$A$4:$A$229,E$3,2_Rubricas!$J$4:$J$229,"Seguridade")</f>
        <v>2604.95</v>
      </c>
      <c r="F10" s="3" t="n">
        <f aca="false">SUMIFS(2_Rubricas!$M$4:$M$229,2_Rubricas!$A$4:$A$229,F$3,2_Rubricas!$J$4:$J$229,"Seguridade")</f>
        <v>2604.95</v>
      </c>
      <c r="G10" s="3" t="n">
        <f aca="false">SUMIFS(2_Rubricas!$M$4:$M$229,2_Rubricas!$A$4:$A$229,G$3,2_Rubricas!$J$4:$J$229,"Seguridade")</f>
        <v>2616.17</v>
      </c>
      <c r="H10" s="3" t="n">
        <f aca="false">SUMIFS(2_Rubricas!$M$4:$M$229,2_Rubricas!$A$4:$A$229,H$3,2_Rubricas!$J$4:$J$229,"Seguridade")</f>
        <v>2689.17</v>
      </c>
      <c r="I10" s="3" t="n">
        <f aca="false">SUMIFS(2_Rubricas!$M$4:$M$229,2_Rubricas!$A$4:$A$229,I$3,2_Rubricas!$J$4:$J$229,"Seguridade")</f>
        <v>2689.17</v>
      </c>
      <c r="J10" s="3" t="n">
        <f aca="false">SUMIFS(2_Rubricas!$M$4:$M$229,2_Rubricas!$A$4:$A$229,J$3,2_Rubricas!$J$4:$J$229,"Seguridade")</f>
        <v>2689.17</v>
      </c>
      <c r="K10" s="3" t="n">
        <f aca="false">SUMIFS(2_Rubricas!$M$4:$M$229,2_Rubricas!$A$4:$A$229,K$3,2_Rubricas!$J$4:$J$229,"Seguridade")</f>
        <v>2689.17</v>
      </c>
      <c r="L10" s="3" t="n">
        <f aca="false">SUMIFS(2_Rubricas!$M$4:$M$229,2_Rubricas!$A$4:$A$229,L$3,2_Rubricas!$J$4:$J$229,"Seguridade")</f>
        <v>2707.72</v>
      </c>
      <c r="M10" s="17" t="n">
        <f aca="false">SUM(C10:L10)</f>
        <v>26500.37</v>
      </c>
    </row>
    <row r="11" customFormat="false" ht="15" hidden="false" customHeight="false" outlineLevel="0" collapsed="false">
      <c r="A11" s="15" t="s">
        <v>245</v>
      </c>
      <c r="B11" s="16" t="s">
        <v>246</v>
      </c>
      <c r="C11" s="3" t="n">
        <f aca="false">1_Parametros!$C$14*1_Parametros!$C$13</f>
        <v>379.18</v>
      </c>
      <c r="D11" s="3" t="n">
        <f aca="false">1_Parametros!$C$14*1_Parametros!$C$13</f>
        <v>379.18</v>
      </c>
      <c r="E11" s="3" t="n">
        <f aca="false">1_Parametros!$C$14*1_Parametros!$C$13</f>
        <v>379.18</v>
      </c>
      <c r="F11" s="3" t="n">
        <f aca="false">1_Parametros!$C$14*1_Parametros!$C$13</f>
        <v>379.18</v>
      </c>
      <c r="G11" s="3" t="n">
        <f aca="false">1_Parametros!$C$14*1_Parametros!$C$13</f>
        <v>379.18</v>
      </c>
      <c r="H11" s="3" t="n">
        <f aca="false">1_Parametros!$C$14*1_Parametros!$C$13</f>
        <v>379.18</v>
      </c>
      <c r="I11" s="3" t="n">
        <f aca="false">1_Parametros!$C$14*1_Parametros!$C$13</f>
        <v>379.18</v>
      </c>
      <c r="J11" s="3" t="n">
        <f aca="false">1_Parametros!$C$14*1_Parametros!$C$13</f>
        <v>379.18</v>
      </c>
      <c r="K11" s="3" t="n">
        <f aca="false">1_Parametros!$C$14*1_Parametros!$C$13</f>
        <v>379.18</v>
      </c>
      <c r="L11" s="3" t="n">
        <f aca="false">1_Parametros!$C$14*1_Parametros!$C$13</f>
        <v>379.18</v>
      </c>
      <c r="M11" s="17" t="n">
        <f aca="false">SUM(C11:L11)</f>
        <v>3791.8</v>
      </c>
    </row>
    <row r="12" customFormat="false" ht="15" hidden="false" customHeight="false" outlineLevel="0" collapsed="false">
      <c r="A12" s="15" t="s">
        <v>247</v>
      </c>
      <c r="B12" s="19" t="s">
        <v>248</v>
      </c>
      <c r="C12" s="20" t="n">
        <f aca="false">C9-C10-C11</f>
        <v>21148.86</v>
      </c>
      <c r="D12" s="20" t="n">
        <f aca="false">D9-D10-D11</f>
        <v>22393</v>
      </c>
      <c r="E12" s="20" t="n">
        <f aca="false">E9-E10-E11</f>
        <v>26339.73</v>
      </c>
      <c r="F12" s="20" t="n">
        <f aca="false">F9-F10-F11</f>
        <v>26624.7</v>
      </c>
      <c r="G12" s="20" t="n">
        <f aca="false">G9-G10-G11</f>
        <v>28040.96</v>
      </c>
      <c r="H12" s="20" t="n">
        <f aca="false">H9-H10-H11</f>
        <v>35453.93</v>
      </c>
      <c r="I12" s="20" t="n">
        <f aca="false">I9-I10-I11</f>
        <v>28872.15</v>
      </c>
      <c r="J12" s="20" t="n">
        <f aca="false">J9-J10-J11</f>
        <v>29027.84</v>
      </c>
      <c r="K12" s="20" t="n">
        <f aca="false">K9-K10-K11</f>
        <v>26219.6</v>
      </c>
      <c r="L12" s="20" t="n">
        <f aca="false">L9-L10-L11</f>
        <v>29540.72</v>
      </c>
      <c r="M12" s="17" t="n">
        <f aca="false">SUM(C12:L12)</f>
        <v>273661.49</v>
      </c>
    </row>
    <row r="13" customFormat="false" ht="15" hidden="false" customHeight="false" outlineLevel="0" collapsed="false">
      <c r="A13" s="15" t="s">
        <v>249</v>
      </c>
      <c r="B13" s="16" t="s">
        <v>250</v>
      </c>
      <c r="C13" s="21" t="n">
        <f aca="false">VLOOKUP(C12,1_Parametros!$B$5:$E$9,3,TRUE())</f>
        <v>0.275</v>
      </c>
      <c r="D13" s="21" t="n">
        <f aca="false">VLOOKUP(D12,1_Parametros!$B$5:$E$9,3,TRUE())</f>
        <v>0.275</v>
      </c>
      <c r="E13" s="21" t="n">
        <f aca="false">VLOOKUP(E12,1_Parametros!$B$5:$E$9,3,TRUE())</f>
        <v>0.275</v>
      </c>
      <c r="F13" s="21" t="n">
        <f aca="false">VLOOKUP(F12,1_Parametros!$B$5:$E$9,3,TRUE())</f>
        <v>0.275</v>
      </c>
      <c r="G13" s="21" t="n">
        <f aca="false">VLOOKUP(G12,1_Parametros!$B$5:$E$9,3,TRUE())</f>
        <v>0.275</v>
      </c>
      <c r="H13" s="21" t="n">
        <f aca="false">VLOOKUP(H12,1_Parametros!$B$5:$E$9,3,TRUE())</f>
        <v>0.275</v>
      </c>
      <c r="I13" s="21" t="n">
        <f aca="false">VLOOKUP(I12,1_Parametros!$B$5:$E$9,3,TRUE())</f>
        <v>0.275</v>
      </c>
      <c r="J13" s="21" t="n">
        <f aca="false">VLOOKUP(J12,1_Parametros!$B$5:$E$9,3,TRUE())</f>
        <v>0.275</v>
      </c>
      <c r="K13" s="21" t="n">
        <f aca="false">VLOOKUP(K12,1_Parametros!$B$5:$E$9,3,TRUE())</f>
        <v>0.275</v>
      </c>
      <c r="L13" s="21" t="n">
        <f aca="false">VLOOKUP(L12,1_Parametros!$B$5:$E$9,3,TRUE())</f>
        <v>0.275</v>
      </c>
    </row>
    <row r="14" customFormat="false" ht="15" hidden="false" customHeight="false" outlineLevel="0" collapsed="false">
      <c r="A14" s="15" t="s">
        <v>251</v>
      </c>
      <c r="B14" s="16" t="s">
        <v>252</v>
      </c>
      <c r="C14" s="3" t="n">
        <f aca="false">VLOOKUP(C12,1_Parametros!$B$5:$E$9,4,TRUE())</f>
        <v>908.73</v>
      </c>
      <c r="D14" s="3" t="n">
        <f aca="false">VLOOKUP(D12,1_Parametros!$B$5:$E$9,4,TRUE())</f>
        <v>908.73</v>
      </c>
      <c r="E14" s="3" t="n">
        <f aca="false">VLOOKUP(E12,1_Parametros!$B$5:$E$9,4,TRUE())</f>
        <v>908.73</v>
      </c>
      <c r="F14" s="3" t="n">
        <f aca="false">VLOOKUP(F12,1_Parametros!$B$5:$E$9,4,TRUE())</f>
        <v>908.73</v>
      </c>
      <c r="G14" s="3" t="n">
        <f aca="false">VLOOKUP(G12,1_Parametros!$B$5:$E$9,4,TRUE())</f>
        <v>908.73</v>
      </c>
      <c r="H14" s="3" t="n">
        <f aca="false">VLOOKUP(H12,1_Parametros!$B$5:$E$9,4,TRUE())</f>
        <v>908.73</v>
      </c>
      <c r="I14" s="3" t="n">
        <f aca="false">VLOOKUP(I12,1_Parametros!$B$5:$E$9,4,TRUE())</f>
        <v>908.73</v>
      </c>
      <c r="J14" s="3" t="n">
        <f aca="false">VLOOKUP(J12,1_Parametros!$B$5:$E$9,4,TRUE())</f>
        <v>908.73</v>
      </c>
      <c r="K14" s="3" t="n">
        <f aca="false">VLOOKUP(K12,1_Parametros!$B$5:$E$9,4,TRUE())</f>
        <v>908.73</v>
      </c>
      <c r="L14" s="3" t="n">
        <f aca="false">VLOOKUP(L12,1_Parametros!$B$5:$E$9,4,TRUE())</f>
        <v>908.73</v>
      </c>
    </row>
    <row r="15" customFormat="false" ht="15" hidden="false" customHeight="false" outlineLevel="0" collapsed="false">
      <c r="A15" s="15" t="s">
        <v>253</v>
      </c>
      <c r="B15" s="16" t="s">
        <v>254</v>
      </c>
      <c r="C15" s="3" t="n">
        <f aca="false">MAX(0,TRUNC(ROUND(C12*VLOOKUP(C12,1_Parametros!$B$5:$E$9,3,TRUE())-VLOOKUP(C12,1_Parametros!$B$5:$E$9,4,TRUE()),6),2))</f>
        <v>4907.2</v>
      </c>
      <c r="D15" s="3" t="n">
        <f aca="false">MAX(0,TRUNC(ROUND(D12*VLOOKUP(D12,1_Parametros!$B$5:$E$9,3,TRUE())-VLOOKUP(D12,1_Parametros!$B$5:$E$9,4,TRUE()),6),2))</f>
        <v>5249.34</v>
      </c>
      <c r="E15" s="3" t="n">
        <f aca="false">MAX(0,TRUNC(ROUND(E12*VLOOKUP(E12,1_Parametros!$B$5:$E$9,3,TRUE())-VLOOKUP(E12,1_Parametros!$B$5:$E$9,4,TRUE()),6),2))</f>
        <v>6334.69</v>
      </c>
      <c r="F15" s="3" t="n">
        <f aca="false">MAX(0,TRUNC(ROUND(F12*VLOOKUP(F12,1_Parametros!$B$5:$E$9,3,TRUE())-VLOOKUP(F12,1_Parametros!$B$5:$E$9,4,TRUE()),6),2))</f>
        <v>6413.06</v>
      </c>
      <c r="G15" s="3" t="n">
        <f aca="false">MAX(0,TRUNC(ROUND(G12*VLOOKUP(G12,1_Parametros!$B$5:$E$9,3,TRUE())-VLOOKUP(G12,1_Parametros!$B$5:$E$9,4,TRUE()),6),2))</f>
        <v>6802.53</v>
      </c>
      <c r="H15" s="3" t="n">
        <f aca="false">MAX(0,TRUNC(ROUND(H12*VLOOKUP(H12,1_Parametros!$B$5:$E$9,3,TRUE())-VLOOKUP(H12,1_Parametros!$B$5:$E$9,4,TRUE()),6),2))</f>
        <v>8841.1</v>
      </c>
      <c r="I15" s="3" t="n">
        <f aca="false">MAX(0,TRUNC(ROUND(I12*VLOOKUP(I12,1_Parametros!$B$5:$E$9,3,TRUE())-VLOOKUP(I12,1_Parametros!$B$5:$E$9,4,TRUE()),6),2))</f>
        <v>7031.11</v>
      </c>
      <c r="J15" s="3" t="n">
        <f aca="false">MAX(0,TRUNC(ROUND(J12*VLOOKUP(J12,1_Parametros!$B$5:$E$9,3,TRUE())-VLOOKUP(J12,1_Parametros!$B$5:$E$9,4,TRUE()),6),2))</f>
        <v>7073.92</v>
      </c>
      <c r="K15" s="3" t="n">
        <f aca="false">MAX(0,TRUNC(ROUND(K12*VLOOKUP(K12,1_Parametros!$B$5:$E$9,3,TRUE())-VLOOKUP(K12,1_Parametros!$B$5:$E$9,4,TRUE()),6),2))</f>
        <v>6301.66</v>
      </c>
      <c r="L15" s="3" t="n">
        <f aca="false">MAX(0,TRUNC(ROUND(L12*VLOOKUP(L12,1_Parametros!$B$5:$E$9,3,TRUE())-VLOOKUP(L12,1_Parametros!$B$5:$E$9,4,TRUE()),6),2))</f>
        <v>7214.96</v>
      </c>
      <c r="M15" s="17" t="n">
        <f aca="false">SUM(C15:L15)</f>
        <v>66169.57</v>
      </c>
    </row>
    <row r="16" customFormat="false" ht="15" hidden="false" customHeight="false" outlineLevel="0" collapsed="false">
      <c r="A16" s="15" t="s">
        <v>255</v>
      </c>
      <c r="B16" s="16" t="s">
        <v>256</v>
      </c>
      <c r="C16" s="3" t="n">
        <f aca="false">IF(C9&lt;=1_Parametros!$C$16,MIN(C15,1_Parametros!$C$17),IF(C9&lt;=1_Parametros!$C$18,MAX(0,ROUND(1_Parametros!$C$19-1_Parametros!$C$20*C9,2)),0))</f>
        <v>0</v>
      </c>
      <c r="D16" s="3" t="n">
        <f aca="false">IF(D9&lt;=1_Parametros!$C$16,MIN(D15,1_Parametros!$C$17),IF(D9&lt;=1_Parametros!$C$18,MAX(0,ROUND(1_Parametros!$C$19-1_Parametros!$C$20*D9,2)),0))</f>
        <v>0</v>
      </c>
      <c r="E16" s="3" t="n">
        <f aca="false">IF(E9&lt;=1_Parametros!$C$16,MIN(E15,1_Parametros!$C$17),IF(E9&lt;=1_Parametros!$C$18,MAX(0,ROUND(1_Parametros!$C$19-1_Parametros!$C$20*E9,2)),0))</f>
        <v>0</v>
      </c>
      <c r="F16" s="3" t="n">
        <f aca="false">IF(F9&lt;=1_Parametros!$C$16,MIN(F15,1_Parametros!$C$17),IF(F9&lt;=1_Parametros!$C$18,MAX(0,ROUND(1_Parametros!$C$19-1_Parametros!$C$20*F9,2)),0))</f>
        <v>0</v>
      </c>
      <c r="G16" s="3" t="n">
        <f aca="false">IF(G9&lt;=1_Parametros!$C$16,MIN(G15,1_Parametros!$C$17),IF(G9&lt;=1_Parametros!$C$18,MAX(0,ROUND(1_Parametros!$C$19-1_Parametros!$C$20*G9,2)),0))</f>
        <v>0</v>
      </c>
      <c r="H16" s="3" t="n">
        <f aca="false">IF(H9&lt;=1_Parametros!$C$16,MIN(H15,1_Parametros!$C$17),IF(H9&lt;=1_Parametros!$C$18,MAX(0,ROUND(1_Parametros!$C$19-1_Parametros!$C$20*H9,2)),0))</f>
        <v>0</v>
      </c>
      <c r="I16" s="3" t="n">
        <f aca="false">IF(I9&lt;=1_Parametros!$C$16,MIN(I15,1_Parametros!$C$17),IF(I9&lt;=1_Parametros!$C$18,MAX(0,ROUND(1_Parametros!$C$19-1_Parametros!$C$20*I9,2)),0))</f>
        <v>0</v>
      </c>
      <c r="J16" s="3" t="n">
        <f aca="false">IF(J9&lt;=1_Parametros!$C$16,MIN(J15,1_Parametros!$C$17),IF(J9&lt;=1_Parametros!$C$18,MAX(0,ROUND(1_Parametros!$C$19-1_Parametros!$C$20*J9,2)),0))</f>
        <v>0</v>
      </c>
      <c r="K16" s="3" t="n">
        <f aca="false">IF(K9&lt;=1_Parametros!$C$16,MIN(K15,1_Parametros!$C$17),IF(K9&lt;=1_Parametros!$C$18,MAX(0,ROUND(1_Parametros!$C$19-1_Parametros!$C$20*K9,2)),0))</f>
        <v>0</v>
      </c>
      <c r="L16" s="3" t="n">
        <f aca="false">IF(L9&lt;=1_Parametros!$C$16,MIN(L15,1_Parametros!$C$17),IF(L9&lt;=1_Parametros!$C$18,MAX(0,ROUND(1_Parametros!$C$19-1_Parametros!$C$20*L9,2)),0))</f>
        <v>0</v>
      </c>
      <c r="M16" s="17" t="n">
        <f aca="false">SUM(C16:L16)</f>
        <v>0</v>
      </c>
    </row>
    <row r="17" customFormat="false" ht="15" hidden="false" customHeight="false" outlineLevel="0" collapsed="false">
      <c r="A17" s="15" t="s">
        <v>257</v>
      </c>
      <c r="B17" s="19" t="s">
        <v>258</v>
      </c>
      <c r="C17" s="6" t="n">
        <f aca="false">MAX(0,C15-C16)</f>
        <v>4907.2</v>
      </c>
      <c r="D17" s="6" t="n">
        <f aca="false">MAX(0,D15-D16)</f>
        <v>5249.34</v>
      </c>
      <c r="E17" s="6" t="n">
        <f aca="false">MAX(0,E15-E16)</f>
        <v>6334.69</v>
      </c>
      <c r="F17" s="6" t="n">
        <f aca="false">MAX(0,F15-F16)</f>
        <v>6413.06</v>
      </c>
      <c r="G17" s="6" t="n">
        <f aca="false">MAX(0,G15-G16)</f>
        <v>6802.53</v>
      </c>
      <c r="H17" s="6" t="n">
        <f aca="false">MAX(0,H15-H16)</f>
        <v>8841.1</v>
      </c>
      <c r="I17" s="6" t="n">
        <f aca="false">MAX(0,I15-I16)</f>
        <v>7031.11</v>
      </c>
      <c r="J17" s="6" t="n">
        <f aca="false">MAX(0,J15-J16)</f>
        <v>7073.92</v>
      </c>
      <c r="K17" s="6" t="n">
        <f aca="false">MAX(0,K15-K16)</f>
        <v>6301.66</v>
      </c>
      <c r="L17" s="6" t="n">
        <f aca="false">MAX(0,L15-L16)</f>
        <v>7214.96</v>
      </c>
      <c r="M17" s="17" t="n">
        <f aca="false">SUM(C17:L17)</f>
        <v>66169.57</v>
      </c>
    </row>
    <row r="18" customFormat="false" ht="15" hidden="false" customHeight="false" outlineLevel="0" collapsed="false">
      <c r="A18" s="15" t="s">
        <v>259</v>
      </c>
      <c r="B18" s="16" t="s">
        <v>260</v>
      </c>
      <c r="C18" s="3" t="n">
        <f aca="false">SUMIFS(2_Rubricas!$M$4:$M$229,2_Rubricas!$A$4:$A$229,C$3,2_Rubricas!$J$4:$J$229,"IRRF",2_Rubricas!$C$4:$C$229,"Principal*")</f>
        <v>4907.2</v>
      </c>
      <c r="D18" s="3" t="n">
        <f aca="false">SUMIFS(2_Rubricas!$M$4:$M$229,2_Rubricas!$A$4:$A$229,D$3,2_Rubricas!$J$4:$J$229,"IRRF",2_Rubricas!$C$4:$C$229,"Principal*")</f>
        <v>4907.2</v>
      </c>
      <c r="E18" s="3" t="n">
        <f aca="false">SUMIFS(2_Rubricas!$M$4:$M$229,2_Rubricas!$A$4:$A$229,E$3,2_Rubricas!$J$4:$J$229,"IRRF",2_Rubricas!$C$4:$C$229,"Principal*")</f>
        <v>4848.38</v>
      </c>
      <c r="F18" s="3" t="n">
        <f aca="false">SUMIFS(2_Rubricas!$M$4:$M$229,2_Rubricas!$A$4:$A$229,F$3,2_Rubricas!$J$4:$J$229,"IRRF",2_Rubricas!$C$4:$C$229,"Principal*")</f>
        <v>4871.91</v>
      </c>
      <c r="G18" s="3" t="n">
        <f aca="false">SUMIFS(2_Rubricas!$M$4:$M$229,2_Rubricas!$A$4:$A$229,G$3,2_Rubricas!$J$4:$J$229,"IRRF",2_Rubricas!$C$4:$C$229,"Principal*")</f>
        <v>4930.73</v>
      </c>
      <c r="H18" s="3" t="n">
        <f aca="false">SUMIFS(2_Rubricas!$M$4:$M$229,2_Rubricas!$A$4:$A$229,H$3,2_Rubricas!$J$4:$J$229,"IRRF",2_Rubricas!$C$4:$C$229,"Principal*")</f>
        <v>6876.73</v>
      </c>
      <c r="I18" s="3" t="n">
        <f aca="false">SUMIFS(2_Rubricas!$M$4:$M$229,2_Rubricas!$A$4:$A$229,I$3,2_Rubricas!$J$4:$J$229,"IRRF",2_Rubricas!$C$4:$C$229,"Principal*")</f>
        <v>5448.01</v>
      </c>
      <c r="J18" s="3" t="n">
        <f aca="false">SUMIFS(2_Rubricas!$M$4:$M$229,2_Rubricas!$A$4:$A$229,J$3,2_Rubricas!$J$4:$J$229,"IRRF",2_Rubricas!$C$4:$C$229,"Principal*")</f>
        <v>5083.71</v>
      </c>
      <c r="K18" s="3" t="n">
        <f aca="false">SUMIFS(2_Rubricas!$M$4:$M$229,2_Rubricas!$A$4:$A$229,K$3,2_Rubricas!$J$4:$J$229,"IRRF",2_Rubricas!$C$4:$C$229,"Principal*")</f>
        <v>6301.66</v>
      </c>
      <c r="L18" s="3" t="n">
        <f aca="false">SUMIFS(2_Rubricas!$M$4:$M$229,2_Rubricas!$A$4:$A$229,L$3,2_Rubricas!$J$4:$J$229,"IRRF",2_Rubricas!$C$4:$C$229,"Principal*")</f>
        <v>7214.96</v>
      </c>
      <c r="M18" s="17" t="n">
        <f aca="false">SUM(C18:L18)</f>
        <v>55390.49</v>
      </c>
    </row>
    <row r="19" customFormat="false" ht="15" hidden="false" customHeight="false" outlineLevel="0" collapsed="false">
      <c r="A19" s="15" t="s">
        <v>261</v>
      </c>
      <c r="B19" s="16" t="s">
        <v>262</v>
      </c>
      <c r="C19" s="3" t="n">
        <f aca="false">SUMIFS(2_Rubricas!$M$4:$M$229,2_Rubricas!$A$4:$A$229,C$3,2_Rubricas!$J$4:$J$229,"IRRF",2_Rubricas!$C$4:$C$229,"TPD*")</f>
        <v>0</v>
      </c>
      <c r="D19" s="3" t="n">
        <f aca="false">SUMIFS(2_Rubricas!$M$4:$M$229,2_Rubricas!$A$4:$A$229,D$3,2_Rubricas!$J$4:$J$229,"IRRF",2_Rubricas!$C$4:$C$229,"TPD*")</f>
        <v>342.14</v>
      </c>
      <c r="E19" s="3" t="n">
        <f aca="false">SUMIFS(2_Rubricas!$M$4:$M$229,2_Rubricas!$A$4:$A$229,E$3,2_Rubricas!$J$4:$J$229,"IRRF",2_Rubricas!$C$4:$C$229,"TPD*")</f>
        <v>1486.31</v>
      </c>
      <c r="F19" s="3" t="n">
        <f aca="false">SUMIFS(2_Rubricas!$M$4:$M$229,2_Rubricas!$A$4:$A$229,F$3,2_Rubricas!$J$4:$J$229,"IRRF",2_Rubricas!$C$4:$C$229,"TPD*")</f>
        <v>1541.15</v>
      </c>
      <c r="G19" s="3" t="n">
        <f aca="false">SUMIFS(2_Rubricas!$M$4:$M$229,2_Rubricas!$A$4:$A$229,G$3,2_Rubricas!$J$4:$J$229,"IRRF",2_Rubricas!$C$4:$C$229,"TPD*")</f>
        <v>1871.8</v>
      </c>
      <c r="H19" s="3" t="n">
        <f aca="false">SUMIFS(2_Rubricas!$M$4:$M$229,2_Rubricas!$A$4:$A$229,H$3,2_Rubricas!$J$4:$J$229,"IRRF",2_Rubricas!$C$4:$C$229,"TPD*")</f>
        <v>1964.37</v>
      </c>
      <c r="I19" s="3" t="n">
        <f aca="false">SUMIFS(2_Rubricas!$M$4:$M$229,2_Rubricas!$A$4:$A$229,I$3,2_Rubricas!$J$4:$J$229,"IRRF",2_Rubricas!$C$4:$C$229,"TPD*")</f>
        <v>1583.1</v>
      </c>
      <c r="J19" s="3" t="n">
        <f aca="false">SUMIFS(2_Rubricas!$M$4:$M$229,2_Rubricas!$A$4:$A$229,J$3,2_Rubricas!$J$4:$J$229,"IRRF",2_Rubricas!$C$4:$C$229,"TPD*")</f>
        <v>1990.21</v>
      </c>
      <c r="K19" s="3" t="n">
        <f aca="false">SUMIFS(2_Rubricas!$M$4:$M$229,2_Rubricas!$A$4:$A$229,K$3,2_Rubricas!$J$4:$J$229,"IRRF",2_Rubricas!$C$4:$C$229,"TPD*")</f>
        <v>0</v>
      </c>
      <c r="L19" s="3" t="n">
        <f aca="false">SUMIFS(2_Rubricas!$M$4:$M$229,2_Rubricas!$A$4:$A$229,L$3,2_Rubricas!$J$4:$J$229,"IRRF",2_Rubricas!$C$4:$C$229,"TPD*")</f>
        <v>0</v>
      </c>
      <c r="M19" s="17" t="n">
        <f aca="false">SUM(C19:L19)</f>
        <v>10779.08</v>
      </c>
    </row>
    <row r="20" customFormat="false" ht="15" hidden="false" customHeight="false" outlineLevel="0" collapsed="false">
      <c r="A20" s="15" t="s">
        <v>263</v>
      </c>
      <c r="B20" s="19" t="s">
        <v>264</v>
      </c>
      <c r="C20" s="20" t="n">
        <f aca="false">C18+C19</f>
        <v>4907.2</v>
      </c>
      <c r="D20" s="20" t="n">
        <f aca="false">D18+D19</f>
        <v>5249.34</v>
      </c>
      <c r="E20" s="20" t="n">
        <f aca="false">E18+E19</f>
        <v>6334.69</v>
      </c>
      <c r="F20" s="20" t="n">
        <f aca="false">F18+F19</f>
        <v>6413.06</v>
      </c>
      <c r="G20" s="20" t="n">
        <f aca="false">G18+G19</f>
        <v>6802.53</v>
      </c>
      <c r="H20" s="20" t="n">
        <f aca="false">H18+H19</f>
        <v>8841.1</v>
      </c>
      <c r="I20" s="20" t="n">
        <f aca="false">I18+I19</f>
        <v>7031.11</v>
      </c>
      <c r="J20" s="20" t="n">
        <f aca="false">J18+J19</f>
        <v>7073.92</v>
      </c>
      <c r="K20" s="20" t="n">
        <f aca="false">K18+K19</f>
        <v>6301.66</v>
      </c>
      <c r="L20" s="20" t="n">
        <f aca="false">L18+L19</f>
        <v>7214.96</v>
      </c>
      <c r="M20" s="17" t="n">
        <f aca="false">SUM(C20:L20)</f>
        <v>66169.57</v>
      </c>
    </row>
    <row r="21" customFormat="false" ht="15" hidden="false" customHeight="false" outlineLevel="0" collapsed="false">
      <c r="A21" s="15" t="s">
        <v>265</v>
      </c>
      <c r="B21" s="19" t="s">
        <v>266</v>
      </c>
      <c r="C21" s="6" t="n">
        <f aca="false">ROUND(C20-C17,2)</f>
        <v>0</v>
      </c>
      <c r="D21" s="6" t="n">
        <f aca="false">ROUND(D20-D17,2)</f>
        <v>0</v>
      </c>
      <c r="E21" s="6" t="n">
        <f aca="false">ROUND(E20-E17,2)</f>
        <v>0</v>
      </c>
      <c r="F21" s="6" t="n">
        <f aca="false">ROUND(F20-F17,2)</f>
        <v>0</v>
      </c>
      <c r="G21" s="6" t="n">
        <f aca="false">ROUND(G20-G17,2)</f>
        <v>0</v>
      </c>
      <c r="H21" s="6" t="n">
        <f aca="false">ROUND(H20-H17,2)</f>
        <v>0</v>
      </c>
      <c r="I21" s="6" t="n">
        <f aca="false">ROUND(I20-I17,2)</f>
        <v>0</v>
      </c>
      <c r="J21" s="6" t="n">
        <f aca="false">ROUND(J20-J17,2)</f>
        <v>0</v>
      </c>
      <c r="K21" s="6" t="n">
        <f aca="false">ROUND(K20-K17,2)</f>
        <v>0</v>
      </c>
      <c r="L21" s="6" t="n">
        <f aca="false">ROUND(L20-L17,2)</f>
        <v>0</v>
      </c>
      <c r="M21" s="17" t="n">
        <f aca="false">SUM(C21:L21)</f>
        <v>0</v>
      </c>
    </row>
    <row r="22" customFormat="false" ht="15" hidden="false" customHeight="false" outlineLevel="0" collapsed="false">
      <c r="B22" s="22" t="s">
        <v>267</v>
      </c>
    </row>
    <row r="23" customFormat="false" ht="15" hidden="false" customHeight="false" outlineLevel="0" collapsed="false">
      <c r="A23" s="15" t="s">
        <v>268</v>
      </c>
      <c r="B23" s="16" t="s">
        <v>269</v>
      </c>
      <c r="C23" s="3" t="n">
        <f aca="false">C5+C6-C10-C11</f>
        <v>21148.86</v>
      </c>
      <c r="D23" s="3" t="n">
        <f aca="false">D5+D6-D10-D11</f>
        <v>21148.86</v>
      </c>
      <c r="E23" s="3" t="n">
        <f aca="false">E5+E6-E10-E11</f>
        <v>20934.95</v>
      </c>
      <c r="F23" s="3" t="n">
        <f aca="false">F5+F6-F10-F11</f>
        <v>21020.54</v>
      </c>
      <c r="G23" s="3" t="n">
        <f aca="false">G5+G6-G10-G11</f>
        <v>21234.43</v>
      </c>
      <c r="H23" s="3" t="n">
        <f aca="false">H5+H6-H10-H11</f>
        <v>28310.79</v>
      </c>
      <c r="I23" s="3" t="n">
        <f aca="false">I5+I6-I10-I11</f>
        <v>23115.43</v>
      </c>
      <c r="J23" s="3" t="n">
        <f aca="false">J5+J6-J10-J11</f>
        <v>21790.72</v>
      </c>
      <c r="K23" s="3" t="n">
        <f aca="false">K5+K6-K10-K11</f>
        <v>21790.72</v>
      </c>
      <c r="L23" s="3" t="n">
        <f aca="false">L5+L6-L10-L11</f>
        <v>21904.64</v>
      </c>
      <c r="M23" s="17" t="n">
        <f aca="false">SUM(C23:L23)</f>
        <v>222399.94</v>
      </c>
    </row>
    <row r="24" customFormat="false" ht="15" hidden="false" customHeight="false" outlineLevel="0" collapsed="false">
      <c r="A24" s="15" t="s">
        <v>270</v>
      </c>
      <c r="B24" s="16" t="s">
        <v>271</v>
      </c>
      <c r="C24" s="3" t="n">
        <f aca="false">MAX(0,TRUNC(ROUND(C23*VLOOKUP(C23,1_Parametros!$B$5:$E$9,3,TRUE())-VLOOKUP(C23,1_Parametros!$B$5:$E$9,4,TRUE()),6),2))</f>
        <v>4907.2</v>
      </c>
      <c r="D24" s="3" t="n">
        <f aca="false">MAX(0,TRUNC(ROUND(D23*VLOOKUP(D23,1_Parametros!$B$5:$E$9,3,TRUE())-VLOOKUP(D23,1_Parametros!$B$5:$E$9,4,TRUE()),6),2))</f>
        <v>4907.2</v>
      </c>
      <c r="E24" s="3" t="n">
        <f aca="false">MAX(0,TRUNC(ROUND(E23*VLOOKUP(E23,1_Parametros!$B$5:$E$9,3,TRUE())-VLOOKUP(E23,1_Parametros!$B$5:$E$9,4,TRUE()),6),2))</f>
        <v>4848.38</v>
      </c>
      <c r="F24" s="3" t="n">
        <f aca="false">MAX(0,TRUNC(ROUND(F23*VLOOKUP(F23,1_Parametros!$B$5:$E$9,3,TRUE())-VLOOKUP(F23,1_Parametros!$B$5:$E$9,4,TRUE()),6),2))</f>
        <v>4871.91</v>
      </c>
      <c r="G24" s="3" t="n">
        <f aca="false">MAX(0,TRUNC(ROUND(G23*VLOOKUP(G23,1_Parametros!$B$5:$E$9,3,TRUE())-VLOOKUP(G23,1_Parametros!$B$5:$E$9,4,TRUE()),6),2))</f>
        <v>4930.73</v>
      </c>
      <c r="H24" s="3" t="n">
        <f aca="false">MAX(0,TRUNC(ROUND(H23*VLOOKUP(H23,1_Parametros!$B$5:$E$9,3,TRUE())-VLOOKUP(H23,1_Parametros!$B$5:$E$9,4,TRUE()),6),2))</f>
        <v>6876.73</v>
      </c>
      <c r="I24" s="3" t="n">
        <f aca="false">MAX(0,TRUNC(ROUND(I23*VLOOKUP(I23,1_Parametros!$B$5:$E$9,3,TRUE())-VLOOKUP(I23,1_Parametros!$B$5:$E$9,4,TRUE()),6),2))</f>
        <v>5448.01</v>
      </c>
      <c r="J24" s="3" t="n">
        <f aca="false">MAX(0,TRUNC(ROUND(J23*VLOOKUP(J23,1_Parametros!$B$5:$E$9,3,TRUE())-VLOOKUP(J23,1_Parametros!$B$5:$E$9,4,TRUE()),6),2))</f>
        <v>5083.71</v>
      </c>
      <c r="K24" s="3" t="n">
        <f aca="false">MAX(0,TRUNC(ROUND(K23*VLOOKUP(K23,1_Parametros!$B$5:$E$9,3,TRUE())-VLOOKUP(K23,1_Parametros!$B$5:$E$9,4,TRUE()),6),2))</f>
        <v>5083.71</v>
      </c>
      <c r="L24" s="3" t="n">
        <f aca="false">MAX(0,TRUNC(ROUND(L23*VLOOKUP(L23,1_Parametros!$B$5:$E$9,3,TRUE())-VLOOKUP(L23,1_Parametros!$B$5:$E$9,4,TRUE()),6),2))</f>
        <v>5115.04</v>
      </c>
      <c r="M24" s="17" t="n">
        <f aca="false">SUM(C24:L24)</f>
        <v>52072.62</v>
      </c>
    </row>
    <row r="25" customFormat="false" ht="15" hidden="false" customHeight="false" outlineLevel="0" collapsed="false">
      <c r="A25" s="15" t="s">
        <v>272</v>
      </c>
      <c r="B25" s="16" t="s">
        <v>273</v>
      </c>
      <c r="C25" s="3" t="n">
        <f aca="false">C17-C24</f>
        <v>0</v>
      </c>
      <c r="D25" s="3" t="n">
        <f aca="false">D17-D24</f>
        <v>342.14</v>
      </c>
      <c r="E25" s="3" t="n">
        <f aca="false">E17-E24</f>
        <v>1486.31</v>
      </c>
      <c r="F25" s="3" t="n">
        <f aca="false">F17-F24</f>
        <v>1541.15</v>
      </c>
      <c r="G25" s="3" t="n">
        <f aca="false">G17-G24</f>
        <v>1871.8</v>
      </c>
      <c r="H25" s="3" t="n">
        <f aca="false">H17-H24</f>
        <v>1964.37</v>
      </c>
      <c r="I25" s="3" t="n">
        <f aca="false">I17-I24</f>
        <v>1583.1</v>
      </c>
      <c r="J25" s="3" t="n">
        <f aca="false">J17-J24</f>
        <v>1990.21</v>
      </c>
      <c r="K25" s="3" t="n">
        <f aca="false">K17-K24</f>
        <v>1217.95</v>
      </c>
      <c r="L25" s="3" t="n">
        <f aca="false">L17-L24</f>
        <v>2099.92</v>
      </c>
      <c r="M25" s="17" t="n">
        <f aca="false">SUM(C25:L25)</f>
        <v>14096.95</v>
      </c>
    </row>
    <row r="26" customFormat="false" ht="28.35" hidden="false" customHeight="false" outlineLevel="0" collapsed="false">
      <c r="A26" s="15" t="s">
        <v>274</v>
      </c>
      <c r="B26" s="16" t="s">
        <v>275</v>
      </c>
      <c r="C26" s="3" t="n">
        <f aca="false">ROUND(0.275*C7,2)</f>
        <v>0</v>
      </c>
      <c r="D26" s="3" t="n">
        <f aca="false">ROUND(0.275*D7,2)</f>
        <v>342.14</v>
      </c>
      <c r="E26" s="3" t="n">
        <f aca="false">ROUND(0.275*E7,2)</f>
        <v>1486.31</v>
      </c>
      <c r="F26" s="3" t="n">
        <f aca="false">ROUND(0.275*F7,2)</f>
        <v>1541.14</v>
      </c>
      <c r="G26" s="3" t="n">
        <f aca="false">ROUND(0.275*G7,2)</f>
        <v>1871.8</v>
      </c>
      <c r="H26" s="3" t="n">
        <f aca="false">ROUND(0.275*H7,2)</f>
        <v>1964.36</v>
      </c>
      <c r="I26" s="3" t="n">
        <f aca="false">ROUND(0.275*I7,2)</f>
        <v>1583.1</v>
      </c>
      <c r="J26" s="3" t="n">
        <f aca="false">ROUND(0.275*J7,2)</f>
        <v>1990.21</v>
      </c>
      <c r="K26" s="3" t="n">
        <f aca="false">ROUND(0.275*K7,2)</f>
        <v>1217.94</v>
      </c>
      <c r="L26" s="3" t="n">
        <f aca="false">ROUND(0.275*L7,2)</f>
        <v>2099.92</v>
      </c>
      <c r="M26" s="17" t="n">
        <f aca="false">SUM(C26:L26)</f>
        <v>14096.92</v>
      </c>
    </row>
    <row r="27" customFormat="false" ht="28.35" hidden="false" customHeight="false" outlineLevel="0" collapsed="false">
      <c r="A27" s="15" t="s">
        <v>276</v>
      </c>
      <c r="B27" s="16" t="s">
        <v>277</v>
      </c>
      <c r="C27" s="3" t="n">
        <f aca="false">ROUND(C18-C24,2)</f>
        <v>0</v>
      </c>
      <c r="D27" s="3" t="n">
        <f aca="false">ROUND(D18-D24,2)</f>
        <v>0</v>
      </c>
      <c r="E27" s="3" t="n">
        <f aca="false">ROUND(E18-E24,2)</f>
        <v>0</v>
      </c>
      <c r="F27" s="3" t="n">
        <f aca="false">ROUND(F18-F24,2)</f>
        <v>0</v>
      </c>
      <c r="G27" s="3" t="n">
        <f aca="false">ROUND(G18-G24,2)</f>
        <v>0</v>
      </c>
      <c r="H27" s="3" t="n">
        <f aca="false">ROUND(H18-H24,2)</f>
        <v>0</v>
      </c>
      <c r="I27" s="3" t="n">
        <f aca="false">ROUND(I18-I24,2)</f>
        <v>0</v>
      </c>
      <c r="J27" s="3" t="n">
        <f aca="false">ROUND(J18-J24,2)</f>
        <v>0</v>
      </c>
      <c r="K27" s="3" t="n">
        <f aca="false">ROUND(K18-K24,2)</f>
        <v>1217.95</v>
      </c>
      <c r="L27" s="3" t="n">
        <f aca="false">ROUND(L18-L24,2)</f>
        <v>2099.92</v>
      </c>
      <c r="M27" s="17" t="n">
        <f aca="false">SUM(C27:L27)</f>
        <v>3317.87</v>
      </c>
    </row>
    <row r="28" customFormat="false" ht="15" hidden="false" customHeight="false" outlineLevel="0" collapsed="false">
      <c r="A28" s="15" t="s">
        <v>278</v>
      </c>
      <c r="B28" s="16" t="s">
        <v>279</v>
      </c>
      <c r="C28" s="21" t="n">
        <f aca="false">IF(C9=0,0,C17/C9)</f>
        <v>0.203339909393739</v>
      </c>
      <c r="D28" s="21" t="n">
        <f aca="false">IF(D9=0,0,D17/D9)</f>
        <v>0.206853178432707</v>
      </c>
      <c r="E28" s="21" t="n">
        <f aca="false">IF(E9=0,0,E17/E9)</f>
        <v>0.216025107199393</v>
      </c>
      <c r="F28" s="21" t="n">
        <f aca="false">IF(F9=0,0,F17/F9)</f>
        <v>0.216592820452547</v>
      </c>
      <c r="G28" s="21" t="n">
        <f aca="false">IF(G9=0,0,G17/G9)</f>
        <v>0.219179728517984</v>
      </c>
      <c r="H28" s="21" t="n">
        <f aca="false">IF(H9=0,0,H17/H9)</f>
        <v>0.22950614553448</v>
      </c>
      <c r="I28" s="21" t="n">
        <f aca="false">IF(I9=0,0,I17/I9)</f>
        <v>0.220131494497581</v>
      </c>
      <c r="J28" s="21" t="n">
        <f aca="false">IF(J9=0,0,J17/J9)</f>
        <v>0.220397498893171</v>
      </c>
      <c r="K28" s="21" t="n">
        <f aca="false">IF(K9=0,0,K17/K9)</f>
        <v>0.215162208348485</v>
      </c>
      <c r="L28" s="21" t="n">
        <f aca="false">IF(L9=0,0,L17/L9)</f>
        <v>0.221130441018989</v>
      </c>
    </row>
    <row r="30" customFormat="false" ht="15" hidden="false" customHeight="false" outlineLevel="0" collapsed="false">
      <c r="B30" s="5" t="s">
        <v>280</v>
      </c>
    </row>
    <row r="31" customFormat="false" ht="120" hidden="false" customHeight="true" outlineLevel="0" collapsed="false">
      <c r="C31" s="16" t="s">
        <v>281</v>
      </c>
      <c r="D31" s="16" t="s">
        <v>282</v>
      </c>
      <c r="E31" s="16"/>
      <c r="F31" s="16"/>
      <c r="G31" s="16"/>
      <c r="H31" s="16" t="s">
        <v>283</v>
      </c>
      <c r="I31" s="16" t="s">
        <v>284</v>
      </c>
      <c r="J31" s="16"/>
      <c r="K31" s="16" t="s">
        <v>285</v>
      </c>
      <c r="L31" s="16" t="s">
        <v>286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287</v>
      </c>
    </row>
    <row r="2" customFormat="false" ht="54.75" hidden="false" customHeight="true" outlineLevel="0" collapsed="false">
      <c r="A2" s="7" t="s">
        <v>288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5" hidden="false" customHeight="false" outlineLevel="0" collapsed="false">
      <c r="A4" s="2" t="s">
        <v>230</v>
      </c>
      <c r="B4" s="2" t="s">
        <v>231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289</v>
      </c>
    </row>
    <row r="5" customFormat="false" ht="15" hidden="false" customHeight="false" outlineLevel="0" collapsed="false">
      <c r="A5" s="0" t="s">
        <v>290</v>
      </c>
      <c r="B5" s="16" t="s">
        <v>291</v>
      </c>
      <c r="C5" s="3" t="n">
        <f aca="false">3_Memoria_Mensal!C7</f>
        <v>0</v>
      </c>
      <c r="D5" s="3" t="n">
        <f aca="false">3_Memoria_Mensal!D7</f>
        <v>1244.14</v>
      </c>
      <c r="E5" s="3" t="n">
        <f aca="false">3_Memoria_Mensal!E7</f>
        <v>5404.78</v>
      </c>
      <c r="F5" s="3" t="n">
        <f aca="false">3_Memoria_Mensal!F7</f>
        <v>5604.16</v>
      </c>
      <c r="G5" s="3" t="n">
        <f aca="false">3_Memoria_Mensal!G7</f>
        <v>6806.53</v>
      </c>
      <c r="H5" s="3" t="n">
        <f aca="false">3_Memoria_Mensal!H7</f>
        <v>7143.14</v>
      </c>
      <c r="I5" s="3" t="n">
        <f aca="false">3_Memoria_Mensal!I7</f>
        <v>5756.72</v>
      </c>
      <c r="J5" s="3" t="n">
        <f aca="false">3_Memoria_Mensal!J7</f>
        <v>7237.12</v>
      </c>
      <c r="K5" s="3" t="n">
        <f aca="false">3_Memoria_Mensal!K7</f>
        <v>4428.88</v>
      </c>
      <c r="L5" s="3" t="n">
        <f aca="false">3_Memoria_Mensal!L7</f>
        <v>7636.08</v>
      </c>
      <c r="M5" s="23" t="n">
        <f aca="false">SUM(C5:L5)</f>
        <v>51261.55</v>
      </c>
    </row>
    <row r="6" customFormat="false" ht="15" hidden="false" customHeight="false" outlineLevel="0" collapsed="false">
      <c r="A6" s="0" t="s">
        <v>292</v>
      </c>
      <c r="B6" s="16" t="s">
        <v>293</v>
      </c>
      <c r="C6" s="3" t="n">
        <f aca="false">MAX(0,TRUNC(ROUND(C5*VLOOKUP(C5,1_Parametros!$B$5:$E$9,3,TRUE())-VLOOKUP(C5,1_Parametros!$B$5:$E$9,4,TRUE()),6),2))</f>
        <v>0</v>
      </c>
      <c r="D6" s="3" t="n">
        <f aca="false">MAX(0,TRUNC(ROUND(D5*VLOOKUP(D5,1_Parametros!$B$5:$E$9,3,TRUE())-VLOOKUP(D5,1_Parametros!$B$5:$E$9,4,TRUE()),6),2))</f>
        <v>0</v>
      </c>
      <c r="E6" s="3" t="n">
        <f aca="false">MAX(0,TRUNC(ROUND(E5*VLOOKUP(E5,1_Parametros!$B$5:$E$9,3,TRUE())-VLOOKUP(E5,1_Parametros!$B$5:$E$9,4,TRUE()),6),2))</f>
        <v>577.58</v>
      </c>
      <c r="F6" s="3" t="n">
        <f aca="false">MAX(0,TRUNC(ROUND(F5*VLOOKUP(F5,1_Parametros!$B$5:$E$9,3,TRUE())-VLOOKUP(F5,1_Parametros!$B$5:$E$9,4,TRUE()),6),2))</f>
        <v>632.41</v>
      </c>
      <c r="G6" s="3" t="n">
        <f aca="false">MAX(0,TRUNC(ROUND(G5*VLOOKUP(G5,1_Parametros!$B$5:$E$9,3,TRUE())-VLOOKUP(G5,1_Parametros!$B$5:$E$9,4,TRUE()),6),2))</f>
        <v>963.06</v>
      </c>
      <c r="H6" s="3" t="n">
        <f aca="false">MAX(0,TRUNC(ROUND(H5*VLOOKUP(H5,1_Parametros!$B$5:$E$9,3,TRUE())-VLOOKUP(H5,1_Parametros!$B$5:$E$9,4,TRUE()),6),2))</f>
        <v>1055.63</v>
      </c>
      <c r="I6" s="3" t="n">
        <f aca="false">MAX(0,TRUNC(ROUND(I5*VLOOKUP(I5,1_Parametros!$B$5:$E$9,3,TRUE())-VLOOKUP(I5,1_Parametros!$B$5:$E$9,4,TRUE()),6),2))</f>
        <v>674.36</v>
      </c>
      <c r="J6" s="3" t="n">
        <f aca="false">MAX(0,TRUNC(ROUND(J5*VLOOKUP(J5,1_Parametros!$B$5:$E$9,3,TRUE())-VLOOKUP(J5,1_Parametros!$B$5:$E$9,4,TRUE()),6),2))</f>
        <v>1081.47</v>
      </c>
      <c r="K6" s="3" t="n">
        <f aca="false">MAX(0,TRUNC(ROUND(K5*VLOOKUP(K5,1_Parametros!$B$5:$E$9,3,TRUE())-VLOOKUP(K5,1_Parametros!$B$5:$E$9,4,TRUE()),6),2))</f>
        <v>321</v>
      </c>
      <c r="L6" s="3" t="n">
        <f aca="false">MAX(0,TRUNC(ROUND(L5*VLOOKUP(L5,1_Parametros!$B$5:$E$9,3,TRUE())-VLOOKUP(L5,1_Parametros!$B$5:$E$9,4,TRUE()),6),2))</f>
        <v>1191.19</v>
      </c>
      <c r="M6" s="23" t="n">
        <f aca="false">SUM(C6:L6)</f>
        <v>6496.7</v>
      </c>
    </row>
    <row r="7" customFormat="false" ht="15" hidden="false" customHeight="false" outlineLevel="0" collapsed="false">
      <c r="A7" s="0" t="s">
        <v>294</v>
      </c>
      <c r="B7" s="16" t="s">
        <v>295</v>
      </c>
      <c r="C7" s="3" t="n">
        <f aca="false">IF(C5&lt;=1_Parametros!$C$16,MIN(C6,1_Parametros!$C$17),IF(C5&lt;=1_Parametros!$C$18,MAX(0,ROUND(1_Parametros!$C$19-1_Parametros!$C$20*C5,2)),0))</f>
        <v>0</v>
      </c>
      <c r="D7" s="3" t="n">
        <f aca="false">IF(D5&lt;=1_Parametros!$C$16,MIN(D6,1_Parametros!$C$17),IF(D5&lt;=1_Parametros!$C$18,MAX(0,ROUND(1_Parametros!$C$19-1_Parametros!$C$20*D5,2)),0))</f>
        <v>0</v>
      </c>
      <c r="E7" s="3" t="n">
        <f aca="false">IF(E5&lt;=1_Parametros!$C$16,MIN(E6,1_Parametros!$C$17),IF(E5&lt;=1_Parametros!$C$18,MAX(0,ROUND(1_Parametros!$C$19-1_Parametros!$C$20*E5,2)),0))</f>
        <v>259</v>
      </c>
      <c r="F7" s="3" t="n">
        <f aca="false">IF(F5&lt;=1_Parametros!$C$16,MIN(F6,1_Parametros!$C$17),IF(F5&lt;=1_Parametros!$C$18,MAX(0,ROUND(1_Parametros!$C$19-1_Parametros!$C$20*F5,2)),0))</f>
        <v>232.45</v>
      </c>
      <c r="G7" s="3" t="n">
        <f aca="false">IF(G5&lt;=1_Parametros!$C$16,MIN(G6,1_Parametros!$C$17),IF(G5&lt;=1_Parametros!$C$18,MAX(0,ROUND(1_Parametros!$C$19-1_Parametros!$C$20*G5,2)),0))</f>
        <v>72.36</v>
      </c>
      <c r="H7" s="3" t="n">
        <f aca="false">IF(H5&lt;=1_Parametros!$C$16,MIN(H6,1_Parametros!$C$17),IF(H5&lt;=1_Parametros!$C$18,MAX(0,ROUND(1_Parametros!$C$19-1_Parametros!$C$20*H5,2)),0))</f>
        <v>27.55</v>
      </c>
      <c r="I7" s="3" t="n">
        <f aca="false">IF(I5&lt;=1_Parametros!$C$16,MIN(I6,1_Parametros!$C$17),IF(I5&lt;=1_Parametros!$C$18,MAX(0,ROUND(1_Parametros!$C$19-1_Parametros!$C$20*I5,2)),0))</f>
        <v>212.14</v>
      </c>
      <c r="J7" s="3" t="n">
        <f aca="false">IF(J5&lt;=1_Parametros!$C$16,MIN(J6,1_Parametros!$C$17),IF(J5&lt;=1_Parametros!$C$18,MAX(0,ROUND(1_Parametros!$C$19-1_Parametros!$C$20*J5,2)),0))</f>
        <v>15.03</v>
      </c>
      <c r="K7" s="3" t="n">
        <f aca="false">IF(K5&lt;=1_Parametros!$C$16,MIN(K6,1_Parametros!$C$17),IF(K5&lt;=1_Parametros!$C$18,MAX(0,ROUND(1_Parametros!$C$19-1_Parametros!$C$20*K5,2)),0))</f>
        <v>312.89</v>
      </c>
      <c r="L7" s="3" t="n">
        <f aca="false">IF(L5&lt;=1_Parametros!$C$16,MIN(L6,1_Parametros!$C$17),IF(L5&lt;=1_Parametros!$C$18,MAX(0,ROUND(1_Parametros!$C$19-1_Parametros!$C$20*L5,2)),0))</f>
        <v>0</v>
      </c>
      <c r="M7" s="23" t="n">
        <f aca="false">SUM(C7:L7)</f>
        <v>1131.42</v>
      </c>
    </row>
    <row r="8" customFormat="false" ht="15" hidden="false" customHeight="false" outlineLevel="0" collapsed="false">
      <c r="A8" s="0" t="s">
        <v>296</v>
      </c>
      <c r="B8" s="16" t="s">
        <v>297</v>
      </c>
      <c r="C8" s="3" t="n">
        <f aca="false">MAX(0,C6-C7)</f>
        <v>0</v>
      </c>
      <c r="D8" s="3" t="n">
        <f aca="false">MAX(0,D6-D7)</f>
        <v>0</v>
      </c>
      <c r="E8" s="3" t="n">
        <f aca="false">MAX(0,E6-E7)</f>
        <v>318.58</v>
      </c>
      <c r="F8" s="3" t="n">
        <f aca="false">MAX(0,F6-F7)</f>
        <v>399.96</v>
      </c>
      <c r="G8" s="3" t="n">
        <f aca="false">MAX(0,G6-G7)</f>
        <v>890.7</v>
      </c>
      <c r="H8" s="3" t="n">
        <f aca="false">MAX(0,H6-H7)</f>
        <v>1028.08</v>
      </c>
      <c r="I8" s="3" t="n">
        <f aca="false">MAX(0,I6-I7)</f>
        <v>462.22</v>
      </c>
      <c r="J8" s="3" t="n">
        <f aca="false">MAX(0,J6-J7)</f>
        <v>1066.44</v>
      </c>
      <c r="K8" s="3" t="n">
        <f aca="false">MAX(0,K6-K7)</f>
        <v>8.11000000000001</v>
      </c>
      <c r="L8" s="3" t="n">
        <f aca="false">MAX(0,L6-L7)</f>
        <v>1191.19</v>
      </c>
      <c r="M8" s="23" t="n">
        <f aca="false">SUM(C8:L8)</f>
        <v>5365.28</v>
      </c>
    </row>
    <row r="9" customFormat="false" ht="15" hidden="false" customHeight="false" outlineLevel="0" collapsed="false">
      <c r="A9" s="0" t="s">
        <v>298</v>
      </c>
      <c r="B9" s="16" t="s">
        <v>299</v>
      </c>
      <c r="C9" s="3" t="n">
        <f aca="false">3_Memoria_Mensal!C25</f>
        <v>0</v>
      </c>
      <c r="D9" s="3" t="n">
        <f aca="false">3_Memoria_Mensal!D25</f>
        <v>342.14</v>
      </c>
      <c r="E9" s="3" t="n">
        <f aca="false">3_Memoria_Mensal!E25</f>
        <v>1486.31</v>
      </c>
      <c r="F9" s="3" t="n">
        <f aca="false">3_Memoria_Mensal!F25</f>
        <v>1541.15</v>
      </c>
      <c r="G9" s="3" t="n">
        <f aca="false">3_Memoria_Mensal!G25</f>
        <v>1871.8</v>
      </c>
      <c r="H9" s="3" t="n">
        <f aca="false">3_Memoria_Mensal!H25</f>
        <v>1964.37</v>
      </c>
      <c r="I9" s="3" t="n">
        <f aca="false">3_Memoria_Mensal!I25</f>
        <v>1583.1</v>
      </c>
      <c r="J9" s="3" t="n">
        <f aca="false">3_Memoria_Mensal!J25</f>
        <v>1990.21</v>
      </c>
      <c r="K9" s="3" t="n">
        <f aca="false">3_Memoria_Mensal!K25</f>
        <v>1217.95</v>
      </c>
      <c r="L9" s="3" t="n">
        <f aca="false">3_Memoria_Mensal!L25</f>
        <v>2099.92</v>
      </c>
      <c r="M9" s="23" t="n">
        <f aca="false">SUM(C9:L9)</f>
        <v>14096.95</v>
      </c>
    </row>
    <row r="10" customFormat="false" ht="15" hidden="false" customHeight="false" outlineLevel="0" collapsed="false">
      <c r="A10" s="0" t="s">
        <v>300</v>
      </c>
      <c r="B10" s="16" t="s">
        <v>301</v>
      </c>
      <c r="C10" s="6" t="n">
        <f aca="false">C9-C8</f>
        <v>0</v>
      </c>
      <c r="D10" s="6" t="n">
        <f aca="false">D9-D8</f>
        <v>342.14</v>
      </c>
      <c r="E10" s="6" t="n">
        <f aca="false">E9-E8</f>
        <v>1167.73</v>
      </c>
      <c r="F10" s="6" t="n">
        <f aca="false">F9-F8</f>
        <v>1141.19</v>
      </c>
      <c r="G10" s="6" t="n">
        <f aca="false">G9-G8</f>
        <v>981.1</v>
      </c>
      <c r="H10" s="6" t="n">
        <f aca="false">H9-H8</f>
        <v>936.290000000001</v>
      </c>
      <c r="I10" s="6" t="n">
        <f aca="false">I9-I8</f>
        <v>1120.88</v>
      </c>
      <c r="J10" s="6" t="n">
        <f aca="false">J9-J8</f>
        <v>923.77</v>
      </c>
      <c r="K10" s="6" t="n">
        <f aca="false">K9-K8</f>
        <v>1209.84</v>
      </c>
      <c r="L10" s="6" t="n">
        <f aca="false">L9-L8</f>
        <v>908.73</v>
      </c>
      <c r="M10" s="23" t="n">
        <f aca="false">SUM(C10:L10)</f>
        <v>8731.67</v>
      </c>
    </row>
    <row r="11" customFormat="false" ht="28.35" hidden="false" customHeight="false" outlineLevel="0" collapsed="false">
      <c r="A11" s="0" t="s">
        <v>302</v>
      </c>
      <c r="B11" s="16" t="s">
        <v>303</v>
      </c>
      <c r="C11" s="6" t="n">
        <f aca="false">C10</f>
        <v>0</v>
      </c>
      <c r="D11" s="6" t="n">
        <f aca="false">D10</f>
        <v>342.14</v>
      </c>
      <c r="E11" s="6" t="n">
        <f aca="false">E10</f>
        <v>1167.73</v>
      </c>
      <c r="F11" s="6" t="n">
        <f aca="false">F10</f>
        <v>1141.19</v>
      </c>
      <c r="G11" s="6" t="n">
        <f aca="false">G10</f>
        <v>981.1</v>
      </c>
      <c r="H11" s="6" t="n">
        <f aca="false">H10</f>
        <v>936.290000000001</v>
      </c>
      <c r="I11" s="6" t="n">
        <f aca="false">I10</f>
        <v>1120.88</v>
      </c>
      <c r="J11" s="6" t="n">
        <f aca="false">J10</f>
        <v>923.77</v>
      </c>
      <c r="K11" s="6" t="n">
        <f aca="false">K10</f>
        <v>1209.84</v>
      </c>
      <c r="L11" s="6" t="n">
        <f aca="false">L10</f>
        <v>908.73</v>
      </c>
      <c r="M11" s="23" t="n">
        <f aca="false">SUM(C11:L11)</f>
        <v>8731.67</v>
      </c>
    </row>
    <row r="13" customFormat="false" ht="49.5" hidden="false" customHeight="true" outlineLevel="0" collapsed="false">
      <c r="A13" s="7" t="s">
        <v>304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</sheetData>
  <mergeCells count="2">
    <mergeCell ref="A2:L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305</v>
      </c>
    </row>
    <row r="2" customFormat="false" ht="75" hidden="false" customHeight="true" outlineLevel="0" collapsed="false">
      <c r="A2" s="7" t="s">
        <v>306</v>
      </c>
      <c r="B2" s="7"/>
      <c r="C2" s="7"/>
      <c r="D2" s="7"/>
    </row>
    <row r="4" customFormat="false" ht="15" hidden="false" customHeight="false" outlineLevel="0" collapsed="false">
      <c r="A4" s="2" t="s">
        <v>231</v>
      </c>
      <c r="B4" s="2" t="s">
        <v>307</v>
      </c>
      <c r="C4" s="2" t="s">
        <v>308</v>
      </c>
      <c r="D4" s="2" t="s">
        <v>309</v>
      </c>
    </row>
    <row r="5" customFormat="false" ht="15" hidden="false" customHeight="false" outlineLevel="0" collapsed="false">
      <c r="A5" s="16" t="s">
        <v>310</v>
      </c>
      <c r="B5" s="24" t="n">
        <f aca="false">3_Memoria_Mensal!H6</f>
        <v>7844.78</v>
      </c>
      <c r="C5" s="24" t="n">
        <f aca="false">3_Memoria_Mensal!H6</f>
        <v>7844.78</v>
      </c>
    </row>
    <row r="6" customFormat="false" ht="15" hidden="false" customHeight="false" outlineLevel="0" collapsed="false">
      <c r="A6" s="16" t="s">
        <v>311</v>
      </c>
      <c r="B6" s="24" t="n">
        <f aca="false">3_Memoria_Mensal!H12-B5</f>
        <v>27609.15</v>
      </c>
      <c r="C6" s="24" t="n">
        <f aca="false">3_Memoria_Mensal!H12-C5</f>
        <v>27609.15</v>
      </c>
    </row>
    <row r="7" customFormat="false" ht="15" hidden="false" customHeight="false" outlineLevel="0" collapsed="false">
      <c r="A7" s="16" t="s">
        <v>312</v>
      </c>
      <c r="B7" s="24" t="s">
        <v>313</v>
      </c>
      <c r="C7" s="24" t="n">
        <f aca="false">MAX(0,TRUNC(ROUND(C6*VLOOKUP(C6,1_Parametros!$B$5:$E$9,3,TRUE())-VLOOKUP(C6,1_Parametros!$B$5:$E$9,4,TRUE()),6),2))</f>
        <v>6683.78</v>
      </c>
    </row>
    <row r="8" customFormat="false" ht="15" hidden="false" customHeight="false" outlineLevel="0" collapsed="false">
      <c r="A8" s="16" t="s">
        <v>314</v>
      </c>
      <c r="B8" s="24" t="s">
        <v>313</v>
      </c>
      <c r="C8" s="24" t="n">
        <f aca="false">MAX(0,TRUNC(ROUND(C5*VLOOKUP(C5,1_Parametros!$B$5:$E$9,3,TRUE())-VLOOKUP(C5,1_Parametros!$B$5:$E$9,4,TRUE()),6),2))</f>
        <v>1248.58</v>
      </c>
    </row>
    <row r="9" customFormat="false" ht="15" hidden="false" customHeight="false" outlineLevel="0" collapsed="false">
      <c r="A9" s="16" t="s">
        <v>315</v>
      </c>
      <c r="B9" s="24" t="n">
        <f aca="false">3_Memoria_Mensal!H20</f>
        <v>8841.1</v>
      </c>
      <c r="C9" s="24" t="n">
        <f aca="false">C7+C8</f>
        <v>7932.36</v>
      </c>
      <c r="D9" s="25" t="n">
        <f aca="false">B9-C9</f>
        <v>908.739999999999</v>
      </c>
    </row>
    <row r="11" customFormat="false" ht="75" hidden="false" customHeight="true" outlineLevel="0" collapsed="false">
      <c r="A11" s="7" t="s">
        <v>316</v>
      </c>
      <c r="B11" s="7"/>
      <c r="C11" s="7"/>
      <c r="D11" s="7"/>
    </row>
  </sheetData>
  <mergeCells count="2"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317</v>
      </c>
    </row>
    <row r="2" customFormat="false" ht="45" hidden="false" customHeight="true" outlineLevel="0" collapsed="false">
      <c r="A2" s="7" t="s">
        <v>318</v>
      </c>
      <c r="B2" s="7"/>
      <c r="C2" s="7"/>
      <c r="D2" s="7"/>
      <c r="E2" s="7"/>
      <c r="F2" s="7"/>
      <c r="G2" s="7"/>
      <c r="H2" s="7"/>
      <c r="I2" s="7"/>
    </row>
    <row r="4" customFormat="false" ht="28.35" hidden="false" customHeight="false" outlineLevel="0" collapsed="false">
      <c r="A4" s="2" t="s">
        <v>2</v>
      </c>
      <c r="B4" s="2" t="s">
        <v>319</v>
      </c>
      <c r="C4" s="2" t="s">
        <v>320</v>
      </c>
      <c r="D4" s="2" t="s">
        <v>321</v>
      </c>
      <c r="E4" s="2" t="s">
        <v>322</v>
      </c>
      <c r="F4" s="2" t="s">
        <v>323</v>
      </c>
      <c r="G4" s="2" t="s">
        <v>324</v>
      </c>
      <c r="H4" s="2" t="s">
        <v>325</v>
      </c>
      <c r="I4" s="2" t="s">
        <v>326</v>
      </c>
      <c r="J4" s="2" t="s">
        <v>327</v>
      </c>
    </row>
    <row r="5" customFormat="false" ht="15" hidden="false" customHeight="false" outlineLevel="0" collapsed="false">
      <c r="A5" s="4" t="s">
        <v>13</v>
      </c>
      <c r="B5" s="4" t="n">
        <v>1937</v>
      </c>
      <c r="C5" s="26" t="n">
        <f aca="false">INT(B5/100)+MOD(B5,100)/60</f>
        <v>19.6166666666667</v>
      </c>
      <c r="D5" s="3" t="n">
        <v>1378.26</v>
      </c>
      <c r="E5" s="26" t="n">
        <f aca="false">D5/C5</f>
        <v>70.2596431605777</v>
      </c>
      <c r="F5" s="4" t="n">
        <v>4511</v>
      </c>
      <c r="G5" s="26" t="n">
        <f aca="false">INT(F5/100)+MOD(F5,100)/60</f>
        <v>45.1833333333333</v>
      </c>
      <c r="H5" s="3" t="n">
        <v>4026.52</v>
      </c>
      <c r="I5" s="26" t="n">
        <f aca="false">H5/G5</f>
        <v>89.1151604573958</v>
      </c>
      <c r="J5" s="26" t="n">
        <f aca="false">I5/E5</f>
        <v>1.26836910135914</v>
      </c>
    </row>
    <row r="6" customFormat="false" ht="15" hidden="false" customHeight="false" outlineLevel="0" collapsed="false">
      <c r="A6" s="4" t="s">
        <v>14</v>
      </c>
      <c r="B6" s="4" t="n">
        <v>2151</v>
      </c>
      <c r="C6" s="26" t="n">
        <f aca="false">INT(B6/100)+MOD(B6,100)/60</f>
        <v>21.85</v>
      </c>
      <c r="D6" s="3" t="n">
        <v>1535.17</v>
      </c>
      <c r="E6" s="26" t="n">
        <f aca="false">D6/C6</f>
        <v>70.2594965675057</v>
      </c>
      <c r="F6" s="4" t="n">
        <v>4620</v>
      </c>
      <c r="G6" s="26" t="n">
        <f aca="false">INT(F6/100)+MOD(F6,100)/60</f>
        <v>46.3333333333333</v>
      </c>
      <c r="H6" s="3" t="n">
        <v>4068.99</v>
      </c>
      <c r="I6" s="26" t="n">
        <f aca="false">H6/G6</f>
        <v>87.819928057554</v>
      </c>
      <c r="J6" s="26" t="n">
        <f aca="false">I6/E6</f>
        <v>1.24993676795244</v>
      </c>
    </row>
    <row r="7" customFormat="false" ht="15" hidden="false" customHeight="false" outlineLevel="0" collapsed="false">
      <c r="A7" s="4" t="s">
        <v>15</v>
      </c>
      <c r="B7" s="4" t="n">
        <v>5344</v>
      </c>
      <c r="C7" s="26" t="n">
        <f aca="false">INT(B7/100)+MOD(B7,100)/60</f>
        <v>53.7333333333333</v>
      </c>
      <c r="D7" s="3" t="n">
        <v>3775.29</v>
      </c>
      <c r="E7" s="26" t="n">
        <f aca="false">D7/C7</f>
        <v>70.2597394540943</v>
      </c>
      <c r="F7" s="4" t="n">
        <v>3431</v>
      </c>
      <c r="G7" s="26" t="n">
        <f aca="false">INT(F7/100)+MOD(F7,100)/60</f>
        <v>34.5166666666667</v>
      </c>
      <c r="H7" s="3" t="n">
        <v>3031.24</v>
      </c>
      <c r="I7" s="26" t="n">
        <f aca="false">H7/G7</f>
        <v>87.8196040560116</v>
      </c>
      <c r="J7" s="26" t="n">
        <f aca="false">I7/E7</f>
        <v>1.24992783546245</v>
      </c>
    </row>
    <row r="8" customFormat="false" ht="15" hidden="false" customHeight="false" outlineLevel="0" collapsed="false">
      <c r="A8" s="4" t="s">
        <v>16</v>
      </c>
      <c r="B8" s="4" t="n">
        <v>4414</v>
      </c>
      <c r="C8" s="26" t="n">
        <f aca="false">INT(B8/100)+MOD(B8,100)/60</f>
        <v>44.2333333333333</v>
      </c>
      <c r="D8" s="3" t="n">
        <v>3107.82</v>
      </c>
      <c r="E8" s="26" t="n">
        <f aca="false">D8/C8</f>
        <v>70.2596834966089</v>
      </c>
      <c r="F8" s="4" t="n">
        <v>4557</v>
      </c>
      <c r="G8" s="26" t="n">
        <f aca="false">INT(F8/100)+MOD(F8,100)/60</f>
        <v>45.95</v>
      </c>
      <c r="H8" s="3" t="n">
        <v>4035.32</v>
      </c>
      <c r="I8" s="26" t="n">
        <f aca="false">H8/G8</f>
        <v>87.8198041349293</v>
      </c>
      <c r="J8" s="26" t="n">
        <f aca="false">I8/E8</f>
        <v>1.24993167865847</v>
      </c>
    </row>
    <row r="9" customFormat="false" ht="15" hidden="false" customHeight="false" outlineLevel="0" collapsed="false">
      <c r="A9" s="4" t="s">
        <v>17</v>
      </c>
      <c r="B9" s="4" t="n">
        <v>3205</v>
      </c>
      <c r="C9" s="26" t="n">
        <f aca="false">INT(B9/100)+MOD(B9,100)/60</f>
        <v>32.0833333333333</v>
      </c>
      <c r="D9" s="3" t="n">
        <v>2254.17</v>
      </c>
      <c r="E9" s="26" t="n">
        <f aca="false">D9/C9</f>
        <v>70.2598441558442</v>
      </c>
      <c r="F9" s="4" t="n">
        <v>3953</v>
      </c>
      <c r="G9" s="26" t="n">
        <f aca="false">INT(F9/100)+MOD(F9,100)/60</f>
        <v>39.8833333333333</v>
      </c>
      <c r="H9" s="3" t="n">
        <v>3502.55</v>
      </c>
      <c r="I9" s="26" t="n">
        <f aca="false">H9/G9</f>
        <v>87.8198913497702</v>
      </c>
      <c r="J9" s="26" t="n">
        <f aca="false">I9/E9</f>
        <v>1.24993006182843</v>
      </c>
    </row>
    <row r="10" customFormat="false" ht="15" hidden="false" customHeight="false" outlineLevel="0" collapsed="false">
      <c r="A10" s="4" t="s">
        <v>18</v>
      </c>
      <c r="B10" s="4" t="n">
        <v>4553</v>
      </c>
      <c r="C10" s="26" t="n">
        <f aca="false">INT(B10/100)+MOD(B10,100)/60</f>
        <v>45.8833333333333</v>
      </c>
      <c r="D10" s="3" t="n">
        <v>3223.75</v>
      </c>
      <c r="E10" s="26" t="n">
        <f aca="false">D10/C10</f>
        <v>70.2597166727207</v>
      </c>
      <c r="F10" s="4" t="n">
        <v>4542</v>
      </c>
      <c r="G10" s="26" t="n">
        <f aca="false">INT(F10/100)+MOD(F10,100)/60</f>
        <v>45.7</v>
      </c>
      <c r="H10" s="3" t="n">
        <v>4013.37</v>
      </c>
      <c r="I10" s="26" t="n">
        <f aca="false">H10/G10</f>
        <v>87.8199124726477</v>
      </c>
      <c r="J10" s="26" t="n">
        <f aca="false">I10/E10</f>
        <v>1.24993263041075</v>
      </c>
    </row>
    <row r="11" customFormat="false" ht="15" hidden="false" customHeight="false" outlineLevel="0" collapsed="false">
      <c r="A11" s="4" t="s">
        <v>19</v>
      </c>
      <c r="B11" s="4" t="n">
        <v>3421</v>
      </c>
      <c r="C11" s="26" t="n">
        <f aca="false">INT(B11/100)+MOD(B11,100)/60</f>
        <v>34.35</v>
      </c>
      <c r="D11" s="3" t="n">
        <v>2413.42</v>
      </c>
      <c r="E11" s="26" t="n">
        <f aca="false">D11/C11</f>
        <v>70.2596797671034</v>
      </c>
      <c r="F11" s="4" t="n">
        <v>2257</v>
      </c>
      <c r="G11" s="26" t="n">
        <f aca="false">INT(F11/100)+MOD(F11,100)/60</f>
        <v>22.95</v>
      </c>
      <c r="H11" s="3" t="n">
        <v>2015.46</v>
      </c>
      <c r="I11" s="26" t="n">
        <f aca="false">H11/G11</f>
        <v>87.8196078431373</v>
      </c>
      <c r="J11" s="26" t="n">
        <f aca="false">I11/E11</f>
        <v>1.24992895120276</v>
      </c>
    </row>
    <row r="12" customFormat="false" ht="15" hidden="false" customHeight="false" outlineLevel="0" collapsed="false">
      <c r="A12" s="4" t="s">
        <v>20</v>
      </c>
      <c r="B12" s="4" t="n">
        <v>3525</v>
      </c>
      <c r="C12" s="26" t="n">
        <f aca="false">INT(B12/100)+MOD(B12,100)/60</f>
        <v>35.4166666666667</v>
      </c>
      <c r="D12" s="3" t="n">
        <v>2488.37</v>
      </c>
      <c r="E12" s="26" t="n">
        <f aca="false">D12/C12</f>
        <v>70.2598588235294</v>
      </c>
      <c r="F12" s="4" t="n">
        <v>5837</v>
      </c>
      <c r="G12" s="26" t="n">
        <f aca="false">INT(F12/100)+MOD(F12,100)/60</f>
        <v>58.6166666666667</v>
      </c>
      <c r="H12" s="3" t="n">
        <v>5147.71</v>
      </c>
      <c r="I12" s="26" t="n">
        <f aca="false">H12/G12</f>
        <v>87.8199033266989</v>
      </c>
      <c r="J12" s="26" t="n">
        <f aca="false">I12/E12</f>
        <v>1.24992997135498</v>
      </c>
    </row>
    <row r="14" customFormat="false" ht="69.75" hidden="false" customHeight="true" outlineLevel="0" collapsed="false">
      <c r="A14" s="7" t="s">
        <v>328</v>
      </c>
      <c r="B14" s="7"/>
      <c r="C14" s="7"/>
      <c r="D14" s="7"/>
      <c r="E14" s="7"/>
      <c r="F14" s="7"/>
      <c r="G14" s="7"/>
      <c r="H14" s="7"/>
      <c r="I14" s="7"/>
      <c r="J14" s="7"/>
    </row>
  </sheetData>
  <mergeCells count="2">
    <mergeCell ref="A2:I2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2026-10-30T19:45:07Z</dcterms:created>
  <dc:creator>openpyxl</dc:creator>
  <dc:description/>
  <dc:language>en-US</dc:language>
  <cp:lastModifiedBy/>
  <dcterms:modified xsi:type="dcterms:W3CDTF">2026-10-30T19:45:07Z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