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cbj\Desktop\DECAL\"/>
    </mc:Choice>
  </mc:AlternateContent>
  <xr:revisionPtr revIDLastSave="0" documentId="8_{FBF10889-EE5C-4570-85AB-3F3F7107D089}" xr6:coauthVersionLast="47" xr6:coauthVersionMax="47" xr10:uidLastSave="{00000000-0000-0000-0000-000000000000}"/>
  <bookViews>
    <workbookView xWindow="-28920" yWindow="-120" windowWidth="29040" windowHeight="15720" tabRatio="865" activeTab="3" xr2:uid="{6DAEA9AC-3E38-489B-936A-1046015AAE88}"/>
  </bookViews>
  <sheets>
    <sheet name="Formulário de Perfil" sheetId="4" r:id="rId1"/>
    <sheet name="Formulário de Conformidade" sheetId="1" r:id="rId2"/>
    <sheet name="Contadores" sheetId="3" state="hidden" r:id="rId3"/>
    <sheet name="Resultado" sheetId="19" r:id="rId4"/>
    <sheet name="Planilha2" sheetId="21" state="hidden" r:id="rId5"/>
    <sheet name="3  Validação da Tabela Pergunta" sheetId="7" state="hidden" r:id="rId6"/>
    <sheet name="Checklist SAMPI" sheetId="6" state="hidden" r:id="rId7"/>
    <sheet name="datablocosGV" sheetId="14" state="hidden" r:id="rId8"/>
    <sheet name="Planilha1" sheetId="8" state="hidden" r:id="rId9"/>
    <sheet name="dataareasgv" sheetId="16" state="hidden" r:id="rId10"/>
    <sheet name="dataFPGV" sheetId="13" state="hidden" r:id="rId11"/>
  </sheets>
  <definedNames>
    <definedName name="_xlnm._FilterDatabase" localSheetId="6" hidden="1">'Checklist SAMPI'!$Y$1:$AB$119</definedName>
    <definedName name="_xlnm._FilterDatabase" localSheetId="1" hidden="1">'Formulário de Conformidade'!$B$6:$G$171</definedName>
    <definedName name="_ftn1" localSheetId="1">'Formulário de Conformidade'!#REF!</definedName>
    <definedName name="_ftnref1" localSheetId="1">'Formulário de Conformidade'!#REF!</definedName>
    <definedName name="_xlnm.Print_Area" localSheetId="1">'Formulário de Conformidade'!$B$1:$M$171</definedName>
    <definedName name="DadosExternos_1" localSheetId="5" hidden="1">'3  Validação da Tabela Pergunta'!$A$1:$N$119</definedName>
    <definedName name="DadosExternos_1" localSheetId="7" hidden="1">datablocosGV!$A$1:$G$24</definedName>
    <definedName name="DadosExternos_1" localSheetId="10" hidden="1">dataFPGV!$A$1:$H$43</definedName>
    <definedName name="DadosExternos_2" localSheetId="9" hidden="1">dataareasgv!$A$1:$F$12</definedName>
    <definedName name="SegmentaçãodeDados_Área">#N/A</definedName>
    <definedName name="SegmentaçãodeDados_Peso">#N/A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1" l="1"/>
  <c r="J134" i="1" l="1"/>
  <c r="J146" i="1"/>
  <c r="J145" i="1"/>
  <c r="C18" i="19" l="1"/>
  <c r="J168" i="1"/>
  <c r="J169" i="1"/>
  <c r="J170" i="1"/>
  <c r="J171" i="1"/>
  <c r="J166" i="1"/>
  <c r="J163" i="1"/>
  <c r="J164" i="1"/>
  <c r="J161" i="1"/>
  <c r="J153" i="1"/>
  <c r="J154" i="1"/>
  <c r="J155" i="1"/>
  <c r="J156" i="1"/>
  <c r="J157" i="1"/>
  <c r="J158" i="1"/>
  <c r="J151" i="1"/>
  <c r="J148" i="1"/>
  <c r="J149" i="1"/>
  <c r="J140" i="1"/>
  <c r="J141" i="1"/>
  <c r="J142" i="1"/>
  <c r="J136" i="1"/>
  <c r="J137" i="1"/>
  <c r="J138" i="1"/>
  <c r="J127" i="1"/>
  <c r="J128" i="1"/>
  <c r="J129" i="1"/>
  <c r="J130" i="1"/>
  <c r="J131" i="1"/>
  <c r="J122" i="1"/>
  <c r="J123" i="1"/>
  <c r="J124" i="1"/>
  <c r="J120" i="1"/>
  <c r="J115" i="1"/>
  <c r="J116" i="1"/>
  <c r="J117" i="1"/>
  <c r="J118" i="1"/>
  <c r="J113" i="1"/>
  <c r="J109" i="1"/>
  <c r="J110" i="1"/>
  <c r="J105" i="1"/>
  <c r="J106" i="1"/>
  <c r="J107" i="1"/>
  <c r="J98" i="1"/>
  <c r="J99" i="1"/>
  <c r="J100" i="1"/>
  <c r="J101" i="1"/>
  <c r="J102" i="1"/>
  <c r="J90" i="1"/>
  <c r="J91" i="1"/>
  <c r="J92" i="1"/>
  <c r="J93" i="1"/>
  <c r="J94" i="1"/>
  <c r="J85" i="1"/>
  <c r="J86" i="1"/>
  <c r="J87" i="1"/>
  <c r="J88" i="1"/>
  <c r="J80" i="1"/>
  <c r="J81" i="1"/>
  <c r="J82" i="1"/>
  <c r="J75" i="1"/>
  <c r="J76" i="1"/>
  <c r="J77" i="1"/>
  <c r="J78" i="1"/>
  <c r="J68" i="1"/>
  <c r="J69" i="1"/>
  <c r="J70" i="1"/>
  <c r="J71" i="1"/>
  <c r="J72" i="1"/>
  <c r="J66" i="1"/>
  <c r="J59" i="1"/>
  <c r="J60" i="1"/>
  <c r="J61" i="1"/>
  <c r="J62" i="1"/>
  <c r="J63" i="1"/>
  <c r="J64" i="1"/>
  <c r="J47" i="1"/>
  <c r="J48" i="1"/>
  <c r="J49" i="1"/>
  <c r="J50" i="1"/>
  <c r="J51" i="1"/>
  <c r="J52" i="1"/>
  <c r="J53" i="1"/>
  <c r="J54" i="1"/>
  <c r="J55" i="1"/>
  <c r="J45" i="1"/>
  <c r="J36" i="1"/>
  <c r="J37" i="1"/>
  <c r="J38" i="1"/>
  <c r="J39" i="1"/>
  <c r="J40" i="1"/>
  <c r="J41" i="1"/>
  <c r="J42" i="1"/>
  <c r="J34" i="1"/>
  <c r="J30" i="1"/>
  <c r="J31" i="1"/>
  <c r="J25" i="1"/>
  <c r="J26" i="1"/>
  <c r="J27" i="1"/>
  <c r="J28" i="1"/>
  <c r="J19" i="1"/>
  <c r="J20" i="1"/>
  <c r="J21" i="1"/>
  <c r="J22" i="1"/>
  <c r="J17" i="1"/>
  <c r="J13" i="1"/>
  <c r="J15" i="1"/>
  <c r="J10" i="1"/>
  <c r="J11" i="1"/>
  <c r="J9" i="1"/>
  <c r="C16" i="19"/>
  <c r="L3" i="16"/>
  <c r="L4" i="16"/>
  <c r="L5" i="16"/>
  <c r="L6" i="16"/>
  <c r="L7" i="16"/>
  <c r="L8" i="16"/>
  <c r="L9" i="16"/>
  <c r="L10" i="16"/>
  <c r="L11" i="16"/>
  <c r="L12" i="16"/>
  <c r="L2" i="16"/>
  <c r="G12" i="16"/>
  <c r="H12" i="16" s="1"/>
  <c r="G11" i="16"/>
  <c r="H11" i="16" s="1"/>
  <c r="G10" i="16"/>
  <c r="H10" i="16" s="1"/>
  <c r="G9" i="16"/>
  <c r="H9" i="16" s="1"/>
  <c r="G8" i="16"/>
  <c r="H8" i="16" s="1"/>
  <c r="G7" i="16"/>
  <c r="H7" i="16" s="1"/>
  <c r="G6" i="16"/>
  <c r="H6" i="16" s="1"/>
  <c r="G5" i="16"/>
  <c r="H5" i="16" s="1"/>
  <c r="G4" i="16"/>
  <c r="H4" i="16" s="1"/>
  <c r="G3" i="16"/>
  <c r="H3" i="16" s="1"/>
  <c r="G2" i="16"/>
  <c r="H2" i="16" s="1"/>
  <c r="AU4" i="6"/>
  <c r="AU5" i="6"/>
  <c r="AU6" i="6"/>
  <c r="AU7" i="6"/>
  <c r="AU3" i="6"/>
  <c r="AU8" i="6"/>
  <c r="AU9" i="6"/>
  <c r="AU10" i="6"/>
  <c r="AU11" i="6"/>
  <c r="AU12" i="6"/>
  <c r="AU13" i="6"/>
  <c r="AU14" i="6"/>
  <c r="AU15" i="6"/>
  <c r="AU16" i="6"/>
  <c r="AU17" i="6"/>
  <c r="AU18" i="6"/>
  <c r="AU19" i="6"/>
  <c r="AU20" i="6"/>
  <c r="AU21" i="6"/>
  <c r="AU22" i="6"/>
  <c r="AU23" i="6"/>
  <c r="AU24" i="6"/>
  <c r="AU2" i="6"/>
  <c r="AQ3" i="6"/>
  <c r="AQ4" i="6"/>
  <c r="AQ5" i="6"/>
  <c r="AQ6" i="6"/>
  <c r="AQ7" i="6"/>
  <c r="AQ8" i="6"/>
  <c r="AQ9" i="6"/>
  <c r="AQ10" i="6"/>
  <c r="AQ11" i="6"/>
  <c r="AQ12" i="6"/>
  <c r="AQ13" i="6"/>
  <c r="AQ14" i="6"/>
  <c r="AQ15" i="6"/>
  <c r="AQ16" i="6"/>
  <c r="AQ17" i="6"/>
  <c r="AQ18" i="6"/>
  <c r="AQ19" i="6"/>
  <c r="AQ20" i="6"/>
  <c r="AQ21" i="6"/>
  <c r="AQ22" i="6"/>
  <c r="AQ23" i="6"/>
  <c r="AQ24" i="6"/>
  <c r="AQ25" i="6"/>
  <c r="AQ26" i="6"/>
  <c r="AQ27" i="6"/>
  <c r="AQ28" i="6"/>
  <c r="AQ29" i="6"/>
  <c r="AQ30" i="6"/>
  <c r="AQ31" i="6"/>
  <c r="AQ32" i="6"/>
  <c r="AQ33" i="6"/>
  <c r="AQ34" i="6"/>
  <c r="AQ35" i="6"/>
  <c r="AQ36" i="6"/>
  <c r="AQ37" i="6"/>
  <c r="AQ38" i="6"/>
  <c r="AQ39" i="6"/>
  <c r="AQ40" i="6"/>
  <c r="AQ41" i="6"/>
  <c r="AQ42" i="6"/>
  <c r="AQ43" i="6"/>
  <c r="AQ2" i="6"/>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37" i="6"/>
  <c r="AL38" i="6"/>
  <c r="AL39" i="6"/>
  <c r="AL40" i="6"/>
  <c r="AL41" i="6"/>
  <c r="AL42" i="6"/>
  <c r="AL43" i="6"/>
  <c r="AL2" i="6"/>
  <c r="E11" i="19" l="1"/>
  <c r="F11" i="19" s="1"/>
  <c r="E6" i="19"/>
  <c r="F6" i="19" s="1"/>
  <c r="E5" i="19"/>
  <c r="F5" i="19" s="1"/>
  <c r="E15" i="19"/>
  <c r="F15" i="19" s="1"/>
  <c r="E9" i="19"/>
  <c r="F9" i="19" s="1"/>
  <c r="E7" i="19"/>
  <c r="F7" i="19" s="1"/>
  <c r="E10" i="19"/>
  <c r="F10" i="19" s="1"/>
  <c r="E14" i="19"/>
  <c r="F14" i="19" s="1"/>
  <c r="E8" i="19"/>
  <c r="F8" i="19" s="1"/>
  <c r="E13" i="19"/>
  <c r="F13" i="19" s="1"/>
  <c r="E12" i="19"/>
  <c r="F12" i="19" s="1"/>
  <c r="E4" i="19"/>
  <c r="AG3" i="6"/>
  <c r="AG4" i="6"/>
  <c r="AG5" i="6"/>
  <c r="AG6" i="6"/>
  <c r="AG7" i="6"/>
  <c r="AG8" i="6"/>
  <c r="AG9" i="6"/>
  <c r="AG10" i="6"/>
  <c r="AG11" i="6"/>
  <c r="AG12" i="6"/>
  <c r="AG13" i="6"/>
  <c r="AG14" i="6"/>
  <c r="AG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2" i="6"/>
  <c r="U3" i="6"/>
  <c r="U4" i="6"/>
  <c r="U5" i="6"/>
  <c r="U6" i="6"/>
  <c r="U7" i="6"/>
  <c r="U8" i="6"/>
  <c r="U9" i="6"/>
  <c r="U10" i="6"/>
  <c r="U11" i="6"/>
  <c r="U12" i="6"/>
  <c r="U13" i="6"/>
  <c r="U14" i="6"/>
  <c r="U15" i="6"/>
  <c r="U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2" i="6"/>
  <c r="L19" i="6"/>
  <c r="L20" i="6"/>
  <c r="L21" i="6"/>
  <c r="L22" i="6"/>
  <c r="L23" i="6"/>
  <c r="L24" i="6"/>
  <c r="L25" i="6"/>
  <c r="L26" i="6"/>
  <c r="L27" i="6"/>
  <c r="L28" i="6"/>
  <c r="L29" i="6"/>
  <c r="L30" i="6"/>
  <c r="L3" i="6"/>
  <c r="L4" i="6"/>
  <c r="L5" i="6"/>
  <c r="L6" i="6"/>
  <c r="L7" i="6"/>
  <c r="L8" i="6"/>
  <c r="L9" i="6"/>
  <c r="L10" i="6"/>
  <c r="L11" i="6"/>
  <c r="L12" i="6"/>
  <c r="L13" i="6"/>
  <c r="L14" i="6"/>
  <c r="L15" i="6"/>
  <c r="L16" i="6"/>
  <c r="L17" i="6"/>
  <c r="L18" i="6"/>
  <c r="L2" i="6"/>
  <c r="H3" i="6"/>
  <c r="H4" i="6"/>
  <c r="H5" i="6"/>
  <c r="H6" i="6"/>
  <c r="H7" i="6"/>
  <c r="H8" i="6"/>
  <c r="H9" i="6"/>
  <c r="H10" i="6"/>
  <c r="H11" i="6"/>
  <c r="H12" i="6"/>
  <c r="H13" i="6"/>
  <c r="H14" i="6"/>
  <c r="H15" i="6"/>
  <c r="H16" i="6"/>
  <c r="H17" i="6"/>
  <c r="H18" i="6"/>
  <c r="H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2" i="6"/>
  <c r="T8" i="3"/>
  <c r="V8" i="3" s="1"/>
  <c r="T7" i="3"/>
  <c r="V7" i="3" s="1"/>
  <c r="T6" i="3"/>
  <c r="V6" i="3" s="1"/>
  <c r="T5" i="3"/>
  <c r="V5" i="3" s="1"/>
  <c r="T4" i="3"/>
  <c r="V4" i="3" s="1"/>
  <c r="N8" i="3"/>
  <c r="F4" i="19" l="1"/>
  <c r="E18" i="19"/>
  <c r="F18" i="19" s="1"/>
  <c r="E16" i="19"/>
  <c r="F16" i="19" s="1"/>
  <c r="O6" i="3"/>
  <c r="D6" i="3"/>
  <c r="E6" i="3"/>
  <c r="F6" i="3"/>
  <c r="G6" i="3"/>
  <c r="H6" i="3"/>
  <c r="I6" i="3"/>
  <c r="J6" i="3"/>
  <c r="K6" i="3"/>
  <c r="L6" i="3"/>
  <c r="M6" i="3"/>
  <c r="C6" i="3"/>
  <c r="O5" i="3"/>
  <c r="D5" i="3"/>
  <c r="E5" i="3"/>
  <c r="F5" i="3"/>
  <c r="G5" i="3"/>
  <c r="H5" i="3"/>
  <c r="I5" i="3"/>
  <c r="J5" i="3"/>
  <c r="K5" i="3"/>
  <c r="L5" i="3"/>
  <c r="M5" i="3"/>
  <c r="C5" i="3"/>
  <c r="O4" i="3"/>
  <c r="D4" i="3"/>
  <c r="E4" i="3"/>
  <c r="F4" i="3"/>
  <c r="G4" i="3"/>
  <c r="H4" i="3"/>
  <c r="I4" i="3"/>
  <c r="J4" i="3"/>
  <c r="K4" i="3"/>
  <c r="L4" i="3"/>
  <c r="M4" i="3"/>
  <c r="C4" i="3"/>
  <c r="N5" i="3" l="1"/>
  <c r="N6" i="3"/>
  <c r="C7" i="3" s="1"/>
  <c r="N4" i="3"/>
  <c r="U5" i="3" l="1"/>
  <c r="U6" i="3"/>
  <c r="U7" i="3"/>
  <c r="U4" i="3"/>
  <c r="U8" i="3"/>
  <c r="O7" i="3"/>
  <c r="M7" i="3"/>
  <c r="F7" i="3"/>
  <c r="D7" i="3"/>
  <c r="H7" i="3"/>
  <c r="L7" i="3"/>
  <c r="G7" i="3"/>
  <c r="K7" i="3"/>
  <c r="I7" i="3"/>
  <c r="J7" i="3"/>
  <c r="E7" i="3"/>
  <c r="N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tc={CFDF8996-7FBD-4746-B33C-909B1BFCA1E7}</author>
  </authors>
  <commentList>
    <comment ref="Z87" authorId="0" shapeId="0" xr:uid="{CFDF8996-7FBD-4746-B33C-909B1BFCA1E7}">
      <text>
        <t>[Comentário encadeado]
Sua versão do Excel permite que você leia este comentário encadeado, no entanto, as edições serão removidas se o arquivo for aberto em uma versão mais recente do Excel. Saiba mais: https://go.microsoft.com/fwlink/?linkid=870924
Comentário:
    Questão para o avaliador (sem tootip)</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4963C-7348-4324-826A-FBF19C2ECC43}" keepAlive="1" name="Consulta - 3  Validação da Tabela PerguntaFormularioTipoAvaliacao" description="Conexão com a consulta '3  Validação da Tabela PerguntaFormularioTipoAvaliacao' na pasta de trabalho." type="5" refreshedVersion="8" background="1" saveData="1">
    <dbPr connection="Provider=Microsoft.Mashup.OleDb.1;Data Source=$Workbook$;Location=&quot;3  Validação da Tabela PerguntaFormularioTipoAvaliacao&quot;;Extended Properties=&quot;&quot;" command="SELECT * FROM [3  Validação da Tabela PerguntaFormularioTipoAvaliacao]"/>
  </connection>
  <connection id="2" xr16:uid="{1F6200A3-3ABF-4FE8-ACF6-B2C82CCA216F}" keepAlive="1" name="Consulta - 3  Validação da Tabela PerguntaFormularioTipoAvaliacao (2)" description="Conexão com a consulta '3  Validação da Tabela PerguntaFormularioTipoAvaliacao (2)' na pasta de trabalho." type="5" refreshedVersion="0" background="1" saveData="1">
    <dbPr connection="Provider=Microsoft.Mashup.OleDb.1;Data Source=$Workbook$;Location=&quot;3  Validação da Tabela PerguntaFormularioTipoAvaliacao (2)&quot;;Extended Properties=&quot;&quot;" command="SELECT * FROM [3  Validação da Tabela PerguntaFormularioTipoAvaliacao (2)]"/>
  </connection>
  <connection id="3" xr16:uid="{9BC8D923-8449-43AE-B50F-0DC44FE52BF2}" keepAlive="1" name="Consulta - dataareasgv" description="Conexão com a consulta 'dataareasgv' na pasta de trabalho." type="5" refreshedVersion="8" background="1" saveData="1">
    <dbPr connection="Provider=Microsoft.Mashup.OleDb.1;Data Source=$Workbook$;Location=dataareasgv;Extended Properties=&quot;&quot;" command="SELECT * FROM [dataareasgv]"/>
  </connection>
  <connection id="4" xr16:uid="{CED778AC-ED4B-4F84-8D33-973CEA7816BE}" keepAlive="1" name="Consulta - datablocosGV" description="Conexão com a consulta 'datablocosGV' na pasta de trabalho." type="5" refreshedVersion="0" background="1" saveData="1">
    <dbPr connection="Provider=Microsoft.Mashup.OleDb.1;Data Source=$Workbook$;Location=datablocosGV;Extended Properties=&quot;&quot;" command="SELECT * FROM [datablocosGV]"/>
  </connection>
  <connection id="5" xr16:uid="{0C5368A8-60F6-4494-A5BF-39E0C10E8655}" keepAlive="1" name="Consulta - dataFPGV" description="Conexão com a consulta 'dataFPGV' na pasta de trabalho." type="5" refreshedVersion="0" background="1" saveData="1">
    <dbPr connection="Provider=Microsoft.Mashup.OleDb.1;Data Source=$Workbook$;Location=dataFPGV;Extended Properties=&quot;&quot;" command="SELECT * FROM [dataFPGV]"/>
  </connection>
</connections>
</file>

<file path=xl/sharedStrings.xml><?xml version="1.0" encoding="utf-8"?>
<sst xmlns="http://schemas.openxmlformats.org/spreadsheetml/2006/main" count="2525" uniqueCount="701">
  <si>
    <t>QTDE</t>
  </si>
  <si>
    <t>DADOS BÁSICOS</t>
  </si>
  <si>
    <t>Tooltip</t>
  </si>
  <si>
    <t>TIPO</t>
  </si>
  <si>
    <t>Opções</t>
  </si>
  <si>
    <t>Coluna1</t>
  </si>
  <si>
    <t>1 </t>
  </si>
  <si>
    <t>DB1. Nome da pessoa jurídica - Razão Social: </t>
  </si>
  <si>
    <t>Informar a denominação pela qual a pessoa jurídica está registrada no Cadastro Nacional da Pessoa Jurídica.</t>
  </si>
  <si>
    <t>Texto</t>
  </si>
  <si>
    <t>Decal Brasil Ltda.</t>
  </si>
  <si>
    <t>2 </t>
  </si>
  <si>
    <t>DB2. E-mail institucional da área de integridade:</t>
  </si>
  <si>
    <t xml:space="preserve">Informar o e-mail da área ou pessoa responsável pelo programa de integridade. Indicar e-mail institucional, evitando-se conta de uso pessoal. Este e-mail poderá ser utilizado pela CGU para dúvidas, informes, pedidos de esclarecimentos etc. </t>
  </si>
  <si>
    <t>Texto (máscara: e-mail)</t>
  </si>
  <si>
    <t>Comitê de Compliance: compliance@decalbrasil.com</t>
  </si>
  <si>
    <t>DB3. CNPJ: </t>
  </si>
  <si>
    <t>Informar o CNPJ da pessoa jurídica.</t>
  </si>
  <si>
    <t>Texto (máscara: CNPJ)</t>
  </si>
  <si>
    <t>03.973.894/0001-94</t>
  </si>
  <si>
    <t>DB4. Representante do programa de integridade: </t>
  </si>
  <si>
    <t>Informar o nome do representante da pessoa jurídica para ser comunicado em relação à avaliação do programa de integridade.</t>
  </si>
  <si>
    <t>Erica Andrade Lima</t>
  </si>
  <si>
    <t>DB5. Cargo do representante: </t>
  </si>
  <si>
    <t>Informar o cargo do representante da pessoa jurídica.</t>
  </si>
  <si>
    <t>Analista de Qualidade</t>
  </si>
  <si>
    <t>DB6. Telefone do representante: </t>
  </si>
  <si>
    <t>Informar o telefone do representante da pessoa jurídica.</t>
  </si>
  <si>
    <t>Texto (máscara: telefone)</t>
  </si>
  <si>
    <t>81 3311-5979</t>
  </si>
  <si>
    <t>ESTRUTURA E ATIVIDADE ECONÔMICA</t>
  </si>
  <si>
    <t>EA1. Qual a atividade econômica principal? </t>
  </si>
  <si>
    <t>Selecionar a opção que se refere a sua atividade econômica principal. A pessoa jurídica deverá observar os dois primeiros dígitos do CNAE e correlacioná-los com alguma das atividades descritas na lista. Exemplo: 
CNAE: 64.62-0-00
Atividade a ser selecionada na lista: (64 a 66)</t>
  </si>
  <si>
    <t>Lista Seleção Única</t>
  </si>
  <si>
    <t>(49 a 53) Transporte, Armazenagem e Correio</t>
  </si>
  <si>
    <r>
      <t>EA2. Qual o porte da pessoa jurídica?</t>
    </r>
    <r>
      <rPr>
        <b/>
        <vertAlign val="superscript"/>
        <sz val="8"/>
        <rFont val="Calibri"/>
        <family val="2"/>
      </rPr>
      <t>1</t>
    </r>
    <r>
      <rPr>
        <sz val="10"/>
        <rFont val="Calibri"/>
        <family val="2"/>
      </rPr>
      <t> </t>
    </r>
  </si>
  <si>
    <t>Critério para a definição do porte conf. faturamento anual:
- Microempresa: até R$ 360 mil
- Empresa de Pequeno Porte: de R$ 360 mil até R$ 4,8 milhões
- Média empresa: de R$ 4,8 milhões até R$ 300 milhões
- Grande empresa: acima de R$ 300 milhões.</t>
  </si>
  <si>
    <t>3 </t>
  </si>
  <si>
    <t>EA3. Qual o faturamento anual? </t>
  </si>
  <si>
    <t>Selecionar a opção que se refere ao faturamento estimado, obtido pela pessoa jurídica a cada ano.</t>
  </si>
  <si>
    <t>EA4. Descrever a estrutura organizacional da pessoa jurídica (Ex.: presidência, conselhos, comitês, diretorias etc.):</t>
  </si>
  <si>
    <t>Informar a estrutura organizacional, apresentando breve resumo das instâncias que a compõem, suas atribuições, membros e as relações de hierarquia/subordinação existentes.</t>
  </si>
  <si>
    <t>Texto Longo</t>
  </si>
  <si>
    <t>A estrutura organizacional da Decal Brasil é composta pelas seguintes instâncias:
Conselho Consultivo: responsável pelo acompanhamento e orientação estratégica, contribuindo para a tomada de decisões e direcionamento do negócio.
Administrador Geral: responsável pela administração geral da empresa, pela tomada de decisões e pelo acompanhamento dos resultados e das atividades organizacionais.
Gerente Operacional: responsável pela gestão das operações, coordenando as atividades operacionais e assegurando o cumprimento dos requisitos e diretrizes estabelecidos.
Supervisores: responsáveis pela coordenação das equipes e pelo acompanhamento da execução das atividades, garantindo o cumprimento dos procedimentos e padrões definidos.
Gestores de Processos: responsáveis pelo gerenciamento e acompanhamento dos processos sob sua responsabilidade, incluindo o monitoramento de resultados, indicadores e oportunidades de melhoria.
A hierarquia está organizada de acordo com os níveis de autoridade e responsabilidade definidos no documento D.GD.05.S.</t>
  </si>
  <si>
    <r>
      <t>EA5. Integra algum grupo econômico?</t>
    </r>
    <r>
      <rPr>
        <vertAlign val="superscript"/>
        <sz val="8"/>
        <rFont val="Calibri"/>
        <family val="2"/>
      </rPr>
      <t xml:space="preserve"> 2</t>
    </r>
    <r>
      <rPr>
        <sz val="10"/>
        <rFont val="Calibri"/>
        <family val="2"/>
      </rPr>
      <t> </t>
    </r>
  </si>
  <si>
    <t>Selecionar “Sim” ou “Não”, conforme o caso.</t>
  </si>
  <si>
    <t>Sim/Não</t>
  </si>
  <si>
    <t>Sim</t>
  </si>
  <si>
    <t>EA5.1. Informar o nome do grupo econômico: </t>
  </si>
  <si>
    <t>Informar o nome do grupo econômico ao qual a pessoa jurídica pertence.</t>
  </si>
  <si>
    <t>Grupo Decal</t>
  </si>
  <si>
    <t>EA5.2. Informar se o programa de integridade se aplica a mais de uma pessoa jurídica do grupo e para quais pessoas jurídicas se aplica: </t>
  </si>
  <si>
    <t>Informar para quais outras pessoas jurídicas do grupo econômico o programa de integridade é aplicado.</t>
  </si>
  <si>
    <t>EA5.3. Informar se é controladora, controlada, coligada, subsidiária, etc., indicando as principais pessoas jurídicas que integram o grupo e os países em que atuam: </t>
  </si>
  <si>
    <t>Informar a condição da pessoa jurídica no seu grupo econômico, bem como citar as principais pessoa jurídicas que integram esse grupo e os países em que elas exercem atividade.</t>
  </si>
  <si>
    <t xml:space="preserve">Decal Espanha: detentora de 67,23% do capital social.
Decal S.p.A. (Itália): detentora de 27,77% do capital social.
A Decal Brasil é sociedade controlada pelas duas pessoas jurídicas acima. </t>
  </si>
  <si>
    <r>
      <t>EA6. Realizou, nos últimos 24 meses, operações societárias envolvendo outras pessoas jurídicas (Ex.:  fusão, incorporação etc.)?</t>
    </r>
    <r>
      <rPr>
        <b/>
        <vertAlign val="superscript"/>
        <sz val="10"/>
        <rFont val="Calibri"/>
        <family val="2"/>
      </rPr>
      <t>3</t>
    </r>
    <r>
      <rPr>
        <b/>
        <sz val="10"/>
        <rFont val="Calibri"/>
        <family val="2"/>
      </rPr>
      <t xml:space="preserve"> </t>
    </r>
    <r>
      <rPr>
        <b/>
        <vertAlign val="superscript"/>
        <sz val="10"/>
        <rFont val="Calibri"/>
        <family val="2"/>
      </rPr>
      <t>4</t>
    </r>
    <r>
      <rPr>
        <sz val="10"/>
        <rFont val="Calibri"/>
        <family val="2"/>
      </rPr>
      <t> </t>
    </r>
  </si>
  <si>
    <t>Selecionar “Sim” ou “Não”, conforme o caso. As operações societárias incluem: fusões, incorporações, aquisições, cisões etc.</t>
  </si>
  <si>
    <t>Não.</t>
  </si>
  <si>
    <t>EA6.1. Descrever as operações societárias realizadas: </t>
  </si>
  <si>
    <t>Ex.: data, tipo de operação, pessoas jurídicas envolvidas, ações relacionadas à operação, alterações na estrutura societária e de mercado das pessoas jurídicas, aprovação pelos órgãos de fiscalização e de defesa econômica etc.</t>
  </si>
  <si>
    <t>Não se aplica.</t>
  </si>
  <si>
    <t>EA7. Qual o percentual de colaboradores  que possuem acesso à internet, fornecido pela pessoa jurídica, no local de trabalho?</t>
  </si>
  <si>
    <t>Selecionar a opção que se refere ao percentual de colaboradores com acesso à internet no local de trabalho.</t>
  </si>
  <si>
    <t>EA8. Quantos colaboradores possui? </t>
  </si>
  <si>
    <t>Informar a quantidade de colaboradores que a pessoa jurídica possui, incluindo funcionários, terceirizados, estagiários e aprendizes.</t>
  </si>
  <si>
    <r>
      <t>INTERAÇÃO COM PODER PÚBLICO</t>
    </r>
    <r>
      <rPr>
        <sz val="10"/>
        <color rgb="FF000000"/>
        <rFont val="Calibri"/>
        <family val="2"/>
      </rPr>
      <t> </t>
    </r>
  </si>
  <si>
    <r>
      <t>IP1. A pessoa jurídica se submete à regulação de agência/órgão governamental?</t>
    </r>
    <r>
      <rPr>
        <vertAlign val="superscript"/>
        <sz val="8"/>
        <rFont val="Calibri"/>
        <family val="2"/>
      </rPr>
      <t>5</t>
    </r>
    <r>
      <rPr>
        <sz val="10"/>
        <rFont val="Calibri"/>
        <family val="2"/>
      </rPr>
      <t> </t>
    </r>
  </si>
  <si>
    <t>IP1.1. Informar quais são as agências/órgãos reguladores a que a pessoa jurídica está submetida: </t>
  </si>
  <si>
    <t>Informar as agências/órgãos governamentais responsáveis por regular as atividades exercidas pela pessoa jurídica.</t>
  </si>
  <si>
    <t>IP2. Em relação à obtenção de licenças, autorizações e permissões governamentais, como poderia ser classificada a situação da pessoa jurídica? </t>
  </si>
  <si>
    <t>Selecionar a opção que se refere à situação da pessoa jurídica com relação às licenças, autorizações e permissões governamentais.</t>
  </si>
  <si>
    <t>c) Necessita com frequência de licenças, autorizações ou permissões no exercício de suas atividades.</t>
  </si>
  <si>
    <t>4 </t>
  </si>
  <si>
    <t>IP2.1. Descrever as licenças, autorizações e permissões das quais a pessoa jurídica necessite: </t>
  </si>
  <si>
    <t>Informar as licenças, autorizações e permissões das quais a pessoa jurídica necessite no exercício de suas atividades, incluindo licenças básicas para funcionamento.</t>
  </si>
  <si>
    <t>Licença de Operação (LO) ambiental, Alvará/Licença de Funcionamento, AVCB/Certificado de Licença do Corpo de Bombeiros, Autorizações da ANP</t>
  </si>
  <si>
    <t>5 </t>
  </si>
  <si>
    <t>IP3. Em relação à participação em licitações públicas, como poderia ser classificada a situação da pessoa jurídica? </t>
  </si>
  <si>
    <t>Selecionar a opção que se refere à situação da pessoa jurídica com relação a sua participação em licitações públicas.</t>
  </si>
  <si>
    <t>Participa eventualmente de licitações.</t>
  </si>
  <si>
    <t>6 </t>
  </si>
  <si>
    <t>IP4. Em relação à celebração de contratos com a Administração Pública, como poderia ser classificada a situação da pessoa jurídica? </t>
  </si>
  <si>
    <t>Selecionar a opção que se refere à situação da pessoa jurídica com relação à celebração de contratos com a Administração Pública.</t>
  </si>
  <si>
    <t>Celebra eventualmente contratos com a Administração Pública.</t>
  </si>
  <si>
    <t>7 </t>
  </si>
  <si>
    <t>IP5. Qual das faixas mais se aproxima do percentual médio do faturamento proveniente de contratos firmados com o poder público? </t>
  </si>
  <si>
    <t>Selecionar a opção que se refere ao % que os contratos representam do faturamento total da pessoa jurídica.</t>
  </si>
  <si>
    <t>8 </t>
  </si>
  <si>
    <r>
      <t>IP6. Utiliza intermediários no contato com a Administração Pública para execução de contratos administrativos, obtenção de autorizações, licenças e permissões, protocolo de documentos, desembaraço aduaneiro etc.?</t>
    </r>
    <r>
      <rPr>
        <vertAlign val="superscript"/>
        <sz val="8"/>
        <rFont val="Calibri"/>
        <family val="2"/>
      </rPr>
      <t>6</t>
    </r>
    <r>
      <rPr>
        <sz val="10"/>
        <rFont val="Calibri"/>
        <family val="2"/>
      </rPr>
      <t> </t>
    </r>
  </si>
  <si>
    <t>Selecionar “Sim” ou “Não”, conforme o caso. Intermediários incluem: consultores, advogados, assessores, despachantes, procuradores etc.</t>
  </si>
  <si>
    <t>9 </t>
  </si>
  <si>
    <t>IP6.1. Descrever como ocorreu a utilização de intermediários no contato com a Administração Pública por parte da pessoa jurídica: </t>
  </si>
  <si>
    <t>Ex.: data, terceiro contratado, objeto, órgão ou entidade pública relacionada, atividades desempenhadas etc.</t>
  </si>
  <si>
    <t>10 </t>
  </si>
  <si>
    <r>
      <t>IP7. A pessoa jurídica subcontratou atividades relacionadas à execução de contratos administrativos?</t>
    </r>
    <r>
      <rPr>
        <vertAlign val="superscript"/>
        <sz val="10"/>
        <rFont val="Calibri"/>
        <family val="2"/>
      </rPr>
      <t>7</t>
    </r>
    <r>
      <rPr>
        <sz val="10"/>
        <rFont val="Calibri"/>
        <family val="2"/>
      </rPr>
      <t> </t>
    </r>
  </si>
  <si>
    <t>Selecionar “Sim” ou “Não”, conforme o caso. Entende-se por “subcontratação” a situação em que a pessoa jurídica contrata um terceiro para executar determinada parcela do contrato administrativo.</t>
  </si>
  <si>
    <t>IP7.1. Explicar como ocorreram as subcontratações de atividades relacionadas à execução de contratos administrativos por parte da pessoa jurídica: </t>
  </si>
  <si>
    <t>Ex.: data, contrato administrativo, terceiro e objeto subcontratado, aprovação pelo órgão ou entidade pública etc.</t>
  </si>
  <si>
    <r>
      <t>DOAÇÕES E PATROCÍNIOS</t>
    </r>
    <r>
      <rPr>
        <sz val="10"/>
        <rFont val="Calibri"/>
        <family val="2"/>
      </rPr>
      <t> </t>
    </r>
  </si>
  <si>
    <r>
      <t xml:space="preserve">DP1. A </t>
    </r>
    <r>
      <rPr>
        <sz val="10"/>
        <color rgb="FF000000"/>
        <rFont val="Calibri"/>
        <family val="2"/>
      </rPr>
      <t>pessoa jurídica</t>
    </r>
    <r>
      <rPr>
        <sz val="10"/>
        <rFont val="Calibri"/>
        <family val="2"/>
      </rPr>
      <t xml:space="preserve"> realizou patrocínios esportivos ou culturais, nos últimos 24 meses? </t>
    </r>
  </si>
  <si>
    <r>
      <t xml:space="preserve">DP2. A </t>
    </r>
    <r>
      <rPr>
        <sz val="10"/>
        <color rgb="FF000000"/>
        <rFont val="Calibri"/>
        <family val="2"/>
      </rPr>
      <t>pessoa jurídica</t>
    </r>
    <r>
      <rPr>
        <sz val="10"/>
        <rFont val="Calibri"/>
        <family val="2"/>
      </rPr>
      <t xml:space="preserve"> efetuou doações, nos últimos 24 meses? </t>
    </r>
  </si>
  <si>
    <r>
      <t>PRÁTICAS SOCIOAMBIENTAIS</t>
    </r>
    <r>
      <rPr>
        <sz val="10"/>
        <rFont val="Calibri"/>
        <family val="2"/>
      </rPr>
      <t> </t>
    </r>
  </si>
  <si>
    <r>
      <t>PS1. A atividade da pessoa jurídica envolve potencial de dano ao meio ambiente?</t>
    </r>
    <r>
      <rPr>
        <b/>
        <vertAlign val="superscript"/>
        <sz val="8"/>
        <color rgb="FF00B050"/>
        <rFont val="Calibri"/>
        <family val="2"/>
      </rPr>
      <t>8</t>
    </r>
    <r>
      <rPr>
        <sz val="10"/>
        <color rgb="FF00B050"/>
        <rFont val="Calibri"/>
        <family val="2"/>
      </rPr>
      <t> </t>
    </r>
  </si>
  <si>
    <t>PS1.1 Apresentar justificativas por entender que não possui atividades que podem causar impactos ambientais:</t>
  </si>
  <si>
    <t>Explicar os motivos que levam a pessoa jurídica a concluir que suas atividades não geram impactos ambientais, tais como: localização, natureza das operações, uso mínimo de recursos naturais etc., e outras avaliações que fundamentem esse entendimento.</t>
  </si>
  <si>
    <r>
      <t>PROGRAMA DE INTEGRIDADE</t>
    </r>
    <r>
      <rPr>
        <sz val="10"/>
        <color rgb="FF000000"/>
        <rFont val="Calibri"/>
        <family val="2"/>
      </rPr>
      <t> </t>
    </r>
  </si>
  <si>
    <t>PI1. Quando entende que seu programa de integridade foi formalmente instituído?</t>
  </si>
  <si>
    <t>Selecionar a opção que se refere ao tempo decorrido desde o ano de instituição do programa de integridade, conforme a existência dos seguintes elementos básicos: Código de Ética/Conduta; Canal de Denúncias; e Área Específica ou Pessoa Responsável pelo programa.</t>
  </si>
  <si>
    <t>Acima de 5 anos</t>
  </si>
  <si>
    <t>PI2. Descrever a estrutura da área de integridade, a sua posição hierárquica e o seu reporte com a alta direção e, no caso de pessoa jurídica multinacional com programa global de integridade, com a área de integridade da matriz: </t>
  </si>
  <si>
    <t>Informar aspectos da estrutura da área de integridade da pessoa jurídica, conforme solicitado no item.</t>
  </si>
  <si>
    <t>A Decal Brasil conta com um Comitê de Compliance, órgão colegiado, autônomo e extraestatutário, responsável por coordenar a divulgação dos valores, princípios e normas previstos neste Código, bem como por zelar por sua observância por todos os empregados, executivos, fornecedores, clientes e conselheiros.
O Comitê de Compliance é uma instância de alto nível, vinculada orgânica e funcionalmente ao Conselho Consultivo da Decal, ao qual reporta suas atividades.
O Comitê de Ética, por sua vez, é responsável pela apuração e investigação de denúncias envolvendo membros do Comitê de Compliance, Conselheiros ou alta direção, bem como por propor as sanções, resoluções contratuais e medidas corretivas que entender cabíveis. O Comitê de Ética também responde ao Conselho Consultivo.</t>
  </si>
  <si>
    <t>PI3. A área de integridade conta com quantos colaboradores que se dedicam exclusivamente ao programa de integridade da pessoa jurídica? </t>
  </si>
  <si>
    <t>Informar a quantidade de colaboradores com dedicação exclusiva ao programa de integridade, isto é, que não desempenham funções em outras áreas.</t>
  </si>
  <si>
    <t>PI4. A pessoa jurídica conta com quantos colaboradores que se dedicam parcialmente ao programa de integridade? </t>
  </si>
  <si>
    <t>Informar a quantidade de colaboradores com dedicação parcial ao programa de integridade, isto é, que desempenham funções em outras áreas (ex.: embaixadores de integridade lotados em outras unidades)</t>
  </si>
  <si>
    <t>Número</t>
  </si>
  <si>
    <r>
      <t>PI5. Recebeu alguma denúncia relacionada com atos de fraude e corrupção, atos de desrespeito à legislação ambiental, preconceito, discriminação e assédio de qualquer natureza nos últimos 24 meses?</t>
    </r>
    <r>
      <rPr>
        <b/>
        <vertAlign val="superscript"/>
        <sz val="10"/>
        <color rgb="FF00B050"/>
        <rFont val="Calibri"/>
        <family val="2"/>
      </rPr>
      <t>10</t>
    </r>
    <r>
      <rPr>
        <sz val="10"/>
        <color rgb="FF00B050"/>
        <rFont val="Calibri"/>
        <family val="2"/>
      </rPr>
      <t> </t>
    </r>
  </si>
  <si>
    <r>
      <t>PI6. Está sendo investigada ou é parte em processo administrativo ou judicial, ou já foi condenada, nos últimos 3 (três) anos, pela prática de atos de corrupção, improbidade administrativa e/ou fraudes em licitação?</t>
    </r>
    <r>
      <rPr>
        <vertAlign val="superscript"/>
        <sz val="10"/>
        <color rgb="FF000000"/>
        <rFont val="Calibri"/>
        <family val="2"/>
      </rPr>
      <t>11</t>
    </r>
    <r>
      <rPr>
        <sz val="10"/>
        <color rgb="FF000000"/>
        <rFont val="Calibri"/>
        <family val="2"/>
      </rPr>
      <t> </t>
    </r>
  </si>
  <si>
    <t>PI6.1. Apresentar breve esclarecimento sobre o caso indicado no item anterior, e as medidas de integridade adotadas em reação ao ilícito: </t>
  </si>
  <si>
    <t>Informar sobre o(s) caso(s) ocorrido(s) na pessoa jurídica no item anterior, bem como as medidas de integridades adotadas.</t>
  </si>
  <si>
    <t xml:space="preserve">PAR nº 00190.105349/2020-07: PAR instaurado pela CGU para a apuração de suposta promessa de vantagem indevida a Paulo Roberto Costa, então Diretor de Abastecimento da Petrobras. A decisão final do PAR foi proferida em 19.10.2023. Trata-se do PAR que gerou a pena de declaração de inidoneidade cuja reabilitação se requer. 
Ação civil pública nº  0800384-04.2024.4.05.8312: Ação civil pública por meio da qual a União Federal reproduz a mesma narrativa do PAR. A ação busca a condenação da Decal pelos mesmos fatos discutidos no PAR e está em fase inicial, não tendo sido proferida sentença ainda. 
Ambos os processos relatados acima referem-se aos mesmos supostos fatos. Como será demonstrado no Relatório de Conformidade, Mariano Marcondes foi desligado do Conselho Consultivo da Decal a partir da ciência dos fatos discutidos. Além disso, a Decal contratou consultoria para rever seus procedimentos de integridade e atualizou seu programa de integridade. </t>
  </si>
  <si>
    <r>
      <t>PI7. Algum membro da alta direção está sendo investigado ou é parte em processo administrativo ou judicial, ou já foi condenado, nos últimos 3 (três) anos, pela prática de atos de corrupção, improbidade administrativa e/ou fraudes em licitação?</t>
    </r>
    <r>
      <rPr>
        <vertAlign val="superscript"/>
        <sz val="10"/>
        <rFont val="Calibri"/>
        <family val="2"/>
      </rPr>
      <t>12</t>
    </r>
    <r>
      <rPr>
        <sz val="10"/>
        <rFont val="Calibri"/>
        <family val="2"/>
      </rPr>
      <t> </t>
    </r>
  </si>
  <si>
    <t>Não</t>
  </si>
  <si>
    <t>PI7.1. Apresentar quais foram as medidas adotadas a partir da ciência da prática do ato lesivo por membro da alta direção, indicado no item anterior: </t>
  </si>
  <si>
    <t>Informar sobre as medidas adotadas em resposta ao ato lesivo praticado por membro da alta direção, indicado no item anterior.</t>
  </si>
  <si>
    <t>Não se aplica</t>
  </si>
  <si>
    <t>FORMULÁRIO DE CONFORMIDADE</t>
  </si>
  <si>
    <t xml:space="preserve">Processo: </t>
  </si>
  <si>
    <t xml:space="preserve">Pessoa Jurídica: </t>
  </si>
  <si>
    <t>Área</t>
  </si>
  <si>
    <t>Tipo</t>
  </si>
  <si>
    <t>Item</t>
  </si>
  <si>
    <t>Tipo de Resposta</t>
  </si>
  <si>
    <t>Nível</t>
  </si>
  <si>
    <t>Valor</t>
  </si>
  <si>
    <t>Avaliação</t>
  </si>
  <si>
    <t>Pont. Resdist.</t>
  </si>
  <si>
    <t>Pontuação</t>
  </si>
  <si>
    <t>Evidência</t>
  </si>
  <si>
    <t>Vinculação Condicional</t>
  </si>
  <si>
    <t>Distribuição "Não se aplica"</t>
  </si>
  <si>
    <t>Coluna2</t>
  </si>
  <si>
    <t>I</t>
  </si>
  <si>
    <t>Área I - Comprometimento da Alta Direção da Pessoa jurídica</t>
  </si>
  <si>
    <t>Grupo</t>
  </si>
  <si>
    <t>1. Adoção de critérios de integridade para seleção e remuneração de candidatos a cargos da alta direção</t>
  </si>
  <si>
    <t>Questão</t>
  </si>
  <si>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</si>
  <si>
    <t>Sim, Não</t>
  </si>
  <si>
    <t>QN2</t>
  </si>
  <si>
    <t>A D.PC.04.S - POLÍTICA DE CONTRATAÇÃO DE FUNCIONÁRIO estabelece procedimento formalizado para a contratação de novos profissionais que integrarão o quadro de empregados da Decal Brasil.
De acordo com a política, o processo de contratação contempla avaliação prévia dos candidatos, incluindo consultas ao CEIS, CNEP, PPE e verificação de eventual período de quarentena, realização de entrevistas, análise de potenciais conflitos de interesse e preenchimento de Termo de Independência, no qual são declarados eventuais relacionamentos do profissional com empresas públicas, empresas privadas, agentes públicos, ex-agentes públicos e empregados da Decal Brasil. A política também prevê que os candidatos selecionados deverão tomar ciência das regras constantes do Código de Ética.</t>
  </si>
  <si>
    <t>1.2 A pessoa jurídica aplicou critérios de integridade para seleção dos ocupantes de cargos da alta direção contratados nos últimos 24 meses? Se sim, anexar documentos que comprovem a aplicação dos critérios de integridade para seleção.</t>
  </si>
  <si>
    <t>Sim, Não, Não se aplica</t>
  </si>
  <si>
    <t>QN5</t>
  </si>
  <si>
    <t>Considerando que não houve contratação de membros da Alta Direção nos últimos 24 meses, o item em referência não é aplicável ao período analisado.</t>
  </si>
  <si>
    <t>Grupo: ESTRUTURA E ATIVIDADE ECONÔMICA
Questão: Qual o porte da pessoa jurídica?
Alternativa: Micro e Pequeno porte (de acordo com o Estatuto da Micro e Pequena pessoa jurídica)</t>
  </si>
  <si>
    <t>Distribuir 2,25 pontos para cada uma das questões (8): 
1.1
2.1
2.3
3.1 
3.2.1
3.2.2
3.2.3
3.3</t>
  </si>
  <si>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</si>
  <si>
    <t>O Programa de Participação nos Resultados da Decal é aplicável a todos os colaboradores, inclusive aos membros da Alta Direção. 
Nesse sentido, o item 9 do Programa de Participação nos Resultados de 2026 estabelece, entre as metas coletivas consideradas para fins de remuneração variável, indicador relacionado à “quantidade de não conformidades menores e maiores em auditoria externa”. Para fins de atingimento dessa meta, a Decal estabelece como parâmetro a identificação de, no máximo, seis não conformidades menores e uma não conformidade maior.
Considerando que a Decal é submetida a processo de certificação que abrange aspectos de compliance, esse indicador permite avaliar a aderência e a efetividade dos controles e procedimentos relacionados ao Programa de Integridade.</t>
  </si>
  <si>
    <t>Distribuir pontos para cada uma das questões (8): 
1.1 = 1,87
2.1 = 1,88
2.3 = 1,88
3.1 = 1,88
3.2.1 = 1,87
3.2.2 = 1,87
3.2.3 = 1,87
3.3 = 1,88</t>
  </si>
  <si>
    <t>2. Envolvimento da alta direção na implementação e supervisão do programa de integridade</t>
  </si>
  <si>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</si>
  <si>
    <t>QN1</t>
  </si>
  <si>
    <r>
      <t>As principais políticas e documentos que integram o Programa de Integridade da Decal são submetidos à aprovação do Conselho Consultivo.
Nos termos da Cláusula 10 do Contrato Social da Decal, compete ao Conselho Consultivo estabelecer as diretrizes fundamentais da política geral da sociedade e acompanhar sua execução, cabendo-lhe, especialmente, (i) fixar a orientação geral dos negócios da sociedade; (ii) fiscalizar a gestão dos administradores, inclusive mediante o exame de livros, documentos, contratos e demais atos da Companhia; e (iii) manifestar-se sobre o relatório da administração e as contas dos administradores. (ref. Contrato Social, página 5 - 6). Diante de suas atribuições, os membros do Conselho Consultivo integram a Alta Direção da Decal.
A competência do Conselho Consultivo para aprovação de políticas também está expressamente prevista no D.PC.15.S - Manual de Prevenção e Controle, que estabelece, em sua página 8, que “</t>
    </r>
    <r>
      <rPr>
        <i/>
        <sz val="10"/>
        <color rgb="FF000000"/>
        <rFont val="Calibri"/>
        <family val="2"/>
      </rPr>
      <t>o Conselho Consultivo representa o máximo nível da estrutura de controle e é o órgão encarregado de aprovar as políticas do programa de Compliance, fazer a nomeação de seus membros e autorizar o protocolo de tomada de decisões</t>
    </r>
    <r>
      <rPr>
        <sz val="10"/>
        <color rgb="FF000000"/>
        <rFont val="Calibri"/>
        <family val="2"/>
      </rPr>
      <t>”.
A atuação do Conselho Consultivo na aprovação das políticas do Programa de Integridade pode ser verificada, ainda, na documentação interna da Decal. A título exemplificativo, o Código de Conduta e Ética Empresarial registra expressamente, em suas notas de rodapé, sua aprovação pelo Conselho Consultivo.
Adicionalmente, a Ata da Reunião do Conselho Consultivo realizada em 3 de junho de 2026 demonstra o efetivo exercício dessa atribuição, conforme trecho: "</t>
    </r>
    <r>
      <rPr>
        <i/>
        <sz val="10"/>
        <color rgb="FF000000"/>
        <rFont val="Calibri"/>
        <family val="2"/>
      </rPr>
      <t>foram aprovados por unanimidade os documentos: Código de Conduta e ética, Manual de tratamento de denúncias, Política de Due dilligence, Reembolso de despesas, Relacionamento com clientes, Regimento interno do comitê de compliance, Comitês, Organograma, Manual de prevenção e controle, Anticorrupção e Regulamento do canal de ética</t>
    </r>
    <r>
      <rPr>
        <sz val="10"/>
        <color rgb="FF000000"/>
        <rFont val="Calibri"/>
        <family val="2"/>
      </rPr>
      <t>".</t>
    </r>
  </si>
  <si>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</si>
  <si>
    <r>
      <t>A Decal possui Conselho Consultivo, que "</t>
    </r>
    <r>
      <rPr>
        <b/>
        <sz val="10"/>
        <color rgb="FF000000"/>
        <rFont val="Calibri"/>
        <family val="2"/>
      </rPr>
      <t>representa o máximo nível da estrutura de controle</t>
    </r>
    <r>
      <rPr>
        <sz val="10"/>
        <color rgb="FF000000"/>
        <rFont val="Calibri"/>
        <family val="2"/>
      </rPr>
      <t xml:space="preserve"> e é o órgão encarregado de aprovar as políticas do programa de Compliance, fazer a nomeação de seus membros e autorizar o protocolo de tomada de decisões" (ref. D.PC.15.S - Manual de Prevenção e Controle, página 8). Conforme explicado no item 2.1., diante de suas atribuições, os membros do Conselho Consultivo integram a Alta Direção da Decal.
Além disso, a Decal também possui Comitê de Ética, que é o órgão competente para </t>
    </r>
    <r>
      <rPr>
        <i/>
        <sz val="10"/>
        <color rgb="FF000000"/>
        <rFont val="Calibri"/>
        <family val="2"/>
      </rPr>
      <t xml:space="preserve">"apurar, deliberar e decidir, em única e última instância, a acerca das condutas potencialmente violadoras das leis brasileira, do Código de Conduta e Ética e das políticas do programa de Compliance, praticadas por executivos e conselheiros." </t>
    </r>
    <r>
      <rPr>
        <sz val="10"/>
        <color rgb="FF000000"/>
        <rFont val="Calibri"/>
        <family val="2"/>
      </rPr>
      <t xml:space="preserve">(ref. D.PC.14.S - Política do de Regimento Interno do Comitê de Ética, página 2). 
Conforme Política de Regimento Interno do Comitê de Ética, " </t>
    </r>
    <r>
      <rPr>
        <i/>
        <sz val="10"/>
        <color rgb="FF000000"/>
        <rFont val="Calibri"/>
        <family val="2"/>
      </rPr>
      <t>o Comitê será formado por, no mínimo, 3 membros, sendo eles um membro do Conselho Consultivo, o Administrador Geral e mais um membro a escolha</t>
    </r>
    <r>
      <rPr>
        <sz val="10"/>
        <color rgb="FF000000"/>
        <rFont val="Calibri"/>
        <family val="2"/>
      </rPr>
      <t>" (ref.D.PC.14.S - Política do de Regimento Interno do Comitê de Ética, página 2). Desse modo, membros da Alta Direção participam do Comitê de Ética.</t>
    </r>
  </si>
  <si>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</si>
  <si>
    <t>Sim, Não, Parcialmente</t>
  </si>
  <si>
    <r>
      <t xml:space="preserve">É de responsabilidade da Direção da Decal </t>
    </r>
    <r>
      <rPr>
        <i/>
        <sz val="10"/>
        <color rgb="FF000000"/>
        <rFont val="Calibri"/>
        <family val="2"/>
      </rPr>
      <t xml:space="preserve">"assegurar que todas as pessoas sob sua responsabilidade cumpram os procedimentos, processos, políticas e obrigações de compliance da organização" </t>
    </r>
    <r>
      <rPr>
        <sz val="10"/>
        <color rgb="FF000000"/>
        <rFont val="Calibri"/>
        <family val="2"/>
      </rPr>
      <t>(ref. D.PC.11.S - Política de Comitês, página 2). 
Além disso, o  exercício dessa supervisão também pode ser comprovado pela Ata da Reunião do Conselho Consultivo realizada em 3 de junho de 2026, ocasião em que foram nomeados os membros do Comitê de Ética da Decal e aprovada a revisão de diversas políticas de compliance.
Por fim, o Informe Anual do Modelo de Prevenção e Controle avalia periodicamente a situação e a efetividade do Programa de Integridade da Decal, abrangendo, entre outros aspectos, seus controles, a análise e o mapa de riscos, os indicadores de desempenho, as deficiências identificadas, os respectivos planos de ação, recomendações e oportunidades de melhoria.
O Informe foi certificado e assinado, em nome da Decal Brasil, por Agérbon Correia Nóbrega Filho, Administrador Geral, evidenciando a participação direta da Alta Direção no recebimento, acompanhamento e avaliação periódica das informações relativas à implementação, aplicação e aprimoramento do Programa de Integridade.</t>
    </r>
  </si>
  <si>
    <t>3. Apoio visível e inequívoco da alta direção ao programa de integridade, incluindo a destinação de recursos adequados</t>
  </si>
  <si>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</si>
  <si>
    <t>Agrupadora</t>
  </si>
  <si>
    <t>3.2 As manifestações de apoio ao programa de integridade por membros da alta direção:</t>
  </si>
  <si>
    <t xml:space="preserve">  </t>
  </si>
  <si>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</si>
  <si>
    <t>QN3</t>
  </si>
  <si>
    <t>3.2.2 expressam uma mensagem de incentivo à adoção de uma conduta ética, seguindo os ditames do programa de integridade? Se sim, demonstrar a medida em que as manifestações de apoio ao programa de integridade expressaram o compromisso com os temas.</t>
  </si>
  <si>
    <r>
      <t>O Administrador Geral da Decal, Agerbon C. Nobrega Filho, expressa mensagem de incentivo à adoção de conduta ética por meio da Política de Gestão Integrada da Decal, na qual afirma que "a</t>
    </r>
    <r>
      <rPr>
        <i/>
        <sz val="10"/>
        <color rgb="FF000000"/>
        <rFont val="Calibri"/>
        <family val="2"/>
      </rPr>
      <t xml:space="preserve"> Decal está comprometida em manter um sistema de gestão de compliance eficaz, assegurando a conformidade com as leis, código de ética, políticas e normas aplicáveis. Promovemos uma cultura de integridade e ética em todas as atividades, com transparência e responsabilidade, prevenindo, detectando e atuando sobre quaisquer desvios ou irregularidades</t>
    </r>
    <r>
      <rPr>
        <sz val="10"/>
        <color rgb="FF000000"/>
        <rFont val="Calibri"/>
        <family val="2"/>
      </rPr>
      <t>" (ref. D.GD.01.S - Política de Gestão Integrada, página 2). A política encontra-se disponível publicamente no website da Decal, no endereço https://www.decalbrasil.com/compliance/politicas/ &gt; Polítcia de Gestão Integrada. 
Além disso, o Presidente do Conselho Consultivo também expressa mensagem de incentivo à adoção de conduta ética por meio do Código de Conduta e Ética Empresarial da Decal. No documento, ressalta que: "</t>
    </r>
    <r>
      <rPr>
        <i/>
        <sz val="10"/>
        <color rgb="FF000000"/>
        <rFont val="Calibri"/>
        <family val="2"/>
      </rPr>
      <t>a ética, credibilidade e reputação são valores inestimáveis para uma grande empresa internacional que opera em um cenário cultural, político e econômico que é diversificado e sempre em constante evolução. A Decal considera fundamental expressar claramente e com convicção seus valores e responsabilidades em suas relações com o mercado, comunidades locais, administrações públicas, além de todos os profissionais que trabalham na empresa, bem como todos os outros agentes interessados que reivindicam um interesse legítimo na Decal. Tentamos expressar nossa crença no presente no Código de Conduta e Ética Empresarial com convicção e entusiasmo</t>
    </r>
    <r>
      <rPr>
        <sz val="10"/>
        <color rgb="FF000000"/>
        <rFont val="Calibri"/>
        <family val="2"/>
      </rPr>
      <t>". A política encontra-se disponível publicamente no website da Decal, no endereço https://www.decalbrasil.com/compliance/politicas/ &gt; Código de Conduta e Ética Empresarial.</t>
    </r>
  </si>
  <si>
    <t>3.2.3 expressam o compromisso da alta direção com o combate ao preconceito, à discriminação e ao assédio de qualquer natureza?  Se sim, demonstrar a medida em que as manifestações de apoio ao programa de integridade expressaram o compromisso com os temas.</t>
  </si>
  <si>
    <t>3.3 A pessoa jurídica destina recursos em seu orçamento para a manutenção das atividades relacionadas ao programa de integridade?  Se sim, anexar documentos que comprovem a destinação de recursos para o programa de integridade.</t>
  </si>
  <si>
    <t>A Decal destina recursos específicos em seu orçamento para a manutenção e o desenvolvimento de atividades relacionadas ao Programa de Integridade.
Conforme demonstrado no documento “Orçamento Aprovado 2026”, há previsão orçamentária na rubrica “Formación”, que contempla os valores destinados à realização de treinamentos no âmbito da Decal, inclusive aqueles relacionados a compliance e integridade.
Além disso, a rubrica “Otros servicios de terceros” contempla despesas com serviços especializados de compliance, incluindo, entre outros, a administração do canal de denúncias e a realização de auditorias. A esse respeito, o documento “Detalhamento Serviços Terceiros” demonstra a destinação específica de R$ 60.000,00 para “Consultoria Programa de Compliance”.
Por fim, a Ata da Reunião do Conselho Consultivo realizada em 16 de dezembro de 2025 comprova que o orçamento financeiro da Decal para o exercício de 2026, incluindo as referidas previsões orçamentárias, foi formalmente aprovado pelo Conselho Consultivo.</t>
  </si>
  <si>
    <t>II</t>
  </si>
  <si>
    <t>Área II - Instância Interna Responsável pela Aplicação do Programa de Integridade</t>
  </si>
  <si>
    <t>4. Existência e estrutura da instância interna responsável pela aplicação do programa de integridade</t>
  </si>
  <si>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</si>
  <si>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</si>
  <si>
    <r>
      <t>A instância interna responsável pelo Programa de Integridade da Decal está formalmente constituída por meio da Política de Regimento Interno do Comitê de Compliance, documento aprovado pelo Conselho Consultivo, que estabelece expressamente sua composição, atribuições e responsabilidades.
Nos termos da Política de Regimento Interno do Comitê de Compliance, "</t>
    </r>
    <r>
      <rPr>
        <i/>
        <sz val="10"/>
        <color rgb="FF000000"/>
        <rFont val="Calibri"/>
        <family val="2"/>
      </rPr>
      <t>o Comitê de Compliance terá uma função de coordenação, acompanhamento e apoio aos responsáveis pelo controle de cada departamento e área de negócios, sobre os quais recairá a função de controle. O Comitê também será responsável pela supervisão do funcionamento e do cumprimento do modelo de prevenção e controle da Decal</t>
    </r>
    <r>
      <rPr>
        <sz val="10"/>
        <color rgb="FF000000"/>
        <rFont val="Calibri"/>
        <family val="2"/>
      </rPr>
      <t>" (ref. D.PC.10.S -  Política de Regimento Interno do Comitê de Compliance, página 2). Mais detalhes sobre as atribuições do Comitê de Compliance estão dispostos no item 5, "a" a "h".
Além disso, as atribuições do Comitê de Compliance também estão previstas no Manual de Prevenção e Controle, conforme trecho "</t>
    </r>
    <r>
      <rPr>
        <i/>
        <sz val="10"/>
        <color rgb="FF000000"/>
        <rFont val="Calibri"/>
        <family val="2"/>
      </rPr>
      <t>O Comitê de Compliance será o destinatário das comunicações enviadas através do Canal de Denúncia exceto denúncias referente a membros do Comitê de Compliance, Conselheiros e alta direção. Caso as comunicações contenham informações sobre um possível descumprimento do Código de Ética, ou qualquer outra norma, o Comitê de Ética realizará as devidas investigações e deliberações até concordar com o processo ou uma proposta de sanção ao RH</t>
    </r>
    <r>
      <rPr>
        <sz val="10"/>
        <color rgb="FF000000"/>
        <rFont val="Calibri"/>
        <family val="2"/>
      </rPr>
      <t>" (ref. D.PC.15.S -  Manual de Prevenção e Controle, página 5).</t>
    </r>
  </si>
  <si>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</si>
  <si>
    <r>
      <t>O Manual de Prevenção e Controle da Decal e o documento D.PC.13.S - Organograma formalizam a estrutura de controle da Companhia e demonstram que o Comitê de Compliance se reporta diretamente ao Conselho Consultivo, sem subordinação a outros departamentos ou áreas de negócio da Decal (ref. D.PC.15.S -  Manual de Prevenção e Controle, página 6 e D.PC.13.S - Organograma). Essa posição demonstra que a instância responsável pelo programa possui estrutura independente.
Além disso, sua independência também é demonstrada na Política de Regimento Interno de do Comitê de Compliance, conforme trecho: "es</t>
    </r>
    <r>
      <rPr>
        <i/>
        <sz val="10"/>
        <color rgb="FF000000"/>
        <rFont val="Calibri"/>
        <family val="2"/>
      </rPr>
      <t>sa circunstância dota-o automaticamente com poderes autônomos de iniciativa e controle que devem ser respeitados por todos os funcionários da organização. Também por essa razão, possui capacidade suficiente para levantar consultas e solicitar informações relacionadas à sua missão a todas as instâncias e departamentos da organização</t>
    </r>
    <r>
      <rPr>
        <sz val="10"/>
        <color rgb="FF000000"/>
        <rFont val="Calibri"/>
        <family val="2"/>
      </rPr>
      <t>"  (ref. D.PC.10.S -  Política de Regimento Interno do Comitê de Compliance, página 2).</t>
    </r>
  </si>
  <si>
    <t>Distribuir 3,0 pontos para cada uma das questões (5): 
4.1
4.2
4.4
5.1
5.2</t>
  </si>
  <si>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</si>
  <si>
    <r>
      <t xml:space="preserve">A Decal conta com estrutura de pessoal compatível com as atribuições conferidas à instância responsável pelo Programa de Integridade.
Nos termos da Política de Regimento Interno de do Comitê de Compliance, o Comitê de Compliance será formado por, no mínimo, 6 membros, sendo um deles o Responsável pelo Controle de Compliance, que também desempenahrá a função de Presidente/Coordenador do Comitê, e os demais nomeados pelo Administrador Geral, </t>
    </r>
    <r>
      <rPr>
        <i/>
        <sz val="10"/>
        <rFont val="Calibri"/>
        <family val="2"/>
      </rPr>
      <t>ad referendum</t>
    </r>
    <r>
      <rPr>
        <sz val="10"/>
        <rFont val="Calibri"/>
        <family val="2"/>
      </rPr>
      <t xml:space="preserve"> dos acionistas (ref. D.PC.10.S -  Política de Regimento Interno do Comitê de Compliance, página 3).
A composição efetiva do Comitê também se encontra formalmente documentada. Na Ata do Conselho Consultivo, de 6.3.2025, foram nomeados os membros do Comitê de Compliance da Decal para mandato de três anos, contado a partir daquela data.</t>
    </r>
  </si>
  <si>
    <t>5. Garantias atribuídas ao responsável pela instância interna para o exercício de suas atividades com autoridade e independência</t>
  </si>
  <si>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</si>
  <si>
    <r>
      <t>Nos termos do Manual de Prevenção e Controle da Decal, "</t>
    </r>
    <r>
      <rPr>
        <i/>
        <sz val="10"/>
        <color rgb="FF000000"/>
        <rFont val="Calibri"/>
        <family val="2"/>
      </rPr>
      <t>todos os seus membros do Comitê [de Compliance] serão dotados de autoridade suficiente para o desempenho das tarefas que foram designadas</t>
    </r>
    <r>
      <rPr>
        <sz val="10"/>
        <color rgb="FF000000"/>
        <rFont val="Calibri"/>
        <family val="2"/>
      </rPr>
      <t>" (ref. D.PC.15.S -  Manual de Prevenção e Controle, página 10).
Além disso, as garantias que possibilitam o exercício de suas atribuições com indenpendência e autoridade estão expressamente previstas na Política de Regimento Interno do Comitê de Compliance, conforme trecho: "</t>
    </r>
    <r>
      <rPr>
        <i/>
        <sz val="10"/>
        <color rgb="FF000000"/>
        <rFont val="Calibri"/>
        <family val="2"/>
      </rPr>
      <t>O Comitê de Compliance é um órgão de alto nível, por isso depende organicamente e funcionalmente do Conselho Consultivo da DECAL, a quem relatará sua atividade. Essa circunstância dota-o automaticamente com poderes autônomos de iniciativa e controle que devem ser respeitados por todos os funcionários da organização. Também por essa razão, possui capacidade suficiente para levantar consultas e solicitar informações relacionadas à sua missão a todas as instâncias e departamentos da organização. 
O Comitê de Compliance terá uma função de coordenação, acompanhamento e apoio aos responsáveis pelo controle de cada departamento e área de negócios, sobre os quais recairá a função de controle. O Comitê também será responsável pela supervisão do funcionamento e do cumprimento do modelo de prevenção e controle da Decal</t>
    </r>
    <r>
      <rPr>
        <sz val="10"/>
        <color rgb="FF000000"/>
        <rFont val="Calibri"/>
        <family val="2"/>
      </rPr>
      <t>". (ref. D.PC.10.S -  Política de Regimento Interno do Comitê de Compliance, página 2).</t>
    </r>
  </si>
  <si>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</si>
  <si>
    <t>QN4</t>
  </si>
  <si>
    <r>
      <t>A Política de Regimento Interno do Comitê de Compliance define, em seu item 5, "c", que: "</t>
    </r>
    <r>
      <rPr>
        <i/>
        <sz val="10"/>
        <color rgb="FF000000"/>
        <rFont val="Calibri"/>
        <family val="2"/>
      </rPr>
      <t>Compete ao Comitê de Compliance da Decal Brasil: [...] c) Apurar, deliberar e decidir, em única e última instância, a acerca das condutas potencialmente violadoras das leis brasileira, do Código de Conduta e Ética e das políticas do programa de Compliance, praticadas por seus  empregados, executivos, colaboradores, fornecedores e clientes".</t>
    </r>
    <r>
      <rPr>
        <sz val="10"/>
        <color rgb="FF000000"/>
        <rFont val="Calibri"/>
        <family val="2"/>
      </rPr>
      <t xml:space="preserve">
Além disso, foram disponibilizadas várias atas de reuniões do Comitê de Compliance, as quais demonstram a atuação efetiva do órgão no tratamento de denúncias e possíveis violações. </t>
    </r>
  </si>
  <si>
    <t>III</t>
  </si>
  <si>
    <t>Área III - Gestão de Riscos para Integridade</t>
  </si>
  <si>
    <t>6. Gestão de riscos para integridade</t>
  </si>
  <si>
    <t>6.1 Existe na pessoa jurídica política ou planejamento que trate da gestão de riscos e que defina a metodologia para a realização da análise de riscos? Se sim, anexar a política, metodologia ou outros documentos que formalizam a atividade de gestão de riscos.</t>
  </si>
  <si>
    <t>O Manual de Prevenção e Controle estabelece que o Comitê de Compliance realizará pelo menos uma vez por ano uma análise dos riscos criminais da empresa para sua identificação, análise e avaliação, fundamentada em um mapa de riscos de compliance que contempla os riscos que envolvem responsabilidade criminal corporativa, priorizados de acordo com sua probabilidade de ocorrência e o impacto econômico, legal, operacional e reputacional que possam gerar para a organização (ref.  D.PC.15.S -  Manual de Prevenção e Controle, página 14).
A metodologia aplicável ao mapeamento de riscos de compliance está detalhada na Seção 17 do Manual de Prevenção e Controle. Nos termos do documento, a identificação dos riscos deve considerar, no mínimo, as legislações e regulamentações aplicáveis, os contratos e obrigações assumidos pela Companhia, o Código de Ética e Conduta, as políticas e os procedimentos internos, os requisitos decorrentes de certificações e as demais normas internas e externas aplicáveis. O processo de identificação deve, ainda, ser fundamentado em evidências, incluindo análise documental, resultados de auditorias, registros de não conformidades, informações provenientes do Canal de Denúncias e consultas às áreas envolvidas. Uma vez identificados, os riscos são formalmente registrados no Mapa de Riscos de Compliance e avaliados segundo critérios objetivos de probabilidade e impacto. A combinação desses fatores resulta em níveis de risco classificados em escala de 1 a 25 (ref. D.PC.15.S – Manual de Prevenção e Controle, página 15).</t>
  </si>
  <si>
    <t>6.2 A política ou planejamento que trata da gestão de riscos:</t>
  </si>
  <si>
    <t>6.2.1 institui a periodicidade mínima para atualização/revisão do processo de análise de riscos? Se sim, informar o item ou página da política, metodologia ou outro documento que comprove a existência do requisito.</t>
  </si>
  <si>
    <t>Nos termos do Manual de Prevenção e Controle, a Decal compromete-se a adaptar e atualizar seu corpo normativo constantemente diante de mudanças na legislação aplicável e para integrar as melhorias identificadas na aplicação das políticas, regras e procedimentos (ref. D.PC.15.S - Manual de Prevenção e Controle, página 5).
Além disso, o Comitê de Compliance realizará uma verificação constante da aplicação do modelo de prevenção e controle e proporá as modificações adequadas, inclusive quando ocorrerem mudanças significativas na empresa, na legislação ou na estrutura de controle. O próprio Manual prevê, ainda, que será atualizado periodicamente para refletir as mudanças feitas no modelo de prevenção e controle (ref.  D.PC.15.S -  Manual de Prevenção e Controle, páginas 19-20).</t>
  </si>
  <si>
    <t>6.2.2 determina a área ou pessoa responsável pela gestão de riscos? Se sim, informar o item ou página da política, metodologia ou outro documento que comprove a existência do requisito.</t>
  </si>
  <si>
    <t>sim</t>
  </si>
  <si>
    <t>Nos termos do Manual de Prevenção e Controle, a designação de responsáveis deve ser formalizada na matriz de risco, sendo que (i) a área de Compliance é responsável pela coordenação, consolidação e monitoramento do processo; (ii) os gestores das áreas são responsáveis pela identificação, avaliação e tratamento dos riscos sob sua responsabilidade; e (iii) a alta direção deve ser informada sobre riscos classificados como altos (ref.  D.PC.15.S -  Manual de Prevenção e Controle, página 16).</t>
  </si>
  <si>
    <t>6.2.3 inclui sua revisão e aprovação pela alta direção? Se sim, informar o item ou página da política, metodologia ou outro documento que comprove a existência do requisito.</t>
  </si>
  <si>
    <t>A Política D.PC.15.S - Manual de Prevenção e Controle foi aprovada pelo Conselho Consultivo, conforme indicado nas notas de rodapé.</t>
  </si>
  <si>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</si>
  <si>
    <t>O mapeamento de riscos de integridade da Decal é evidenciado pelos documentos “F.PC.07.00.S - Mapa de Riscos Compliance - 2025_rev2 (002)” e “Mapeamento de Riscos com Classificação por Área”.
O documento “F.PC.07.00.S - Mapa de Riscos Compliance - 2025_rev2 (002)”, cuja última revisão ocorreu em 20.11.2025, contempla expressamente a identificação, análise e classificação de riscos para a integridade, como a corrupção, interação com agentes públicos, lavagem de dinheiro, pagamentos indevidos e propinas, fraude e roubo, bem como assédio moral e sexual.
O Mapa de Riscos de Compliance é, ainda, incorporado ao Informe de Filiais (ref. Informe de Filiais 2025, página 13), documento que consolida informações relativas ao acompanhamento do Programa de Integridade e é assinado por Agérbon Correia Nóbrega Filho, na qualidade de Administrador Geral da Decal.</t>
  </si>
  <si>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</si>
  <si>
    <t>O documento “Mapeamento de Riscos com Classificação por Área”, na aba “Revisão Geral”, contempla o mapeamento dos riscos de compliance da Decal, e classifica como risco muito alto a transgressão das regras no processo licitatório.
Além disso, no “F.PC.07.00.S - Mapa de Riscos Compliance - 2025_rev2 (002)”, identifica e avalia riscos correlatos à participação em licitações e à execução de contratos administrativos, incluindo riscos relacionados à interação com agentes públicos, lavagem de dinheiro, pagamentos indevidos (propinas), fraude e roubo, e corrupção.</t>
  </si>
  <si>
    <t>6.3.2 A análise de riscos realizada contempla a classificação dos riscos com base em sua probabilidade e impacto?  Se sim, anexar a matriz de riscos ou documento equivalente que contenha a análise e avaliação dos riscos com base em seu impacto e probabilidade.</t>
  </si>
  <si>
    <r>
      <t xml:space="preserve">Nos termos do Manual de Prevenção e Controle, </t>
    </r>
    <r>
      <rPr>
        <i/>
        <sz val="10"/>
        <color rgb="FF000000"/>
        <rFont val="Calibri"/>
        <family val="2"/>
      </rPr>
      <t xml:space="preserve">"os riscos identificados devem ser registrados em Mapa de Risco de Compliance. A avaliação dos riscos deve seguir critérios padronizados e previamente definidos, conforme abaixo:
Probabilidade: classificada como remota (1), pouco provável (2), possível (3), muito
provável (4) e ocorrência quase certa (5), com base na frequência estimada ou histórico
de ocorrência;
Impacto: classificado como baixo (1-2-3-4), médio (4-5-6-8-9), alto (10-12-15-16) e muito
alto (20-25), considerando consequências legais, financeiras, operacionais e
reputacionais.
O nível de risco deve ser calculado pelo produto entre probabilidade e impacto (R = P x I), sendo
classificado conforme os seguintes critérios:
1 a 4: risco baixo (aceitável) – requer monitoramento;
5 a 9: risco médio (parcialmente aceitável) – requer plano de ação;
10 a 25: risco alto/muito alto (não aceitável) – requer ação imediata" </t>
    </r>
    <r>
      <rPr>
        <sz val="10"/>
        <color rgb="FF000000"/>
        <rFont val="Calibri"/>
        <family val="2"/>
      </rPr>
      <t>(ref. D.PC.15.S - Manual de Prevenção e Controle, página 16).
A aplicação concreta dessa metodologia pode ser verificada no documento “F.PC.07.00.S - Mapa de Riscos Compliance - 2025_rev2 (002)”, no qual os riscos identificados são efetivamente avaliados e classificados com base em critérios de probabilidade e impacto.</t>
    </r>
  </si>
  <si>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</si>
  <si>
    <t>Parcialmente</t>
  </si>
  <si>
    <t>No documento “Mapeamento de Riscos com Classificação por Área”, especificamente na aba “Compliance”, são apresentadas recomendações e medidas de mitigação para cada um dos riscos identificados no processo de análise e avaliação de riscos.</t>
  </si>
  <si>
    <t>IV</t>
  </si>
  <si>
    <t>Área IV - Código de Ética e Conduta</t>
  </si>
  <si>
    <t>7. Código de Ética e Conduta</t>
  </si>
  <si>
    <t>7.1 A pessoa jurídica possui código de ética e conduta, ou documento equivalente, disponível em português? Se sim, anexar o código ou documento equivalente.</t>
  </si>
  <si>
    <t>D.PC.01.S - Código de Conduta e Ética Empresarial</t>
  </si>
  <si>
    <t>7.2 O código de ética e conduta ou documento equivalente:</t>
  </si>
  <si>
    <t>7.2.1 foi formalmente aprovado pela alta direção da pessoa jurídica? Se sim, anexar documento ou registro que comprove a aprovação do código pela alta direção da entidade.</t>
  </si>
  <si>
    <t>O Código de Conduta e Ética Empresarial da Decal é formalmente aprovado pelo Conselho Consultivo, conforme indicado nas respectivas notas de rodapé do documento. Adicionalmente, a Ata da Reunião do Conselho Consultivo de 6.3.2025 registra a aprovação, por unanimidade, do Código de Conduta e Ética Empresarial da Decal.</t>
  </si>
  <si>
    <t>7.2.2 inclui expressamente a ética e/ou a integridade entre os princípios ou valores da pessoa jurídica?  Se sim, indicar o dispositivo do código que atenda ao requisito.</t>
  </si>
  <si>
    <r>
      <t>Nos termos do Código de Conduta e Ética Empresarial da Decal, "</t>
    </r>
    <r>
      <rPr>
        <i/>
        <sz val="10"/>
        <color rgb="FF000000"/>
        <rFont val="Calibri"/>
        <family val="2"/>
      </rPr>
      <t>a ética, credibilidade e reputação são valores inestimáveis para uma grande empresa internacional que opera em um cenário cultural, político e econômico que é diversificado e sempre em constante evolução. A Decal considera fundamental expressar claramente e com convicção seus valores e responsabilidades em suas relações com o mercado, comunidades locais, administrações públicas, além de todos os profissionais que trabalham na empresa, bem como todos os outros agentes interessados que reivindicam um interesse legítimo na Decal</t>
    </r>
    <r>
      <rPr>
        <sz val="10"/>
        <color rgb="FF000000"/>
        <rFont val="Calibri"/>
        <family val="2"/>
      </rPr>
      <t>" (ref. D.PC.01.S - Código de Conduta e Ética Empresarial, página 3).</t>
    </r>
  </si>
  <si>
    <t>7.2.3 está alinhado com a legislação anticorrupção brasileira, contendo vedações expressas à prática de atos de corrupção e fraude e prevenção de conflito de interesses? Se sim, indicar o(s) dispositivo(s) do código que atenda(m) ao requisito.</t>
  </si>
  <si>
    <t xml:space="preserve">O Código de Conduta e Ética Empresarial da Decal contém vedações expressas à prática de atos de corrupção e fraude e prevenção de conflito de interesses.
Em relação ao Conflito de Interesses, há vedação expressa na (i) Seção 7. Política da Conduta Empresarial, itens V a VII (página 5); e (ii) Seção 10. Relações com a Decal Brasil, item II (página 6); 
Em relação à prática de corrupção e fraude, há vedação expressa na (i) Seção 10. Relações com a Decal Brasil, itens IV e V (página 7); e (ii) Seção 11. Relação com Fornecedores, Prestadores de Serviços, Agências Reguladoras, Agentes Públicos, Ex-Agentes Públicos e Clientes, itens VII e VIII (página 8).  </t>
  </si>
  <si>
    <t>7.2.4 expressa o compromisso da pessoa jurídica em combater o preconceito, a discriminação e o assédio de qualquer natureza em suas relações internas e externas?  Se sim, indicar o(s) dispositivo(s) do código que atenda(m) ao requisito.</t>
  </si>
  <si>
    <r>
      <t>Nos termos do Código de Conduta Ética Empresarial, "o</t>
    </r>
    <r>
      <rPr>
        <i/>
        <sz val="10"/>
        <color rgb="FF000000"/>
        <rFont val="Calibri"/>
        <family val="2"/>
      </rPr>
      <t xml:space="preserve"> Grupo Decal evita nas relações com seus interlocutores qualquer tipo de discriminação quanto ao sexo, saúde, raça, nacionalidade, opinião pública e crenças religiosas.</t>
    </r>
    <r>
      <rPr>
        <sz val="10"/>
        <color rgb="FF000000"/>
        <rFont val="Calibri"/>
        <family val="2"/>
      </rPr>
      <t>" (ref. D.PC.01.S - Código de Conduta Ética Empresarial, página 4) e "a</t>
    </r>
    <r>
      <rPr>
        <i/>
        <sz val="10"/>
        <color rgb="FF000000"/>
        <rFont val="Calibri"/>
        <family val="2"/>
      </rPr>
      <t xml:space="preserve"> Decal Brasil compromete-se a: [...] IV. Respeitar e promover a diversidade, a inclusão e igualdade de oportunidades, combatendo todas as formas de preconceito, discriminação e qualquer fator de diferenciação individual [...] VII. Repudiar e combater qualquer forma de assédio, incluindo assédio moral, sexual ou qualquer conduta abusiva, constrangedora, intimidatória, humilhante ou ofensiva no ambiente de trabalho" </t>
    </r>
    <r>
      <rPr>
        <sz val="10"/>
        <color rgb="FF000000"/>
        <rFont val="Calibri"/>
        <family val="2"/>
      </rPr>
      <t>(ref. D.PC.01.S - Código de Conduta e Ética Empresarial, página 6).</t>
    </r>
  </si>
  <si>
    <t>7.2.5 estabelece as condutas permitidas e proibidas na pessoa jurídica?  Se sim, indicar o(s) dispositivo(s) do código que atenda(m) ao requisito.</t>
  </si>
  <si>
    <r>
      <t>Nos termos do Código de Conduta e Ética Empresarial da Decal, na Seção 10. Relações com a Decal, os empregados da Decal se comprometem a: "</t>
    </r>
    <r>
      <rPr>
        <i/>
        <sz val="10"/>
        <color rgb="FF000000"/>
        <rFont val="Calibri"/>
        <family val="2"/>
      </rPr>
      <t>I. Executar suas tarefas e obrigações com integridade, transparência, responsabilidade e respeito a todas as pessoas com quais se relacionam, internamente ou externamente; II. Evitar todo e qualquer tipo de envolvimento em qualquer atividade que seja conflitante com os interesses da Decal Brasil, inclusive utilizando os canais de comunicação internos para denunciar qualquer tipo de situação que não esteja de acordo com as regras de Compliance da Decal Brasil; III. Respeitar o sigilo das informações estratégicas críticas da Decal Brasil, bem como as informações dos profissionais, clientes e fornecedores, salvo exceções em caso autorizados ou exigidos por lei; IV. Não receber, oferecer ou prometer vantagens indevidas decorrentes da função ou cargo que ocupam na Decal Brasil para clientes, fornecedores, empregados ou qualquer tipo de agente que se relacione com a Decal Brasil; V. Não aceitar, receber, oferecer ou prometer qualquer tipo de favor, vantagem, doação ou benefício a outro  empregado da Decal Brasil que configure ato ilícito, desleal, ímprobo ou incorreto.</t>
    </r>
    <r>
      <rPr>
        <sz val="10"/>
        <color rgb="FF000000"/>
        <rFont val="Calibri"/>
        <family val="2"/>
      </rPr>
      <t>"  (ref. D.PC.01.S - Código de Conduta e Ética Empresarial, páginas 6 e 7).</t>
    </r>
  </si>
  <si>
    <t>7.2.6 menciona a possibilidade de aplicação de sanções para aqueles que cometerem violações éticas/legais, inclusive para os membros da alta direção da pessoa jurídica? Se sim, indicar o(s) dispositivo(s) do código que atenda(m) ao requisito.</t>
  </si>
  <si>
    <r>
      <t>Nos termos do Código de Conduta e Ética Empresarial, na Seção 15. Violações do Código e das Sanções Disciplinares, "a</t>
    </r>
    <r>
      <rPr>
        <i/>
        <sz val="10"/>
        <color rgb="FF000000"/>
        <rFont val="Calibri"/>
        <family val="2"/>
      </rPr>
      <t xml:space="preserve"> violação do presente código prejudica a relação de confiança e pode levar a tomada de ações legais, bem como, à adoção de medidas contra os receptores, em conformidade com as leis aplicáveis e com os acordos contratuais efetivados.
As violações aos princípios e regras de conduta estabelecidos neste Código, bem como as transgressões ao Contrato de Trabalho, serão objeto das seguintes sanções, observada a CLT:
I. Reprimenda verbal;
II. Advertência por escrito;
III. Suspensão do trabalho e de salário;
IV. Demissão do contrato de trabalho por justa causa.</t>
    </r>
    <r>
      <rPr>
        <sz val="10"/>
        <color rgb="FF000000"/>
        <rFont val="Calibri"/>
        <family val="2"/>
      </rPr>
      <t xml:space="preserve">" (ref. D.PC.01.S - Código de Conduta e Ética Empresarial, página 10). 
O regime de responsabilização previsto no Código alcança também os membros da Alta Direção, uma vez que o próprio documento estabelece que suas disposições são aplicáveis a </t>
    </r>
    <r>
      <rPr>
        <i/>
        <sz val="10"/>
        <color rgb="FF000000"/>
        <rFont val="Calibri"/>
        <family val="2"/>
      </rPr>
      <t>"todos os empregados, executivos e às partes interessadas (acionistas, clientes, fornecedores etc.) da Decal Brasil</t>
    </r>
    <r>
      <rPr>
        <sz val="10"/>
        <color rgb="FF000000"/>
        <rFont val="Calibri"/>
        <family val="2"/>
      </rPr>
      <t>" (ref. D.PC.01.S - Código de Conduta e Ética Empresarial, página 4).</t>
    </r>
  </si>
  <si>
    <t>7.3 O código de ética e conduta, ou documento equivalente, encontra-se disponível na página institucional da pessoa jurídica na internet?  Se sim, informar o link e descrever o caminho, desde a página inicial da entidade, para acesso ao documento.</t>
  </si>
  <si>
    <t xml:space="preserve">
Caminho de acesso: Página inicial (https://www.decalbrasil.com/) &gt; Compliance &gt; Políticas (https://www.decalbrasil.com/compliance/politicas/) &gt; Código de Conduta e Ética Empresarial (https://stodecalbrsite.blob.core.windows.net/sgi/CodigoCondutaEtica.pdf).
</t>
  </si>
  <si>
    <t>7.4 A pessoa jurídica possui código de ética e conduta, ou documento equivalente, aplicável a terceiros e disponível em português? Se sim, informar o link e descrever o caminho, desde a página inicial da entidade para acesso ao documento.</t>
  </si>
  <si>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</si>
  <si>
    <t>V</t>
  </si>
  <si>
    <t>Área V - Políticas e Procedimentos de Integridade e de Prevenção de Ilícitos em Licitações e Contratos Administrativos</t>
  </si>
  <si>
    <t>8. Políticas e procedimentos de integridade</t>
  </si>
  <si>
    <t>8.1 A pessoa jurídica possui políticas e procedimentos de integridade que:</t>
  </si>
  <si>
    <t>8.1.1 vedam expressamente a concessão de vantagens indevidas, econômicas ou não, a agentes públicos? Se sim, anexar a política ou procedimento e indicar o(s) dispositivo(s) do documento que atenda(m) ao requisito.</t>
  </si>
  <si>
    <t>8.1.2 tratam do oferecimento de presentes, brindes e hospitalidades (refeições, entretenimento, viagem e hospedagem) a agentes públicos? Se sim, anexar a política ou procedimento e indicar o(s) dispositivo(s) do documento que atenda(m) ao requisito.</t>
  </si>
  <si>
    <t>8.1.3 tratam da prevenção de conflito de interesses nas relações com a Administração Pública, incluindo contratações de agentes públicos e seus familiares? Se sim, anexar a política ou procedimento e indicar o(s) dispositivo(s) do documento que atenda(m) ao requisito.</t>
  </si>
  <si>
    <t>A Decal possui mecanismos formais destinados à prevenção, identificação e tratamento de situações de conflito de interesses.
A Política de Conflito de Interesse estabelece, em sua Seção 4. Gestão de Conflito de Interesse, princípios gerais de ação, a fim de combater qualquer tipo de conflito de interesse . Além disso, a Seção 5. Procedimento para Resolver Conflito de Interesse disciplina o procedimento a ser adotado pelo Comitê de Compliance para análise e resolução de conflitos de interesses identificados (ref. D.PC.17.S - Política de Conflito de Interesse, páginas 5 e 6).
Adicionalmente, Política de Contratação de Funcionário prevê controles específicos já na etapa de admissão. Nos termos da Seção 4.2. Avaliação Prévia do Candidato, “A equipe de RH deve realizar uma avaliação prévia dos candidatos, antes da realização das entrevistas, para garantir que o candidato não possui nenhum tipo de restrição legal (ex: período de quarentena requerida de ex-agentes públicos) a contratação. As consultas devem ser armazenadas junto ao histórico do empregado. Fontes para consulta: I. Cadastro Nacional de Empresas Inidôneas e Suspensas (CEIS); II. Cadastro Nacional de Empresas Punidas (CNEP); III. Pessoas Politicamente Expostas (PPE); IV. Quarentena” (ref. D.PC.04.S - Política de Contratação de Funcionário, página 3).
A mesma Política de Contratação de Funcionário também exige que "todos os candidatos que participarem do processo seletivo e forem selecionados devem preencher o Termo de Independência (F.PC.02.S ) contendo as informações de relacionamentos do profissional com empresas públicas, empresas privadas, agentes públicos, ex-agentes públicos e empregados da DECAL Brasil. O  relacionamento deve ser avaliado para familiares imediatos (ex.: cônjuge, filhos, mãe, pai, irmãos), familiares próximos (ex.: avós, primos, tios) e dependentes financeiros (pessoas que possuem dependência financeira com o empregado)" (ref. D.PC.04.S - Política de Contratação de Funcionário, página 3).</t>
  </si>
  <si>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</si>
  <si>
    <t>8.1.5 tratam da realização de doação e patrocínio, ou informam claramente que a pessoa jurídica não realiza essas atividades? Se sim, anexar política/procedimento de integridade. Indicar, no campo correspondente, o artigo, item e/ou página em que há essa previsão.</t>
  </si>
  <si>
    <t>A Política Anticorrupção da Decal estabelece procedimentos específicos aplicáveis à realização de doações, financiamentos e patrocínios (ref. D.PC.16.S - Política Anticorrupção, páginas 6 e 7).</t>
  </si>
  <si>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</si>
  <si>
    <t>As políticas e os procedimentos de integridade da Decal aplicáveis às interações com a Administração Pública são efetivamente observados na prática.
A título exemplificativo, anexa-se cadeia de e-mails de agosto de 2025 relativa à solicitação de reunião com a Diretora da Agência Nacional do Petróleo, Gás Natural e Biocombustíveis (ANP). Em linha com as diretrizes previstas na Política de Relacionamento com Clientes, a interação foi conduzida por meio de comunicação formal, com registro escrito das tratativas, incluindo a solicitação de agenda, a identificação do assunto a ser tratado e a participação de mais de um representante da Decal, conforme demonstrado pelos destinatários copiados nos e-mails.
A interlocução com a ANP foi conduzida diretamente por Agérbon Nóbrega, Administrador Geral da Decal Brasil, evidenciando, ainda, a participação da Alta Direção nas interações institucionais com o órgão regulador.</t>
  </si>
  <si>
    <t>9. Políticas e procedimentos específicos para prevenção de ilícitos em licitações e contratos administrativos</t>
  </si>
  <si>
    <t>9.1. A pessoa jurídica possui políticas ou procedimentos específicos para prevenção de ilícitos em licitações e contratos administrativos? Se sim, anexar a política ou procedimentos que atenda(m) ao requisito.</t>
  </si>
  <si>
    <t xml:space="preserve">Nos termos do Código de Conduta e Ética Empresarial, a  “Decal Brasil compromete-se a: VII. Garantir o cumprimento da lei anticorrupção (Lei nº 12.846/13) em todas as relações comerciais da Decal [...]d. No tocante a licitações e contratos: i. Frustrar ou fraudar, mediante ajuste, combinação ou qualquer outro expediente, o caráter competitivo de procedimento licitatório público; ii. Impedir, perturbar ou fraudar a realização de qualquer ato de procedimento licitatório público; iii. Afastar ou procurar afastar licitante, por meio de fraude ou oferecimento de vantagem de qualquer tipo; iv. Fraudar licitação pública ou contrato dela decorrente; v. Criar, de modo fraudulento ou irregular, pessoa jurídica para participar de licitação pública ou celebrar contrato administrativo; vi. Obter vantagem ou benefício indevido, de modo fraudulento, de modificações ou prorrogações de contratos celebrados com a administração pública, sem autorização em lei, no ato convocatório da licitação pública ou nos respectivos instrumentos contratuais; vii. Manipular ou fraudar o equilíbrio econômico-financeiro dos contratos celebrados com a administração pública; viii. Dificultar atividade de investigação ou fiscalização de órgãos, entidades ou agentes públicos, ou intervir em sua atuação, inclusive no âmbito das agências reguladoras e dos órgãos de fiscalização do sistema financeiro nacional” (ref. D.PC.01.S - Código de Conduta e Ética Empresarial, páginas 8 e 9).
Além disso, nos termos da Política Anticorrupção da Decal, é vedado é vedado oferecer dinheiro, presentes ou qualquer outro benefício econômico ou patrimonial a agentes públicos, bem como favorecê-los. “Considera-se vantagem qualquer conduta do agente público que resulte em: [...] 3) Favorecer a DECAL em procedimentos de compras públicas, licitações, concorrências, leilões, obtenção de subsídios, bônus, deduções, auxílios ou qualquer forma de acesso a recursos públicos passíveis de solicitação pela Companhia” (ref. D.PC.16.S - Política Anticorrupção, página 3). 
Por fim, a Decal possui também "Política de Integridade e Prevenção de Ilícitos em Licitações, Contratos Administrativos e Relacionamento com Órgãos Públicos". </t>
  </si>
  <si>
    <t>9.2 As políticas ou procedimentos:</t>
  </si>
  <si>
    <t>9.2.1 estabelecem orientações sobre a conduta esperada (o que é permitido/proibido) para seus empregados e para terceiros que atuam em seu nome? Se sim, indicar o(s) dispositivo(s) da política ou procedimentos que atenda(m) ao requisito.</t>
  </si>
  <si>
    <t xml:space="preserve">As condutas esperadas dos colaboradores e contratados da Decal em interações com órgãos públicos são dispostas nos itens 4, 5, 6 e 7 da "Política de Integridade e Prevenção de Ilícitos em Licitações, Contratos Administrativos e Relacionamento com Órgãos Públicos". </t>
  </si>
  <si>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</si>
  <si>
    <t>9.2.3 definem a necessidade de rotação periódica dos responsáveis por interagir com os agentes públicos em licitações e contratos administrativos? Se sim, indicar o(s) dispositivo(s) da política ou procedimentos que atenda(m) ao requisito.</t>
  </si>
  <si>
    <t>9.2.4 orientam a relação da pessoa jurídica com seus concorrentes, a fim de evitar práticas anticoncorrenciais que possibilitem fraude em processos licitatórios? Se sim, indicar o(s) dispositivo(s) da política ou procedimentos que atenda(m) ao requisito.</t>
  </si>
  <si>
    <t>SIm</t>
  </si>
  <si>
    <t xml:space="preserve">É destacado o seguinte trecho do item 4 da "Política de Integridade e Prevenção de Ilícitos em Licitações, Contratos Administrativos e Relacionamento com Órgãos Públicos":
"A Decal também se compromete a atuar de forma isonômica e respeitosa em relação aos demais participantes dos certames, preservando a livre concorrência e a lisura dos procedimentos licitatórios.
É expressamente proibida a adoção de qualquer prática que possa comprometer a integridade do processo licitatório ou da contratação pública, incluindo a combinação de preços, propostas ou condições comerciais com concorrentes, a obtenção ou utilização de informações privilegiadas de forma indevida, a apresentação de documentos falsos ou adulterados, a simulação de experiência ou capacidade técnica e a participação em qualquer forma de cartel, conluio ou acordo que tenha por objetivo restringir a competitividade, direcionar resultados ou obter vantagem indevida em processos licitatórios ou contratos administrativos."
</t>
  </si>
  <si>
    <t>9.3 A pessoa jurídica aplicou, nos últimos 12 meses, as orientações e controles específicos para prevenção de fraudes e ilícitos em licitações e contratos administrativos? Se sim, descrever as ocasiões e a forma como as orientações e controles foram aplicados.</t>
  </si>
  <si>
    <t>A Decal Brasil não aplicou, nos últimos 12 meses, orientações e controles específicos relacionados à prevenção de fraudes e ilícitos em licitações e contratos administrativos, uma vez que, durante o período, esteve sujeita a sanção de inidoneidade que a impediu de participar de procedimentos licitatórios e de celebrar novos contratos administrativos.
Não obstante, a Decal manteve a aplicação de suas políticas e procedimentos de integridade nas demais interações com agentes públicos e órgãos da Administração Pública. Conforme demonstrado no item 8.2, por exemplo, as interações institucionais mantidas com a ANP observaram os controles internos aplicáveis, inclusive quanto à formalização e ao registro das tratativas.
Dessa forma, embora não tenha havido, no período analisado, oportunidade de aplicação prática de controles especificamente relacionados à participação em licitações e à celebração de contratos administrativos, a Decal manteve ativos e aplicou os mecanismos de integridade previstos em suas políticas internas às demais interações com a Administração Pública.</t>
  </si>
  <si>
    <t>VI</t>
  </si>
  <si>
    <t>Área VI - Treinamentos e Ações de Comunicação sobre o Programa de Integridade</t>
  </si>
  <si>
    <t>10. Treinamentos sobre o Programa de Integridade</t>
  </si>
  <si>
    <t>10.1 A pessoa jurídica possui um planejamento para a realização de treinamentos sobre integridade com definição do cronograma, temas, públicos-alvo, responsáveis e forma de execução? Se sim, anexar o documento ou informações que demonstrem o planejamento vigente.</t>
  </si>
  <si>
    <t>Nos termos do Manual de Prevenção e Controle, o Comitê de Compliance promoverá uma constante atividade de capacitação e prevenção, com elaboração de plano de treinamento e conscientização anual (ref. D.PC.15.S - Manual de Prevenção e Controle, página 14)
O planejamento para 2026 é apresentado como documento "Plano de Treinamento 2026".</t>
  </si>
  <si>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</si>
  <si>
    <t>O Comitê de Compliance da Decal promoveu, em agosto de 2026, a Semana da Integridade, iniciativa destinada ao fortalecimento da cultura de ética, integridade e transparência, tendo como público-alvo todos os colaboradores da Companhia. Ao longo da Semana da Integridade, foram abordados temas como (i) assédio; (ii) conflitos de interesses; (iii) prevenção à fraude e à corrupção; (iv) brindes, presentes e hospitalidades; (v) Canal de Ética; (vi) proteção das informações e confidencialidade; e (vii) ética e conduta. Após a realização dos treinamentos, foram aplicados quizzes com o objetivo de verificar a compreensão e a retenção dos conteúdos apresentados. Os e-mails de divulgação da Semana da Integridade e os resultados dos quizzes estão anexos.
Além disso, em abril de 2026, foram ministrados treinamentos específicos aos gestores da Decal, abordando, entre outros temas, (i) Comitê de Compliance; (ii) diversidade e inclusão; (iii) prevenção a fraudes eletrônicas no âmbito do Programa de Compliance; (iv) compliance ambiental na prática; (v) compliance trabalhista; e (vi) compliance financeiro. Os certificados dos gestores estão anexos.
Adicionalmente, todos os novos colaboradores são submetidos ao treinamento de Integração Compliance. Os certificados de finalização do curso dos colaboradores estão anexos.</t>
  </si>
  <si>
    <t>10.3 A pessoa jurídica realizou, nos últimos 12 meses, treinamento(s) direcionado(s) a públicos específicos, e, realização de diligências para contratação e supervisão de terceiros? Se sim, anexar documentos e/ou indicar, no campo correspondente, link em que seja possível visualizar os treinamentos realizados e descrever as ocasiões, temas, carga horária e público alcançado.</t>
  </si>
  <si>
    <t>Em abril de 2026, foram ministrados treinamentos específicos aos gestores da Decal, abordando, entre outros temas, (i) Comitê de Compliance; (ii) diversidade e inclusão; (iii) prevenção a fraudes eletrônicas no âmbito do Programa de Compliance; (iv) compliance ambiental na prática; (v) compliance trabalhista; e (vi) compliance financeiro. Os certificados dos gestores estão anexos.</t>
  </si>
  <si>
    <t>10.4 Os treinamentos relacionados ao programa de integridade realizados pela pessoa jurídica nos últimos 12 meses atingiram, em média, 70% de cada um dos públicos-alvo? Se sim, anexar documentos ou informações que demonstrem o cumprimento do requisito.</t>
  </si>
  <si>
    <t>11. Comunicações sobre o Programa de Integridade</t>
  </si>
  <si>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</si>
  <si>
    <t>O documento “D.GQ.06.S - Diretrizes para Comunicações” formaliza o planejamento das atividades de comunicação relacionadas à integridade, estabelecendo o conteúdo a ser comunicado, a periodicidade, os meios de comunicação, o público-alvo e os responsáveis por cada comunicação.</t>
  </si>
  <si>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</si>
  <si>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</si>
  <si>
    <t>A “Decal Notícias” é um periódico interno da Companhia que contempla, entre outros temas, comunicações voltadas à divulgação de aspectos gerais do programa de integridade. A periodicidade dessas comunicações é evidenciada pelas edições 48, 49 e 50 da “Decal Notícias”, anexas.</t>
  </si>
  <si>
    <t>VII</t>
  </si>
  <si>
    <t>Área VII - Controles Contábeis, Financeiros e Auditoria Interna</t>
  </si>
  <si>
    <t>12. Controles Contábeis e Financeiros</t>
  </si>
  <si>
    <t>12.1 A pessoa jurídica possui procedimentos definidos para a realização dos lançamentos contábeis e financeiros? Se sim, anexar os documentos ou informações que estabeleçam os procedimentos existentes.</t>
  </si>
  <si>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</si>
  <si>
    <t>Conforme documento "D.GS.01.S - Controle de Compras", no item 4.4 - Aprovação de pedidos.</t>
  </si>
  <si>
    <t>12.3 A pessoa jurídica possui mecanismos e/ou "red flags" para detectar receitas e despesas fora do padrão durante o registro de lançamentos contábeis? Se sim, anexar os documentos ou informações que estabeleçam os procedimentos existentes.</t>
  </si>
  <si>
    <t xml:space="preserve">Há a necessidad de aprovação do Presidente da empresa para quaisquer valores acima de R$ 10.000,00, conforme o "D.GS.01.S - Controle de Compras", no item 3. </t>
  </si>
  <si>
    <t>12.4 A pessoa jurídica possui regras que exigem a verificação do cumprimento do objeto do contrato para realização do pagamento? Se sim, anexar documentos ou informações que estabeleçam os procedimentos existentes.</t>
  </si>
  <si>
    <t xml:space="preserve">Conforme a Política de Contratação de Terceirizados, página 4: "página 4, "Todos os pagamentos previstos em contratos realizados para terceirizados, sejam eles: agentes públicos, ex-agentes públicos, órgãos reguladores ou empresas públicas e privadas, devem ser realizados somente mediante comprovação formal da realização do serviço."
</t>
  </si>
  <si>
    <t>13. Auditoria Interna</t>
  </si>
  <si>
    <t>13.1 A pessoa jurídica possui função de auditoria interna formalmente estabelecida, seja de forma direta ou terceirizada? Se sim, anexar o estatuto ou documento que demonstre o estabelecimento da função de auditoria interna.</t>
  </si>
  <si>
    <t xml:space="preserve">As auditorias internas são coordenadas pelo Comitê de Compliance, conforme o Manual de Prevenção e Controle, página 18: O Comitê de Compliance coordenará os responsáveis do controle de todos os departamentos para realizar ou colaborar na realização de auditorias anuais periódicas que realizam a revisão da adequação e eficácia dos principais elementos do modelo de prevenção e controle."
O documento "P.GQ.04.S - AUDITORIA INTERNA" estabelece os fluxos e procedimentos a serem adotados em auditorias internas. </t>
  </si>
  <si>
    <t>13.2 A função de auditoria interna reporta-se diretamente à alta direção ou instância de governança da pessoa jurídica? Se sim, anexar o estatuto ou outro documento que demonstre o nível de reporte da função de auditoria interna.</t>
  </si>
  <si>
    <t>Segundo o documento "P.GQ.04.S - AUDITORIA INTERNA": "a condução e responsabilidade por todo o processo de auditoria é do Representante da Direção".</t>
  </si>
  <si>
    <t>Distribuir 1,25 pontos para cada uma das questões (4): 
12.1
12.2
12.3
12.4</t>
  </si>
  <si>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</si>
  <si>
    <t>Sim, Não, Parcialmente, Não se aplica</t>
  </si>
  <si>
    <t xml:space="preserve">A estrutura das equipes de auditoria pode ser verificada no documento "P.GQ.04.S - AUDITORIA INTERNA". 
O orçamento para atividades de auditoria está sob a rubrica de "Consultoria Programa de Compliance" com valor atribuído de R$ 60.000,00 no ano de 2026. </t>
  </si>
  <si>
    <t>13.4 São produzidos relatórios periódicos de auditoria interna? Se sim, anexar o último relatório anual de atividades da unidade de auditoria interna.</t>
  </si>
  <si>
    <t xml:space="preserve">Anexados o relatório de auditoria interna das atividades operacionais referente ao ano de 2025, bem como o último relatório de auditoria interna sobre os sistemas de compliance, concluído em março de 2026. </t>
  </si>
  <si>
    <t>Distribuir 4,50 pontos para cada uma das questões (4): 
12.1
12.2
12.3
12.4</t>
  </si>
  <si>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</si>
  <si>
    <t xml:space="preserve">Documento "Ata de Reunião do Conselho Consultivo em 3.6.2026": Demonstra a aprovação de alterações ao programa de compliance, com base em recomendações feitas por auditoria. As recomendações da auditoria concluída em março foram implementadas pouco tempo depois. </t>
  </si>
  <si>
    <t>VIII</t>
  </si>
  <si>
    <t>Área VIII - Diligências para Contratação e Supervisão de Terceiros e para Fusões e Aquisições Societárias</t>
  </si>
  <si>
    <t>14. Diligências para contratação e supervisão de terceiros</t>
  </si>
  <si>
    <t>14.1 A pessoa jurídica possui políticas e procedimentos baseadas em risco para a realização de diligências, contratação e supervisão de terceiros, que:</t>
  </si>
  <si>
    <t>14.1.1 determinam a verificação de possível envolvimento do terceiro em casos de corrupção e práticas de fraude contra a Administração Pública? Se sim, anexar as políticas e/ou procedimentos, indicando o artigo, item e/ou página onde consta essa previsão.</t>
  </si>
  <si>
    <t>A Política de Due Dilligence determina, em seu item  5, para a contratação de fornecedores e terceiros, a consulta ao Cadastro Nacional de Empresas Inidôneas e Suspensas (CEIS) e Cadastro Nacional de Empresas Punidas (CNEP).</t>
  </si>
  <si>
    <t>14.1.2 determinam a verificação da existência de registro do terceiro em “listas sujas” de trabalho escravo ou em condições análogas às de escravo? Se sim, anexar as políticas e/ou procedimentos, indicando o artigo, item e/ou página onde consta essa previsão.</t>
  </si>
  <si>
    <t>Princípios de Orientação aos Fornecedores: "O uso de trabalho forçado, servidão por dívidas, trabalho prisional, militar ou obrigatório é estritamente proibido."</t>
  </si>
  <si>
    <t>14.1.3 determinam a verificação de possível envolvimento do terceiro em crimes ambientais ou em práticas nocivas ao meio ambiente?  Se sim, anexar as políticas e/ou procedimentos, indicando o artigo, item e/ou página onde consta essa previsão.</t>
  </si>
  <si>
    <t>Grupo: PRÁTICAS SOCIOAMBIENTAIS
Questão: A atividade da pessoa jurídica envolve potencial de dano ao meio ambiente?
Alternativa: NÃO</t>
  </si>
  <si>
    <t xml:space="preserve">Distribuir pontos para cada uma das questões (7): 
14.1.1 = 0,72
14.1.2 = 0,71
14.1.4 = 0,71
14.2 = 0,72
15.1.1 = 0,71
15.1.2 = 0,71
15.2 = 0,72
</t>
  </si>
  <si>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</si>
  <si>
    <t>A Política de Due Dilligence determina, para a contratação de fornecedores e terceiros, procedimentos para casos de não conformidade (página 5):
"Desvios, falhas ou exceções ao processo devem ser:
Registrados como não conformidades;
Tratados por meio de ações corretivas;
Avaliados periodicamente para melhoria do Sistema de Gestão de Compliance.
Quando, no resultado da Due Diligence, for identificado que os riscos de compliance associados a determinado relacionamento, atividade ou transação não podem ser adequadamente gerenciados pelos controles existentes (controles inadequados/insuficientes), o Comitê de Compliance deverá avaliar a adoção de medidas de contenção e escalonamento, assegurando a rastreabilidade da análise, a formalização da decisão e a preservação das evidências.
Definir e registrar plano de ação para mitigar o risco, com prazos, responsáveis e controles adicionais, quando aplicável e viável;
Recomendar o encerramento, descontinuidade, suspensão ou cancelamento de relacionamento, atividade ou transação existente, quando o nível de risco residual  permanecer inaceitável;
Adiar ou recusar novas propostas de relacionamento, atividade ou transação, até que os riscos possam ser reduzidos a um patamar aceitável e/ou controles adicionais sejam implementados;
Escalonar decisões críticas para a Alta Direção, quando requerido pelo apetite de risco, materialidade, impacto reputacional/financeiro ou requisitos legais e regulatórios;
Assegurar que toda decisão seja suportada por justificativa documentada, incluindo a aceitação/recusa e as evidências analisadas."</t>
  </si>
  <si>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</si>
  <si>
    <t>15. Cláusulas contratuais</t>
  </si>
  <si>
    <t>15.1 As políticas e procedimentos sobre contratação de terceiros estabeleçam a inclusão de cláusulas, nos contratos relevantes celebrados com terceiros, que:</t>
  </si>
  <si>
    <t>15.1.1 estabelecem a vedação de práticas de fraude e corrupção e exigem a observância do cumprimento de normas éticas, trabalhistas e sociais? Se sim, anexar as políticas e/ou procedimentos, indicando o artigo, item e/ou página onde consta essa previsão.</t>
  </si>
  <si>
    <t>Política de Contratação de Terceirizados: "Em todos os contratos com empresas fornecedoras terceirizadas devem ser incluídas cláusulas de responsabilidade e adequação às Leis Anticorrupção. Assim como cláusula de aceitação ao código de ética (D.PC.01.S)"
Política de Relacionamento com Fornecedores: "VI. Em todos os contratos com empresas fornecedoras de materiais devem ser incluídas cláusulas de responsabilidade e adequação à Lei Anticorrupção Nº 12.846/2013. Assim como cláusula de aceitação ao código de ética (D.PC.01.S)"
O Código de Conduta e Ética Empresarial, que deve ser aceito pelos terceiros contratados, exige a observância de normas éticas, trabalhistas e sociais, conforme itens 11, 15 e 17.</t>
  </si>
  <si>
    <t>15.1.2 preveem a aplicação de penalidades e/ou de rescisão contratual em caso de descumprimento de normas éticas e prática de fraude e corrupção? Se sim, anexar as políticas e/ou procedimentos, indicando o artigo, item e/ou página onde consta essa previsão.</t>
  </si>
  <si>
    <t>Compromissos Éticos entre Empresa e Contratado, item 9.2: "Em caso de não conformidade, trabalharemos com o fornecedor para desenvolver um plano de
ação corretiva. Persistindo a não conformidade, a relação comercial poderá ser revisada ou encerrada."</t>
  </si>
  <si>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</si>
  <si>
    <t xml:space="preserve">Disponibilizado o contrato firmado entre a Decal e a empresa Gupy, o qual possui referência às políticas acima mencionadas em sua cláusula 8.3. </t>
  </si>
  <si>
    <t>16. Diligências prévias a fusões, aquisições e outras operações societárias</t>
  </si>
  <si>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</si>
  <si>
    <t xml:space="preserve">A Decal não possui esse tipo de política porque não é da natureza da sua atividade a realiação de operações societárias. Entendemos que a empresa não poderá ser penalizada por essa circunstância e solicitamos a atribuição da nota integral ou a desconsideração do quesito na contagem. </t>
  </si>
  <si>
    <t>Grupo: ESTRUTURA E ATIVIDADE ECONÔMICA
Questão: Realizou, nos últimos 24 meses, operações societárias envolvendo outras pessoas jurídicas (Ex.:  fusão, incorporação etc.)?
Alternativa: NÃO</t>
  </si>
  <si>
    <t xml:space="preserve">Distribuir pontos para cada uma das questões (7): 
14.1.1 = 2,15
14.1.2 = 2,14
14.1.4 = 2,14
14.2 =  2,14
15.1.1 = 2,14
15.1.2 = 2,14
15.2 = 2,15
</t>
  </si>
  <si>
    <t>16.2 A pessoa jurídica realizou diligências prévias a fusões, aquisições e outras operações societárias nos últimos 24 meses? Se sim, anexar documentos que comprovem a aplicação das políticas/procedimentos.</t>
  </si>
  <si>
    <t xml:space="preserve">A Decal não realizou esse tipo de operação nos últimos 24 meses, pelos motivos descritos acima. Entendemos que a empresa não poderá ser penalizada por essa circunstância e solicitamos a atribuição da nota integral ou a desconsideração do quesito na contagem. </t>
  </si>
  <si>
    <t xml:space="preserve">Distribuir pontos para cada uma das questões (7): 
14.1.1 = 2,58
14.1.2 = 2,57
14.1.4 = 2,57
14.2 =  2,57
15.1.1 = 2,57
15.1.2 = 2,57
15.2 = 2,57
</t>
  </si>
  <si>
    <t>IX</t>
  </si>
  <si>
    <t>Área IX - Canais de Denúncia, Remediação e Medidas Disciplinares</t>
  </si>
  <si>
    <t>17. Canais disponíveis para realização de denúncias</t>
  </si>
  <si>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</si>
  <si>
    <t xml:space="preserve">Caminho desde a página inicial: https://www.decalbrasil.com/ &gt; "Compliance", na parte superior da página &gt; "Canal de Ética" &gt; "Visite nosso canal de denúncias" 
https://canal.ouvidordigital.com.br/decalbrasil
É possível fazer a denúncia pelo canal ou pelo WhatsApp, conforme a página acima. </t>
  </si>
  <si>
    <t>17.2 O canal de denúncias da pessoa jurídica:</t>
  </si>
  <si>
    <t>17.2.1 é operacionalizado por meio de formulário eletrônico a partir da página institucional da pessoa jurídica na internet? Se sim, informar o link e descrever o caminho, desde a página inicial da empresa, para acesso ao canal.</t>
  </si>
  <si>
    <t>Caminho desde a página inicial: https://www.decalbrasil.com/ &gt; "Compliance", na parte superior da página &gt; "Canal de Ética" &gt; "Visite nosso canal de denúncias" &gt;"Faça seu relato pela Web"</t>
  </si>
  <si>
    <t>17.2.2 oferece expressamente garantias de proteção aos denunciantes de boa-fé, como anonimato e não retaliação? Se sim, anexar documentos que comprovem essa informação.</t>
  </si>
  <si>
    <t>Manual de Tratamento de Denúncias, item 2: "A identidade do denunciante é sempre protegida, inclusive após o encerramento do processo."
Regulamento do Canal de Ética, item 2: "Não retaliação: é estritamente proibida qualquer forma de retaliação ao denunciante;"</t>
  </si>
  <si>
    <t>17.2.3 permite o acompanhamento da apuração da denúncia pelo denunciante? Se sim, anexar documentos que comprovem essa informação.</t>
  </si>
  <si>
    <t>É possível o acompanhamento da apuração por meio da opção "Status da denúncia", no link do site do canal de ética.
Caminho de navegação: https://www.decalbrasil.com/ &gt; "Compliance", na parte superior da página &gt; "Canal de Ética" &gt; "Visite nosso canal de denúncias" &gt; "Status da denúncia"</t>
  </si>
  <si>
    <t>17.3 O canal de denúncias funcionou quando testado pelo avaliador?</t>
  </si>
  <si>
    <t>18. Tratamento e apuração de denúncias</t>
  </si>
  <si>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</si>
  <si>
    <t xml:space="preserve">O Manual de Tratamento de Denúncias, itens 6 a 12, estabelece o fluxo de tratamento dado a cada denúncia.
O Regulamento do Canal de Ética reitera o tratamento em questão nos seus itens 5 a 8. </t>
  </si>
  <si>
    <t>18.2 As políticas e procedimentos definem:</t>
  </si>
  <si>
    <t>18.2.1 salvaguardas e prerrogativas de acesso a documentos, sistemas e pessoas por parte dos responsáveis pela apuração? Se sim, anexar a política ou procedimentos e indicar o(s) dispositivo(s) do documento que atenda(m) ao requisito.</t>
  </si>
  <si>
    <t>Política de Regimento Interno do Comitê de Compliance, página 2: "possui capacidade suficiente para levantar consultas e solicitar informações relacionadas à sua missão a todas as instâncias e departamentos da organização."</t>
  </si>
  <si>
    <t>18.2.2 fluxo específico para apuração de denúncias envolvendo membros da alta direção? Se sim, anexar a política ou procedimentos e indicar o(s) dispositivo(s) do documento que atenda(m) ao requisito.</t>
  </si>
  <si>
    <t xml:space="preserve">Manual de Tratamento de Denúncias, em seu item 6.
Regulamento do Canal de Ética, em seu item 6.
Além disso, a Política de Respostas Emergenciais trata, no item 4.2.2.3, do tratamento dado a atos lesivos cometidos por membros do comitê de compliance, da alta administração, do conselho consultivo ou do conjunto de acionistas. 
</t>
  </si>
  <si>
    <t>18.3 A pessoa jurídica realizou o tratamento das denúncias recebidas nos últimos 24 meses? Se sim, anexar documentos que demonstrem o tratamento do universo de denúncias recebidas no período.</t>
  </si>
  <si>
    <t>Documento "Ata compliance 24.01". Questão de violação de direito trabalhista, aplicação de medida disciplinar: "Vamos sugerir que a gestora dos contratos com terceiros, converse com os supervisores e façam uma reunião sobre o assunto, esclarecendo as diferenças existentes entre os cargos e sugerindo que as demandas sejam incluídas nas convenções coletivas de suas categorias"
Documento "Ata compliance 17.01". Questão de violação de direito trabalhista (benefícios), remediação de irregularidade: "Denúncia 20- a gestora de RH ( Nicolly) irá conversar com a colaboradora da Start para que ela siga as mesmas regras atuais dos demais colaboradores da Start. Paralelo a isso, será levantado os custos para que todos os colaboradores terceirizados tenham o direito de tomar café da manhã".</t>
  </si>
  <si>
    <t>Grupo: PROGRAMA DE INTEGRIDADE
Questão: Recebeu alguma denúncia relacionada com atos de fraude e corrupção, atos de desrespeito à legislação ambiental, preconceito, discriminação e assédio de qualquer natureza nos últimos 24 meses?
Alternativa: NÃO</t>
  </si>
  <si>
    <t>Distribuir 1,50 pontos para cada uma das questões (12): 
17.1
17.2.1
17.2.2
17.2.3
17.3
18.1
18.2.1
18.2.2
19.1.1
19.1.2
19.1.3
19.1.4</t>
  </si>
  <si>
    <t>19. Procedimentos para interrupção de irregularidades, remediação e aplicação de medidas disciplinares</t>
  </si>
  <si>
    <t>19.1 As políticas e procedimentos relacionadas ao tratamento, apuração e remediação de casos de fraudes, corrupção ou violação de direitos humanos e trabalhistas definem:</t>
  </si>
  <si>
    <t>19.1.1 as medidas disciplinares aplicáveis aos casos de infrações relacionadas a fraudes, corrupção ou violação de direitos humanos e trabalhistas? Se sim, anexar a política ou procedimentos e indicar o(s) dispositivo(s) do documento que atenda(m) ao requisito.</t>
  </si>
  <si>
    <t>19.1.2 a correlação entre as medidas disciplinares e os tipos de infração cometidas e as alçadas para sua aplicação? Se sim, anexar a política ou procedimentos e indicar o(s) dispositivo(s) do documento que atenda(m) ao requisito.</t>
  </si>
  <si>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</si>
  <si>
    <t>19.1.4 os procedimentos aplicáveis para encaminhamento de denúncias às autoridades competentes? Se sim, anexar a política ou procedimentos e indicar o(s) dispositivo(s) do documento que atenda(m) ao requisito.</t>
  </si>
  <si>
    <t>19.2 A pessoa jurídica aplicou procedimentos para interrupção de irregularidades, remediação e aplicação de medidas disciplinares nos últimos 24 meses? Se sim, anexar a política ou procedimentos e indicar o(s) dispositivo(s) do documento que atenda(m) ao requisito.</t>
  </si>
  <si>
    <t xml:space="preserve">Documento "Ata compliance 24.01". Questão de violação de direito trabalhista, aplicação de medida disciplinar: "Vamos sugerir que a gestora dos contratos com terceiros, converse com os supervisores e façam uma reunião sobre o assunto, esclarecendo as diferenças existentes entre os cargos e sugerindo que as demandas sejam incluídas nas convenções coletivas de suas categorias"
Documento "Ata compliance 17.01". Questão de violação de direito trabalhista (benefícios), remediação de irregularidade: "Denúncia 20- a gestora de RH ( Nicolly) irá conversar com a colaboradora da Start para que ela siga as mesmas regras atuais dos demais colaboradores da Start. Paralelo a isso, será levantado os custos para que todos os colaboradores terceirizados tenham o direito de tomar café da manhã".
Documento "Aviso Rescisão - com trja": Demonstra a demissão por justa causa de colaborador que obstruiu o sistema de videiomonitoramento da empresa. </t>
  </si>
  <si>
    <t>X</t>
  </si>
  <si>
    <t>Área X - Monitoramento do Programa de Integridade</t>
  </si>
  <si>
    <t>20. Monitoramento contínuo do programa de integridade</t>
  </si>
  <si>
    <t>20.1 A pessoa jurídica possui política ou procedimentos que estabelecem o monitoramento contínuo do programa de integridade? Se sim, anexar a política ou procedimentos e indicar o(s) dispositivo(s) do documento que atenda(m) ao requisito.</t>
  </si>
  <si>
    <t xml:space="preserve">Relatório de Auditoria nos Sistemas de Gestão de Compliance: "A Alta Direção demonstra envolvimento ativo na condução dos temas relacionados ao Sistema de Gestão de Compliance, incluindo ações comerciais, avaliação de riscos para o negócio, estratégias de crescimento e diretrizes de compliance.
Foi evidenciado que tais temas são discutidos em reuniões periódicas, incluindo reuniões de aprovação de orçamento e reuniões de reporte gerencial, assegurando o monitoramento contínuo do desempenho organizacional."
Política de Regimento Interno do Comitê de Compliance: "O Comitê de Compliance se reunirá pelo menos duas vezes por ano para monitorar o modelo de prevenção e controle e as tarefas atribuídas no calendário de ações aprovadas para cada ano. Sem prejuízo do anterior, reuniões adicionais podem ser realizadas conforme considerados adequados, dependendo das necessidades detectadas para a boa gestão do modelo de prevenção e controle."
</t>
  </si>
  <si>
    <t>20.2 A política ou procedimentos que estabelecem o monitoramento contínuo do programa de integridade definem:</t>
  </si>
  <si>
    <t>20.2.1 os responsáveis pelo monitoramento? Se sim, anexar a política ou procedimentos e indicar o(s) dispositivo(s) do documento que atenda(m) ao requisito.</t>
  </si>
  <si>
    <t>Política de Regimento Interno do Comitê de Compliance: "O Comitê de Compliance se reunirá pelo menos duas vezes por ano para monitorar o modelo de prevenção e controle e as tarefas atribuídas no calendário de ações aprovadas para cada ano. Sem prejuízo do anterior, reuniões adicionais podem ser realizadas conforme considerados adequados, dependendo das necessidades detectadas para a boa gestão do modelo de prevenção e controle."</t>
  </si>
  <si>
    <t>20.2.2 a periodicidade para realização do monitoramento? Se sim, anexar a política ou procedimentos e indicar o(s) dispositivo(s) do documento que atenda(m) ao requisito.</t>
  </si>
  <si>
    <t>20.2.3 as instâncias para as quais serão submetidos os dados e as informações apurados no monitoramento? Se sim, anexar a política ou procedimentos e indicar o(s) dispositivo(s) do documento que atenda(m) ao requisito.</t>
  </si>
  <si>
    <t>Manual de Prevenção e Controle: "O Comitê de Compliance elaborará, atualizará e submeterá anualmente ao Conselho Consultivo o Relatório de Filiais, que refletirá a evolução das tarefas de revisão realizadas e as informações cumulativas obtidas durante todo o ano."</t>
  </si>
  <si>
    <t>20.3 A pessoa jurídica realiza um monitoramento contínuo do programa de integridade por meio de:</t>
  </si>
  <si>
    <t>20.3.1 utilização de indicadores e estabelecimento de metas de desempenho sobre o programa de integridade, visando avaliar sua efetividade e cumprimento?  Se sim, anexar documentos que comprovem a existência das metas e a utilização dos indicadores.</t>
  </si>
  <si>
    <t xml:space="preserve">"Ata n. 09.2025 Compliance 17112025": Documento que demonstra a revisão do mapa de riscos com base em denúncias recebidas. 
"Ata compliance 25.02": Documento que demonstra a apresentação da revisão do mapa de riscos, bem como deliberação para reestruturação do comitê de compliance.
Informe Filiales: O item 0316 ("Objetivos e Indicadores") descreve a análise dos indicadores e das metas do programa de compliance da Decal Brasil. </t>
  </si>
  <si>
    <t>20.3.2 relatórios periódicos com dados e estatísticas sobre aplicação das principais políticas e procedimentos de integridade?  Se sim, informar os tipos de relatórios produzidos, o conteúdo neles abordado e os sistemas/softwares eventualmente utilizados.</t>
  </si>
  <si>
    <t xml:space="preserve">Informe Filiales. Trata-se de um informe realizado sobre o programa de compliance da Decal Brasil, para fins de atualização das informações à matriz estrangeira. O documento aborda tanto as políticas e procedimentos em vigor quanto a situação atual em relação à implementação daquelas políticas, um plano de ações, objetivos e indicadores e traz um repositório de evidências sobre o seu conteúdo. </t>
  </si>
  <si>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</si>
  <si>
    <t xml:space="preserve">Documento "Ata de Reunião do Conselho Consultivo em 3.6.2026": Demonstra a aprovação de alterações ao programa de compliance, com base em recomendações feitas por auditoria. 
Documento "Ata n. 09.2025 Compliance 17112025": Demonstra a revisão do mapa de riscos com base em denúncias recebidas. 
Documento "Ata compliance 24.01". Questão de violação de direito trabalhista, aplicação de medida disciplinar: "Vamos sugerir que a gestora dos contratos com terceiros, converse com os supervisores e façam uma reunião sobre o assunto, esclarecendo as diferenças existentes entre os cargos e sugerindo que as demandas sejam incluídas nas convenções coletivas de suas categorias"
Documento "Ata compliance 17.01". Questão de violação de direito trabalhista (benefícios), remediação de irregularidade: "Denúncia 20- a gestora de RH ( Nicolly) irá conversar com a colaboradora da Start para que ela siga as mesmas regras atuais dos demais colaboradores da Start. Paralelo a isso, será levantado os custos para que todos os colaboradores terceirizados tenham o direito de tomar café da manhã".
Documento "Aviso Rescisão - com trja": Demonstra a demissão por justa causa de colaborador que obstruiu o sistema de videiomonitoramento da empresa. </t>
  </si>
  <si>
    <t>Grupo: PROGRAMA DE INTEGRIDADE
Questão: Quando entende que seu programa de integridade foi formalmente instituído?
Alternativa: Em até 1 ano</t>
  </si>
  <si>
    <t>Distribuir 3,00 pontos para cada uma das questões (6): 
20.1
20.2.1
20.2.2
20.2.3
20.3.1
20.3.2</t>
  </si>
  <si>
    <t>XI</t>
  </si>
  <si>
    <t>Área XI - Responsabilidade Socioambiental e Transparência</t>
  </si>
  <si>
    <t>21. Responsabilidade Ambiental</t>
  </si>
  <si>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</si>
  <si>
    <t xml:space="preserve">Política de Gestão Integrada: "6. Preservação do Meio ambiente: A proteção do meio ambiente e prevenção da poluição deve ser uma preocupação de toda a empresa, sendo levada em consideração no planejamento, na execução de qualquer atividade que possa causar impactos adversos ao meio ambiente e engajando-se com a promoção do Desenvolvimento Sustentável;"
Plano de Gerenciamento de Resíduos Sólidos (PGRS): Documento como um todo. 
Plano de Prevenção e Controle de Derrame e Vazamentos: Documento como um todo.
Plano de educação ambiental dos trabalhadores: "2 - Objetivo Geral
Desenvolver processos educativos e informativos para capacitar continuamente a força de trabalho da Decal em questões ambientais relacionadas às suas tarefas e operações."
Inventário de emissão de gases de efeito estufa: Documento como um todo.  
</t>
  </si>
  <si>
    <t>Distribuir pontos para cada uma das questões (9): 
22.1 = 0,55
22.2 = 0,55
23.1 = 0,55
23.2.1 = 0,55
23.2.2 = 0,55
23.2.3 - 0,55
23.2.4 = 0,55
23.2.5 = 0,55
23.3 = 0,60</t>
  </si>
  <si>
    <t>21.2 A pessoa jurídica observa a legislação ambiental e mantém atualizadas as licenças ambientais exigidas para o exercício de suas atividades? Se sim, anexar documentos que comprovem o atendimento ao requisito.</t>
  </si>
  <si>
    <t xml:space="preserve">Certificação ISSO 14001.
Licença de Operação da CPRH Agência Estadual de Meio Ambiente.
Certificado de Regularidade do IBAMA
</t>
  </si>
  <si>
    <t>Distribuir  pontos para cada uma das questões (9): 
22.1 = 0,55
22.2 = 0,55
23.1 = 0,55
23.2.1 = 0,55
23.2.2 = 0,55
23.2.3 - 0,55
23.2.4 = 0,55
23.2.5 = 0,55
23.3 = 0,60</t>
  </si>
  <si>
    <t>22. Responsabilidade Social</t>
  </si>
  <si>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</si>
  <si>
    <t>Política de Gestão Integrada: "Diversidade e Inclusão:  Não toleramos posturas de desrespeito e desvalorização das diferenças. A Decal não é permissiva a situações de discriminação contra grupos sub-representados por gênero, orientação sexual, origem étnica/racial, nacionalidade, bagagem cultural, identidade e expressão de gênero, deficiência, faixa etária, religião, status econômico, modo de pensar, crença entre outros"
Jornal Decal Notícias, edição 48: "Por isso, nosso convite é contínuo: que possamos
refletir sobre nossas atitudes, rever  comportamentos, ouvir mais, julgar menos, e
aprender sempre. Que cada um de nós seja um agente de transformação, ajudando a construir um espaço onde todos tenham voz, vez e respeito."</t>
  </si>
  <si>
    <t>22.2 A pessoa jurídica possui políticas, procedimentos e atividades voltadas à proteção e à promoção dos direitos humanos no ambiente externo à organização?  Se sim, anexar a política ou procedimentos e relacionar as principais atividades realizadas nesse sentido.</t>
  </si>
  <si>
    <t xml:space="preserve">Compromissos Éticos entre Empresa e Contratado: Itens 4, 5, 6 e 7, os quais tratam de não discriminnação, prevenção ao assédio e à violência no trabalho, proteção aos menores e responsabilidade social. 
Princípios de Orientação aos Fornecedores: Contém itens sobre conformidade, trabalho infantil, trabalho forçado, abuso no ambiente de trabalho, discriminação e outros. 
</t>
  </si>
  <si>
    <t>23. Transparência</t>
  </si>
  <si>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</si>
  <si>
    <t>Página inicial: https://www.decalbrasil.com/&gt; Compliance 
https://www.decalbrasil.com/compliance/canal-de-etica/: "Com o objetivo de manter um ambiente corporativo integro e pautado em princípios éticos e em conformidade com a legislação, a Decal Brasil tem implantado um sistema de Compliance. Divulgamos a todos os interessados nosso código de conduta e ética, políticas de relacionamento com fornecedores e clientes, além do canal de denúncia, o qual é gerenciado por uma empresa independente e totalmente imparcial chamada Contato Seguro, que tem por objetivo aperfeiçoar os métodos de combate às desconformidades legais, éticas e regulamentares, sempre na busca de uma atuação íntegra por parte da empresa e dos colaboradores em suas relações mútuas ou com os terceiros, incluídos os entes da Administração Pública."
 https://www.decalbrasil.com/compliance/politicas/ &gt; Política de Gestão Integrada: "9. Conformidade e integridade: A Decal está comprometida em manter um sistema de gestão de compliance eficaz, assegurando a conformidade com as leis, código de ética, políticas e normas aplicáveis. Promovemos uma cultura de integridade e ética em todas as atividades, com transparência e responsabilidade, prevenindo, detectando e atuando sobre quaisquer desvios ou irregularidades".
A Decal não possui perfil em redes sociais.</t>
  </si>
  <si>
    <t>23.2 A pessoa jurídica disponibiliza em seu site institucional, em português, informações completas e atualizadas sobre:</t>
  </si>
  <si>
    <t>23.2.1 principais atividades exercidas? Se sim, indicar o link e descrever o caminho, desde a página inicial da entidade, em que tal informação é disponibilizada.</t>
  </si>
  <si>
    <t>Página inicial: https://www.decalbrasil.com/ &gt;Serviços (https://www.decalbrasil.com/servicos/)</t>
  </si>
  <si>
    <t>23.2.2 identificação de seus proprietários ou principais acionistas?  Se sim, indicar o link e descrever o caminho, desde a página inicial da entidade, em que tal informação é disponibilizada.</t>
  </si>
  <si>
    <t>A composição acionária é descrita ná página: https://www.decalbrasil.com/sobre/</t>
  </si>
  <si>
    <t>23.2.3 identificação e função de seus principais executivos e dirigentes? Se sim, indicar o link e descrever o caminho, desde a página inicial da entidade, em que tal informação é disponibilizada.</t>
  </si>
  <si>
    <t>23.2.4 os patrocínios e doações realizados ou a informação explícita de que não realiza tais ações?  Se sim, indicar o link e descrever o caminho, desde a página inicial da entidade, em que tal informação é disponibilizada.</t>
  </si>
  <si>
    <t>Página inicial: https://www.decalbrasil.com/ &gt; Responsabilidade Social (https://www.decalbrasil.com/sustentabilidade/responsabilidade-social/).</t>
  </si>
  <si>
    <t>23.2.5 as participações em licitações públicas e contratos firmados com a Administração Pública? Se sim, indicar o link e descrever o caminho, desde a página inicial da entidade, em que tal informação é disponibilizada.</t>
  </si>
  <si>
    <t>23.3 Existe uma seção específica no site da pessoa jurídica que reúna as informações sobre o programa de integridade? Se sim, indicar o link e descrever o caminho, desde a página inicial da entidade, em que tal informação é disponibilizada.</t>
  </si>
  <si>
    <t xml:space="preserve"> Página inicial: https://www.decalbrasil.com/ &gt;compliance&gt;políticas
(https://www.decalbrasil.com/compliance/politicas)</t>
  </si>
  <si>
    <t>XII</t>
  </si>
  <si>
    <t>Área XII - Medidas de Remediação adotadas em face dos atos que ensejaram a aplicação da sanção</t>
  </si>
  <si>
    <t>24. Ações adotadas em relação aos envolvidos no ilícito</t>
  </si>
  <si>
    <t>24.1 A pessoa jurídica aplicou as medidas disciplinares cabíveis em face dos ilícitos que ocasionaram sua inabilitação? Se sim, anexar documentos que comprovem essa informação e descrever que medidas foram aplicadas e os profissionais ou entidades alcançados.</t>
  </si>
  <si>
    <t>O Sr. Mariano Marcondes, única pessoa envolvida no suposto ato ilícito, antecipou-se à deliberação da companhia e solicitou formalmente o seu afastamento do Conselho Consultivo da Decal. A sua exclusão do Conselho Consultivo foi formalizada na "Ata de reunião de Sócios" realizada em 4.2.2017, antes da instauração do PAR.</t>
  </si>
  <si>
    <t>24.2 As medidas disciplinares:</t>
  </si>
  <si>
    <t>24.2.1 foram proporcionais à gravidade do ilícito praticado? Se sim, anexar documentos que comprovem essa informação e relacionar os atos praticados e as medidas disciplinares aplicadas.</t>
  </si>
  <si>
    <t xml:space="preserve">O Sr. Mariano Marcondes deixou de participar do Conselho Consultivo, o que demonstra a gravidade da medida. A sua exclusão do Conselho Consultivo foi formalizada na "Ata de reunião de Sócios" realizada em 4.2.2017. </t>
  </si>
  <si>
    <t>24.2.2 foram aplicadas a todos os envolvidos no ilícito, incluindo conforme o caso, empregados, administradores e terceiros? Se sim, anexar documentos que comprovem essa informação e relacionar os atos praticados e as medidas disciplinares aplicadas a cada envolvido, incluindo empregados, administradores e terceiros.</t>
  </si>
  <si>
    <t>O Sr. Mariano Marcondes foi o único envolvido no suposto ato ilícito, conforme reconhecido pela CGU e pelo Poder Judiciário. A sua exclusão do Conselho Consultivo foi formalizada na "Ata de reunião de Sócios" realizada em 4.2.2017. 
A ausência de participação de qualquer pessoa com poderes de gerência na Decal foi reconhecida no voto do Relator na ação criminal contra Mariano Marcondes, especificamente no trecho:
"Como não se sabe do envolvimento dos controladores da empresa DECAL no pagamento da propina, o que permitiria identificar a absorção e transferência dos custos da propina para o contrato firmado entre DECAL e PETROBRAS, a única conclusão possível é que MARIANO MARCONDES arcou com o custo das vantagens indevidas, diminuindo o seu próprio ganho."</t>
  </si>
  <si>
    <t>25. Ações adotadas para o aprimorar os instrumentos de prevenção de novas irregularidades</t>
  </si>
  <si>
    <t>25.1 A pessoa jurídica aprimorou ou estabeleceu novos procedimentos, normativos e/ou controles internos para evitar a recorrência dos ilícitos que ocasionaram a sua inabilitação?  Se sim, anexar documentos que comprovem essa informação e descrever os principais aprimoramentos realizados no ambiente de controle da entidade.</t>
  </si>
  <si>
    <t xml:space="preserve">Em fevereiro de 2017, logo após o afastamento do Sr. Mariano Marcondes, mas antes da instauração do PAR, a Decal solicitou à empresa PwC orçamento para a realização de um diagnóstico e a estruturação de um programa de compliance completo, além dos controles já existentes à época. O serviço foi efetivamente contratado, conforme se observa dos pedidos emitidos pela Price em meses subsequentes.
Foi produzido um documento denominado "Diagnóstico para Implementação de Programa de Integridade Anticorrupção DECAL Brasil". 
Os principais aprimoramentos decorrentes dessas atividades podem ser observados pela elaboração dos seguintes documentos: (i) Código de Conduta e Ética Empresarial; (ii) Compromissos Éticos entre Empresa e Contratado; e (iii) Política de Contratação de Terceirizados. 
</t>
  </si>
  <si>
    <t>25.2 Os procedimentos, normativos e controles internos implementados/aprimorados:</t>
  </si>
  <si>
    <t>25.2.1 atacam as causas da ocorrência dos ilícitos? Se sim, anexar documentos e/ou descrever a medida em que os procedimentos, normativos e controles implementados/aprimorados atacam as causas dos ilícitos.</t>
  </si>
  <si>
    <r>
      <t>O suposto ato ilícito teria sido cometido por Mariano Marcondes, com o intuito de obter vantagem, consistente no recebimento de comissão sobre contrato com a Petrobras por meio da sua empresa Firma Consultoria e Participações. 
Atualmente, a Política de Contratação de Terceirizados da Decal estabelece que "</t>
    </r>
    <r>
      <rPr>
        <i/>
        <sz val="10"/>
        <rFont val="Calibri"/>
        <family val="2"/>
      </rPr>
      <t>é indispensável que seja realizada também uma análise de Due Dilligence</t>
    </r>
    <r>
      <rPr>
        <sz val="10"/>
        <rFont val="Calibri"/>
        <family val="2"/>
      </rPr>
      <t>", bem como que o Código de Conduta e Ética Empresarial deve ser fornecido a todos os terceirizados, como era o caso da Firma Consultoria e Participações. 
Tanto a Política de Contratação de Terceirizados quanto o Código de Conduta e Ética Empresarial vedam a promessa ou o oferecimento de qualquer vantagem a agente público.</t>
    </r>
  </si>
  <si>
    <t>25.2.2 abrangem todos os ilícitos que ocasionaram a inabilitação? Se sim, anexar documentos e/ou relacionar os procedimentos, normativos e controles implementados/aprimorados com os ilícitos que geraram a inabilitação da entidade.</t>
  </si>
  <si>
    <t xml:space="preserve">O suposto ato ilícito teria consistido no oferecimento de vantagem indevida por Mariano Marcondes a funcionário da Petrobras. Como mencionado no item anterior, tanto o Código de Conduta e Ética Empresarial quanto a Política de Contratação de Terceirizados vedam esse tipo de comportamento. </t>
  </si>
  <si>
    <t>25.2.3 são adequados e suficientes para evitar a recorrência dos ilícitos que ocasionaram a inabilitação? Se sim, anexar documentos e/ou descrever a medida em que os procedimentos, normativos e controles implementados/aprimorados mitigam a possibilidade de recorrência dos ilícitos que geraram a inabilitação.</t>
  </si>
  <si>
    <r>
      <t xml:space="preserve">Além de vedarem a prática do suposto ato ilícito (oferecimento de vantagem indevida), os normativos preveem a realização de </t>
    </r>
    <r>
      <rPr>
        <i/>
        <sz val="10"/>
        <rFont val="Calibri"/>
        <family val="2"/>
      </rPr>
      <t xml:space="preserve">Due Dilligence </t>
    </r>
    <r>
      <rPr>
        <sz val="10"/>
        <rFont val="Calibri"/>
        <family val="2"/>
      </rPr>
      <t>antes da contratação de qualquer novo fornecedor, bem como que, se verificado algum apontamento, a contratação só poderá ser celebrada após autorização formal do Comitê de Compliance. Confira-se trecho da Política de Contratação de Terceirizados:
"Antes da contratação de qualquer empresa terceirizada (agentes públicos, ex-agentes públicos, órgãos regulamentares ou empresas privadas), é indispensável que seja realizada também uma análise de Due Dilligence (conforme Política de Due Dilligence). Caso seja identificado algum registro da empresa contratada nas pesquisas, sua contratação somente pode ser realizada mediante avaliação e aprovação formal do Comitê de Compliance com apresentação de justificativas formais. Em todos os contratos com empresas fornecedoras terceirizadas devem ser incluídas cláusulas de responsabilidade e adequação às Leis Anticorrupção. Assim como cláusula de aceitação ao código de ética (D.PC.01.S) "</t>
    </r>
  </si>
  <si>
    <t>25.3 A pessoa jurídica efetivamente aplicou os procedimentos, normativos e/ou controles internos que foram estabelecidos ou aprimorados com vistas a evitar a recorrência dos ilícitos que ocasionaram a sua inabilitação? Se sim, anexar documentos que comprovem essa informação e descrever as situações em que os procedimentos, normativos ou controles são aplicados.</t>
  </si>
  <si>
    <t>DADOS REFERENTES AO FORMULÁRIO DE CONFORMIDADE</t>
  </si>
  <si>
    <t>Áreas</t>
  </si>
  <si>
    <t>TOTAL</t>
  </si>
  <si>
    <t>Val Unit.</t>
  </si>
  <si>
    <t>Qtde Itens</t>
  </si>
  <si>
    <t>% total</t>
  </si>
  <si>
    <t>Pontos</t>
  </si>
  <si>
    <t>Grupos</t>
  </si>
  <si>
    <t>Questões</t>
  </si>
  <si>
    <t>% Pontuação Metodologia</t>
  </si>
  <si>
    <t>% Pró-Ética</t>
  </si>
  <si>
    <t>-</t>
  </si>
  <si>
    <t>Áreas Avaliadas</t>
  </si>
  <si>
    <t>Pontuação máxima</t>
  </si>
  <si>
    <t>Percentual mínimo</t>
  </si>
  <si>
    <t>Pontuação Atingida</t>
  </si>
  <si>
    <t>Percentual Antingido</t>
  </si>
  <si>
    <t>Questões QN1</t>
  </si>
  <si>
    <t>Questões QN4</t>
  </si>
  <si>
    <t>DescTituloPerguntaFormularioTipoAvaliacao</t>
  </si>
  <si>
    <t>IdBlocoFormularioTipoAvaliacao</t>
  </si>
  <si>
    <t>FlgAgrupadora</t>
  </si>
  <si>
    <t>FlgDistribuicaoValorRespostaNaoSeAplica</t>
  </si>
  <si>
    <t>FlgRespostaPossivelNaoSeAplica</t>
  </si>
  <si>
    <t>FlgRespostaPossivelParcialmente</t>
  </si>
  <si>
    <t>FlgRespostaPossivelSimNao</t>
  </si>
  <si>
    <t>FlgSolicitantePodeResponder</t>
  </si>
  <si>
    <t>NumOrdem</t>
  </si>
  <si>
    <t>ValFixoPontuacaoItem</t>
  </si>
  <si>
    <t>FlgEvidenciaObrigatoria</t>
  </si>
  <si>
    <t>FlgMedidaMinimaAdocaoProgramaIntegridade</t>
  </si>
  <si>
    <t>FlgObservacaoObrigatoria</t>
  </si>
  <si>
    <t>TxtInformacaoAdicional</t>
  </si>
  <si>
    <t>Evidências que comprovem que a pessoa jurídica possui critérios éticos, como políticas de seleção e procedimentos de contratação, para escolha de membros da alta direção.</t>
  </si>
  <si>
    <t>Evidências que comprovem a aplicação de critérios de integridade na escolha da alta direção, incluindo testes de integridade, background check, Know Your Employee - KYE, pesquisas em fontes abertas e análises de antecedentes sobre histórico profissional, práticas ilícitas e conduta ética.</t>
  </si>
  <si>
    <t>Evidências da adoção de norma formal que vincula a remuneração variável da alta direção ao cumprimento de metas relacionadas aos indicadores do programa de integridade.</t>
  </si>
  <si>
    <t>Evidências da participação da alta direção na aprovação de políticas do programa de integridade, como atas de reuniões, e-mails ou documentos que comprovem a criação ou atualização de políticas, estruturas e procedimentos, ou registros incluídos na própria política.</t>
  </si>
  <si>
    <t>Evidências da existência de um órgão colegiado responsável por tratar de temas do programa de integridade, como estatutos, regimentos, políticas internas e atas, demonstrando a participação ativa dos membros da alta direção nesse colegiado.</t>
  </si>
  <si>
    <t>Evidências que comprovem a supervisão da alta direção na implantação e aplicação do programa de integridade, como atas de reuniões, e-mails, apresentações feitas em reuniões, registros de frequência das ações de supervisão, relatórios assinados e documentos que demonstrem o acompanhamento das atividades do programa.</t>
  </si>
  <si>
    <t>Evidências de que a alta direção, de forma individualizada, reforça seu compromisso com a ética e a integridade, por meio de comunicados estratégicos em canais como e-mails, redes sociais, intranet, vídeos institucionais e comunicados internos e externos, demonstrando apoio ao programa de integridade.</t>
  </si>
  <si>
    <t/>
  </si>
  <si>
    <t>Evidências de que as declarações de apoio ao programa de integridade foram feitas por diferentes membros da alta direção e de forma periódica, reforçando o compromisso da liderança com a ética e a transparência.</t>
  </si>
  <si>
    <t>Evidências de mensagens claras da alta direção aos colaboradores, sociedade, mercado e stakeholders, reforçando o compromisso da pessoa jurídica no combate ao preconceito, discriminação e assédio em qualquer forma.</t>
  </si>
  <si>
    <t>Evidências que comprovem a elaboração de orçamento que destine recursos específicos para a área responsável pelo programa de integridade, antes de cada exercício, tais como: orçamento,  atas de reunião com aprovação orçamentária etc., que contemplem as despesas programadas para a área.</t>
  </si>
  <si>
    <t>Evidências sobre a existência de uma instância interna (seja uma área ou pessoa designada) responsável pela implementação, fiscalização e monitoramento contínuo do programa de integridade no Brasil, tais como: políticas, regimento interno, estatuto, job description etc. Não serão considerados órgãos colegiados (comitês, conselhos etc).</t>
  </si>
  <si>
    <t>Evidências documentais que descrevam explicitamente a área responsável pelo programa de integridade, com suas atribuições e responsabilidades detalhadas, tais como regimentos internos, estatuto social, regimentos, políticas e atas de reuniões que comprovem a criação, estrutura e funcionamento do setor, aprovado pela alta direção.</t>
  </si>
  <si>
    <t>Evidência como política ou procedimento que formalize tal estrutura, organograma da pessoa jurídica que demonstre a posição hierárquica e as linhas de reporte da área de integridade.</t>
  </si>
  <si>
    <t>Evidências que demonstrem o quantitativo de funcionários alocados na área de integridade, exclusiva ou parcialmente, correlacionando essa estrutura às atribuições previstas para a instância responsável pelo programa de integridade.</t>
  </si>
  <si>
    <t>Evidências como estatuto, política de integridade ou job description, que definem garantias da área responsável pelo programa de integridade, incluindo independência, acesso a informações, proteção contra punições arbitrárias e validade de decisões.</t>
  </si>
  <si>
    <t>Evidências como estatuto, política de integridade ou job description, que estabelecem a atuação direta ou supervisão da instância de integridade no fluxo de investigações e apurações.</t>
  </si>
  <si>
    <t>Evidências como normas ou planejamento da pessoa jurídica que detalham a gestão de riscos, incluindo responsáveis, fluxo de aprovação, monitoramento e revisões.</t>
  </si>
  <si>
    <t>Evidências como normas ou planejamento da pessoa jurídica que detalham revisões e a periodicidade mínima para atualização/revisão do processo de análise de riscos.</t>
  </si>
  <si>
    <t>Evidências como normas ou planejamento da pessoa jurídica que determina a área ou pessoa responsável pela gestão de riscos no âmbito do processo de análise de riscos.</t>
  </si>
  <si>
    <t>Evidências como normas, atas de reunião ou planejamento da pessoa jurídica que incluem e detalham revisões e aprovação, por parte da alta direção, na gestão dos riscos.</t>
  </si>
  <si>
    <t>Evidências da análise de riscos para integridade, relacionadas à corrupção e fraude, realizada pela própria pessoa jurídica ou por terceiros, como relatórios internos, matriz de risco, e relatórios de consultorias.</t>
  </si>
  <si>
    <t>Evidências como matriz de riscos e relatórios, que identificam e classificam riscos de integridade relacionados à participação em licitações e na execução de contratos administrativos</t>
  </si>
  <si>
    <t>Evidências como matriz de riscos e relatórios, que identificam e classificam riscos de integridade, avaliando sua probabilidade e impacto.</t>
  </si>
  <si>
    <t>Evidências como matriz de riscos e relatórios, com as medidas voltadas para a mitigação dos riscos identificados.</t>
  </si>
  <si>
    <t>Evidência baseada no Código de Ética e Conduta, ou documento equivalente, em língua portuguesa.</t>
  </si>
  <si>
    <t>Evidência que valide a aprovação da alta direção, como ata de reunião, aprovação ou mensagem constante no próprio Código.</t>
  </si>
  <si>
    <t>Evidência que destaque a seção e a página do Código de Ética e Conduta ou documento equivalente onde a ética e/ou integridade são mencionadas expressamente como princípios ou valores da pessoa jurídica.</t>
  </si>
  <si>
    <t>Evidência que indique a seção e a página do Código de Ética e Conduta ou documento equivalente onde constam vedações expressas à prática de atos de corrupção e fraude e a prevenção de conflitos de interesses, alinhados com a legislação anticorrupção brasileira.</t>
  </si>
  <si>
    <t>Evidência que destaque a seção e a página do Código de Ética e Conduta ou documento equivalente onde a pessoa jurídica reafirma seu compromisso contra o preconceito, a discriminação e o assédio em todas as suas relações.</t>
  </si>
  <si>
    <t>Evidência que indique a seção e a página do Código de Ética e Conduta ou documento equivalente onde se estabelecem as condutas permitidas e proibidas dentro da pessoa jurídica.</t>
  </si>
  <si>
    <t>Evidência que destaque a seção e a página do Código de Ética e Conduta ou documento equivalente que tratam das sanções aplicáveis a violações éticas ou legais, incluindo penalidades para membros da alta direção.</t>
  </si>
  <si>
    <t>Evidência que informe tanto o link de acesso quanto o caminho da página inicial do site da pessoa jurídica até o Código de Ética e Conduta ou documento equivalente. </t>
  </si>
  <si>
    <t>Evidência baseada no Código de Ética e Conduta aplicável a terceiros, ou documento equivalente, em língua portuguesa. Caso seja parte do Código de Ética geral, este deve conter regras específicas para terceiros (disposições genéricas não serão aceitas).</t>
  </si>
  <si>
    <t>Evidências como termos de ciência, contratos ou declarações assinadas por terceiros, confirmando a ciência e o compromisso com o Código de Ética e Conduta ou documento equivalente, incluindo atualizações.</t>
  </si>
  <si>
    <t>Evidência que indique a seção e a página de políticas, regras, orientações e/ou procedimentos que vedem expressamente a concessão de vantagens indevidas, econômicas ou não, a agentes públicos.</t>
  </si>
  <si>
    <t>Evidência que indique a seção e a página das políticas, regras, orientações ou procedimentos que regulem o oferecimento de presentes, brindes e hospitalidades (como refeições, entretenimento, viagens e hospedagem) a agentes públicos.</t>
  </si>
  <si>
    <t>Evidência que indique a seção e a página das políticas, regras, orientações ou procedimentos que tratem da prevenção de conflitos de interesse nas relações com a Administração Pública, incluindo contratações de agentes públicos e seus familiares.</t>
  </si>
  <si>
    <t>Evidência que indique a seção e a página das políticas, regras, orientações ou procedimentos que definam diretrizes e controles sobre reuniões, encontros e outras interações entre administradores ou empregados da pessoa jurídica e agentes públicos.</t>
  </si>
  <si>
    <t>Evidência que indique a seção e a página das políticas, regras, orientações ou procedimentos que abordem a realização de doações e patrocínios, ou que deixem claro que a pessoa jurídica não realiza essas atividades.</t>
  </si>
  <si>
    <t>Evidências como relatórios, atas de reuniões, e-mails, due diligence, medidas disciplinares aplicadas a empregados, contratos rescindidos e/ou multas aplicadas a terceiros, monitoramento dos canais de denúncias etc.</t>
  </si>
  <si>
    <t>Evidência que indique a seção e a página das políticas, regras, orientações ou procedimentos para prevenção de ilícitos em licitações e contratos administrativos.</t>
  </si>
  <si>
    <t>9.2 As política ou procedimentos:</t>
  </si>
  <si>
    <t>Evidência que indique a seção e a página das políticas, regras, orientações ou procedimentos que estabeleçam diretrizes claras sobre a conduta esperada dos empregados e terceiros, especificando ações permitidas e proibidas.</t>
  </si>
  <si>
    <t>Evidência que indique a seção e a página das políticas, regras, orientações ou procedimentos que indiquem expressamente os responsáveis pela autorização de medidas vinculadas à participação da pessoa jurídica em licitações e à gestão do contrato.</t>
  </si>
  <si>
    <t>Evidência que indique a seção e a página das políticas, regras, orientações ou procedimentos que estabeleçam a alternância dos responsáveis pela comunicação com agentes públicos nas licitações e na execução do contrato, considerando seu prazo de vigência.</t>
  </si>
  <si>
    <t>Evidência que indique a seção e a página das políticas, regras, orientações ou procedimentos que estabeleçam diretrizes para a relação da pessoa jurídica com concorrentes, prevenindo práticas anticoncorrenciais e coibindo fraudes em processos licitatórios.</t>
  </si>
  <si>
    <t>Exemplos de processos reais contendo: matriz de riscos, atas de reuniões, aprovações, e-mails e documentos da alta direção, que comprovem a aplicação das políticas de prevenção a ilícitos em licitações e contratos administrativos, incluindo ações implementadas e resultados para empregados e terceiros.</t>
  </si>
  <si>
    <t>Evidência que apresente o planejamento periódico das capacitações em integridade, especificando cronograma, temas, públicos-alvo, responsáveis e forma de execução.</t>
  </si>
  <si>
    <t>Evidências como listas de presença, materiais de estudo, links de treinamentos online ou registros de frequência que demonstrem a participação dos colaboradores em capacitações sobre o código de ética, canais de denúncia, política anticorrupção etc.</t>
  </si>
  <si>
    <t>10.3 A pessoa jurídica realizou, nos últimos 12 meses, treinamento(s) direcionado(s) a públicos específicos, abordando conteúdo alinhado aos principais riscos daqueles públicos, como prevenção de fraudes e ilícitos em licitações e contratos administrativos, controles contábeis e financeiros, realização de diligências para contratação e supervisão de terceiros? Se sim, anexar documentos e/ou indicar, no campo correspondente, link em que seja possível visualizar os treinamentos realizados e descrever as ocasiões, temas, carga horária e público alcançado.</t>
  </si>
  <si>
    <t>Evidências como listas de presença, materiais de estudo ou registros de frequência, que demonstrem treinamento direcionado a públicos expostos a riscos específicos, com temas relevantes para cada área, como licitações, controles financeiros e diligências em contratações etc.</t>
  </si>
  <si>
    <t>Evidências documentais, como relatórios ou históricos de treinamentos contendo dados estatísticos ou percentuais de participação, acompanhados de listas de presença para comprovação.</t>
  </si>
  <si>
    <t>Evidências documentais que estabeleçam o planejamento das ações de comunicação sobre integridade para o período avaliado, detalhando cronograma, temas, responsáveis, públicos-alvo e meios de divulgação.</t>
  </si>
  <si>
    <t>Evidências de comunicações internas destinadas à divulgação do Código de Ética, da política anticorrupção e canais de denúncia, por meio de e-mails, vídeos, cartazes, folders, registros de páginas da intranet etc, assegurando a identificação dos destinatários.</t>
  </si>
  <si>
    <t>Evidências de que as comunicações foram contínuas e frequentes, reforçando a cultura de integridade, adaptando-se ao mercado e à legislação anticorrupção, e não se limitando a ações sazonais.</t>
  </si>
  <si>
    <t>Evidências de políticas ou normas para controle interno que comprovem a existência de rotinas e atividades necessárias para efetuar registros: fluxogramas, dashboards, printscreen de sistemas, comunicações internas, troca de e-mails etc.</t>
  </si>
  <si>
    <t>Evidências de normas ou documentos que estabeleçam mecanismos e controles para registros contábeis que possam identificar “red flags”, prints de sistemas demostrando alertas para transações suspeitas, ainda durante o fechamento da contabilidade.</t>
  </si>
  <si>
    <t>Evidências de normas e/ou prints de sistemas que estabeleçam mecanismos e controles para verificação do cumprimento do objeto do contrato para realização do pagamento.</t>
  </si>
  <si>
    <t>13.1 A pessoa jurídica possui função de auditoria interna formalmente estabelecida, seja de forma direta ou terceirizada? Se sim, anexar oi estatuto ou documento que demonstre o estabelecimento da função de auditoria interna.</t>
  </si>
  <si>
    <t>Evidências de norma (política, regimento interno, estatuto social, organograma) formalmente aprovada que estabeleça a instituição de uma área de auditoria interna ou contrato vigente com pessoa jurídica terceirizada de auditoria interna.</t>
  </si>
  <si>
    <t>Evidências de norma (política, regimento interno, estatuto social, organograma) formalmente aprovada, ou contrato de audioria interna terceirizada, que estabeleçam o nível de reporte da área ou função de auditoria interna.</t>
  </si>
  <si>
    <t>Evidências que comprovem a estrutura, recursos e nível de acesso adequado para a auditoria interna, tais como: política, regimento interno, estatuto social, organogram, orçamento, atas de reunião etc.</t>
  </si>
  <si>
    <t>Evidências do último relatório anual de auditoria interna produzido, ou ata de reunião que comprove sua análise e aprovação.</t>
  </si>
  <si>
    <t>Evidências de tratamento das recomendações ou apontamentos emitidos pela função de auditoria interna, em que se constate, entre outros, o seu tempo médio de correção (print de sistemas, apresentações da área de auditoria interna, relatórios, atas de reuniões, plano de ação etc).</t>
  </si>
  <si>
    <t>Evidências de normas para identificar histórico de envolvimento em atos de corrupção ou fraude contra a Administração Pública, tanto por parte de pessoa jurídica terceira quanto de seus sócios.</t>
  </si>
  <si>
    <t>Evidências de normas para identificar histórico de registro em “listas sujas” de trabalho escravo ou em condições análogas às de escravo, tanto por parte de empresa terceira quanto de seus sócios.</t>
  </si>
  <si>
    <t>Evidências de normas para identificar histórico de envolvimento em crimes ambientais ou práticas nocivas ao meio ambiente, tanto por parte de empresa terceira quanto de seus sócios.</t>
  </si>
  <si>
    <t>Evidências de normas definindo medidas de mitigação a serem aplicadas no caso de contração de terceiros de alto risco.</t>
  </si>
  <si>
    <t>Exemplos de resultados de diligências na qual a pessoa jurídica demonstre que aplicou seus procedimentos de avaliação de parceiros de negócios, e o fluxo de deliberação sobre a contratação.</t>
  </si>
  <si>
    <t>Evidências de normas que exijam a utilização de cláusula anticorrupção e de cumprimento de normas éticas, trabalhistas e sociais nos contratos celebrados com terceiros.</t>
  </si>
  <si>
    <t>Evidências de normas que prevejam as penalidades ou rescisão do contrato por práticas de corrupção e descumprimento de normas normas éticas, trabalhistas e sociais, segundo a legislação vigente.</t>
  </si>
  <si>
    <t>Exemplos de contratos ou de trechos de contratos reais, que contemplem as medidas estabelecidas nas políticas e procedimentos anteriormente descritos, e que permitam identificar a pessoa jurídica como parte.</t>
  </si>
  <si>
    <t>Evidências de normas que prevejam a verificação do histórico de envolvimento das empresas envolvidas nas operações societárias corrupção, fraude ou violação de direitos humanos ou trabalhistas.</t>
  </si>
  <si>
    <t>Exemplos de relatórios, pareceres, comunicações internas, auditorias específicas etc, que comprovem as diligências para verificar o histórico de prática de atos de corrupção, fraude ou violação de direitos humanos ou trabalhistas nas empresas envolvidas.</t>
  </si>
  <si>
    <t>Evidências da existência de canais de denúncias, com link direto para a área do site e o caminho de navegação a partir da página inicial ou telefone, em português.</t>
  </si>
  <si>
    <t>Evidências da existência de canais de denúncias, operacionalizado por meio de formulário eletrônico, com link direto para a área do site e o caminho de navegação a partir da página inicial.</t>
  </si>
  <si>
    <t>Indicações expressas, no próprio Canal, sobre as garantias de proteção oferecidas aos denunciantes de boa-fé.</t>
  </si>
  <si>
    <t>Evidências da possibilidade de acompanhamento da apuração da denúncia pelo denunciante, inclusive com a disponibilização, no próprio canal, de campo específico para esse fim, tais como protocolo etc.</t>
  </si>
  <si>
    <t>Evidências de normas que estabeleçam o fluxo de tratamento e apuração das denúncias, bem como ações de remediação para casos de fraudes, corrupção ou violação de direitos humanos e trabalhistas.</t>
  </si>
  <si>
    <t>Evidências de normas que assegurem fluxo específico de apuração das denúncias no caso de envolvimento de membros da alta administração.</t>
  </si>
  <si>
    <t>Evidências de dados e estatísticas sobre denúncias registradas e exemplos de documentos reais de apurações e seus desdobramentos (relatórios, atas de reuniões, dashboards etc)</t>
  </si>
  <si>
    <t>Evidências de normas que indiquem as medidas disciplinares aplicáveis.</t>
  </si>
  <si>
    <t>Evidências de normas que correlacionem as infrações das normas da pessoa jurídica às medidas disciplinares previstas.</t>
  </si>
  <si>
    <t>Evidências de normas que visem garantir a aplicação de medidas cautelares para pronta interrupção de irregularidades, incluindo o afastamento de membros da alta administração suspeitos de envolvimento em atos de corrupção ou fraude.</t>
  </si>
  <si>
    <t>Evidências de normas que orientem a decisão sobre quando e como deve ser feito o encaminhamento às autoridades competentes de denúncias de irregularidades envolvendo funcionários, dirigentes, intermediários, fornecedores e prestadores de serviço.</t>
  </si>
  <si>
    <t>Exemplos de processos reais de apuração de denúncia e/ou de remediação de infração às normas da pessoa jurídica, preservando as informações sensíveis, mas de forma que permita a avaliação quanto aos procedimentos adotados, ou dashboards, relatórios, atas de reunião, relacionados a medidas disciplinares.</t>
  </si>
  <si>
    <t>Evidências de normas internas que estabeleçam regras para o monitoramento do programa de integridade.</t>
  </si>
  <si>
    <t>Evidências de normas internas que definam os responsáveis pelo monitoramento do programa de integridade.</t>
  </si>
  <si>
    <t>Evidências de normas internas que definam a periodicidade de monitoramento do programa de integridade.</t>
  </si>
  <si>
    <t>Evidências de normas internas que definam as instâncias para as quais os dados e as informações de monitoramento serão submetidos.</t>
  </si>
  <si>
    <t>Evidências em documentos, relatórios, dashboards ou apresentações, contendo os indicadores utilizados e as metas de desempenho definidas, evidenciando-se os resultados alcançados em cada período etc.</t>
  </si>
  <si>
    <t>Evidências da regularidade do monitoramento, como relatórios, registros históricos, prints de tela, dashboards, apresentações realizadas, atas de reuniões etc.</t>
  </si>
  <si>
    <t>Evidências do aperfeiçoamento do programa de integridade realizadas a partir do monitoramento, como pesquisas internas, relatórios, atas de reuniões e estudos que embasaram as ações e melhorias implementadas.</t>
  </si>
  <si>
    <t>Evidências de documentos formais, aprovados alta direção, que estabeleçam regras para gestão de resíduos, consumo de recursos naturais, emissão de poluentes e medidas de mitigação de impactos etc.</t>
  </si>
  <si>
    <t>Evidências de documentos que comprovem o cumprimento da legislação ambiental e a atualização das licenças ambientais as quais a pessoa jurídica está submetida.</t>
  </si>
  <si>
    <t>Evidências de documentos formais, aprovados alta direção, que estabeleçam regras para proteção e promoção dos direitos humanos em suas atividades e relações internas de trabalho.</t>
  </si>
  <si>
    <t>Evidências de documentos formais, aprovados alta direção, que estabeleçam regras para proteção e promoção dos direitos humanos no ambiente externo à organização.</t>
  </si>
  <si>
    <t>Apresentar link direto para a área do site que evidencie manifestação institucional do compromisso com a ética e a integridadee, e descrever o caminho de navegação a partir da página inicial.Evidências de mensagens disponibilizadas em mídias sociais.</t>
  </si>
  <si>
    <t>Apresentar link direto para a área do site que evidencie as principais atividades realizadas pela pessoa jurídica, e descrever o caminho de navegação a partir da página inicial.</t>
  </si>
  <si>
    <t>Apresentar link direto para a área do site que evidencie a identificação de seus proprietários ou principais acionistas, e descrever o caminho de navegação a partir da página inicial.</t>
  </si>
  <si>
    <t>Apresentar link direto para a área do site que evidencie  a identificação e função de seus executivos e dirigentes, incluindo membros do Conselho de Administração, e descrever o caminho de navegação a partir da página inicial.</t>
  </si>
  <si>
    <t>Apresentar link direto para a área do site que evidencie os patrocínios e doações realizados (beneficiário, objeto, data, forma de monitoramento), ou que informe a sua não realização, e descrever o caminho de navegação a partir da página inicial.</t>
  </si>
  <si>
    <t>Apresentar link direto para a área do site, que evidencie as participações em licitações (incluindo as não vencidas) e os contratos públicos firmados (partes, objeto, valor, prazo etc.), ainda que constem no Portal da Transparência, e descrever o caminho de navegação a partir da página inicial.</t>
  </si>
  <si>
    <t>Apresentar o link de acesso e o caminho desde a página inicial do site até a seção específica que contém as informações sobre o programa de integridade da pessoa jurídica.</t>
  </si>
  <si>
    <t>Check</t>
  </si>
  <si>
    <t>CONF</t>
  </si>
  <si>
    <t>SAMPI</t>
  </si>
  <si>
    <t>FORM</t>
  </si>
  <si>
    <t xml:space="preserve">Corrigido </t>
  </si>
  <si>
    <t>Informar o e-mail da área ou pessoa responsável pelo programa de integridade. Indicar e-mail institucional, evitando-se conta de uso pessoal. Este e-mail poderá ser utilizado pela CGU para dúvidas, informes, pedidos de esclarecimentos etc.</t>
  </si>
  <si>
    <t>Informar o nome do representante da pessoa jurídica para ser comunicado em relação à avaliação do programa de integridade</t>
  </si>
  <si>
    <t>EA2. Qual o porte da pessoa jurídica?</t>
  </si>
  <si>
    <t>Evidências de mensagens claras da alta direção aos colaboradores, sociedade, mercado e stakeholders, reforçando o compromisso da pessoa jurídica com a adoção de uma conduta ética, seguindo os ditames do programa de integridade.</t>
  </si>
  <si>
    <t>Corrigir</t>
  </si>
  <si>
    <t>EA5. Integra algum grupo econômico?</t>
  </si>
  <si>
    <t>EA6. Realizou, nos últimos 24 meses, operações societárias envolvendo outras pessoas jurídicas (Ex.:  fusão, incorporação etc.)?</t>
  </si>
  <si>
    <t>Ex.: data, tipo de operação, empresas envolvidas, ações relacionadas à operação, alterações na estrutura societária e de mercado das empresas envolvidas, aprovação pelos órgãos de fiscalização e de defesa econômica etc.</t>
  </si>
  <si>
    <t>Informar a quantidade de colaboradores que a empresa possui, incluindo funcionários, terceirizados, estagiários e aprendizes.</t>
  </si>
  <si>
    <t>IP1. A pessoa jurídica se submete à regulação de agência/órgão governamental?</t>
  </si>
  <si>
    <t>Selecionar a opção que se refere ao % que os contratos representam do faturamento total da pessoa jurídica. Caso não os possua, selecionar “0%”.</t>
  </si>
  <si>
    <t>IP6. Utiliza intermediários no contato com a Administração Pública para execução de contratos administrativos, obtenção de autorizações, licenças e permissões, protocolo de documentos, desembaraço aduaneiro etc.?</t>
  </si>
  <si>
    <t>IP7. A pessoa jurídica subcontratou atividades relacionadas à execução de contratos administrativos?</t>
  </si>
  <si>
    <r>
      <t xml:space="preserve">IP7. A </t>
    </r>
    <r>
      <rPr>
        <sz val="10"/>
        <color rgb="FF000000"/>
        <rFont val="Calibri"/>
        <family val="2"/>
      </rPr>
      <t>pessoa jurídica</t>
    </r>
    <r>
      <rPr>
        <sz val="10"/>
        <rFont val="Calibri"/>
        <family val="2"/>
      </rPr>
      <t xml:space="preserve"> subcontratou atividades relacionadas à execução de contratos administrativos?</t>
    </r>
  </si>
  <si>
    <t>DP1. A pessoa jurídica realizou patrocínios esportivos ou culturais, nos últimos 24 meses? </t>
  </si>
  <si>
    <t>DP2. A pessoa jurídica efetuou doações, nos últimos 24 meses? </t>
  </si>
  <si>
    <t>PS1. A atividade da pessoa jurídica envolve potencial de dano ao meio ambiente?</t>
  </si>
  <si>
    <t>PS1. 1 Apresentar justificativas por entender que não possui atividades que podem causar impactos ambientais:</t>
  </si>
  <si>
    <t>Explique os motivos que levaram a pessoa jurídica a concluir que suas atividades não geram impactos ambientais, tais como: localização, natureza das operações, uso mínimo de recursos naturais etc., e outras avaliações que fundamentem essa avaliação.</t>
  </si>
  <si>
    <t>Selecionar a opção que se refere ao tempo decorrido desde o ano de instituição do programa de integridade. Conforme a existência dos seguintes elementos básicos: Código de Ética/Conduta; Canal de Denúncias; e Área Específica ou Pessoa Responsável pelo programa.</t>
  </si>
  <si>
    <t>PI2. Descrever a estrutura da área de integridade, a sua posição hierárquica e o seu reporte com a alta direção e, no caso de empresa multinacional com programa global de integridade, com a área de integridade da matriz: </t>
  </si>
  <si>
    <t>Informar a quantidade de colaboradores com dedicação parcial ao programa de integridade, isto é, que desempenham funções em outras áreas (ex.: embaixadores de integridade lotados em regionais)</t>
  </si>
  <si>
    <t>PI5. Recebeu alguma denúncia relacionada com atos de fraude e corrupção, atos de desrespeito à legislação ambiental, preconceito, discriminação e assédio de qualquer natureza nos últimos 24 meses?</t>
  </si>
  <si>
    <t>PI6. Está sendo investigada ou é parte em processo administrativo ou judicial, ou já foi condenada, nos últimos 3 (três) anos, pela prática de atos de corrupção, improbidade administrativa e/ou fraudes em licitação?</t>
  </si>
  <si>
    <t>PI7. Algum membro da alta direção está sendo investigado ou é parte em processo administrativo ou judicial, ou já foi condenado, nos últimos 3 (três) anos, pela prática de atos de corrupção, improbidade administrativa e/ou fraudes em licitação?</t>
  </si>
  <si>
    <t>Evidências de normas e/ou prints de sistemas com perfis segregados por funções que estabeleçam separação de competências e a necessidade de aprovações/autorizações por diferentes níveis hierárquicos para realização de pagamentos e recebimentos, aprovação de relatórios e outras atividades.</t>
  </si>
  <si>
    <t>Evidências de normas que estabeleçam garantias de acesso irrestrito a documentos, sistemas e pessoas aos responsáveis pela apuração.</t>
  </si>
  <si>
    <t>NomBlocoFormularioTipoAvaliacao</t>
  </si>
  <si>
    <t>Soma de NumOrdem</t>
  </si>
  <si>
    <t>Soma de PctNotaMinima</t>
  </si>
  <si>
    <t>TxtVariavelCalculoPontoBloco</t>
  </si>
  <si>
    <t>Soma de ValNotaMaxima</t>
  </si>
  <si>
    <t>IdAreaFormularioTipoAvaliacao</t>
  </si>
  <si>
    <t>AI1</t>
  </si>
  <si>
    <t>AI2</t>
  </si>
  <si>
    <t>AI3</t>
  </si>
  <si>
    <t>AII4</t>
  </si>
  <si>
    <t>AII5</t>
  </si>
  <si>
    <t>AIII6</t>
  </si>
  <si>
    <t>AIV7</t>
  </si>
  <si>
    <t>AV8</t>
  </si>
  <si>
    <t>AV9</t>
  </si>
  <si>
    <t>AVI10</t>
  </si>
  <si>
    <t>AVI11</t>
  </si>
  <si>
    <t>AVII12</t>
  </si>
  <si>
    <t>AVII13</t>
  </si>
  <si>
    <t>AVIII14</t>
  </si>
  <si>
    <t>AVIII15</t>
  </si>
  <si>
    <t>AVIII16</t>
  </si>
  <si>
    <t>AIX17</t>
  </si>
  <si>
    <t>AIX18</t>
  </si>
  <si>
    <t>AIX19</t>
  </si>
  <si>
    <t>AX20</t>
  </si>
  <si>
    <t>AXI21</t>
  </si>
  <si>
    <t>AXI22</t>
  </si>
  <si>
    <t>AXI23</t>
  </si>
  <si>
    <t>Correções Realizadas</t>
  </si>
  <si>
    <t>Justificativa</t>
  </si>
  <si>
    <t xml:space="preserve">3.1 </t>
  </si>
  <si>
    <t>Colocar flag "Medida mínima" (QN1)</t>
  </si>
  <si>
    <t>7.3;
17.1; 
17.2.1</t>
  </si>
  <si>
    <t>Colocar flag "Campo de Observações preenchimento obrigatório", por tratarem-se de questões que a evidência é um link</t>
  </si>
  <si>
    <t>3.2.2
12.2
18.2.1</t>
  </si>
  <si>
    <t>Correção textual de tooltip</t>
  </si>
  <si>
    <t>4.2
16.2
20.2.2</t>
  </si>
  <si>
    <t xml:space="preserve">Colocar flag "Evidência obrigatória" </t>
  </si>
  <si>
    <t>NomAreaFormularioTipoAvaliacao</t>
  </si>
  <si>
    <t>TxtFormulaCalculoPontoBloco</t>
  </si>
  <si>
    <t>ValNotaMaxima</t>
  </si>
  <si>
    <t>Área I - Comprometimento da Alta Direção da Pessoa Jurídica</t>
  </si>
  <si>
    <t>AI1+AI2+AI3</t>
  </si>
  <si>
    <t>ÁREA II - INSTÂNCIA INTERNA RESPONSÁVEL PELA APLICAÇÃO DO PROGRAMA DE INTEGRIDADE</t>
  </si>
  <si>
    <t>AII4+AII5</t>
  </si>
  <si>
    <t>ÁREA III - GESTÃO DE RISCOS PARA INTEGRIDADE</t>
  </si>
  <si>
    <t>AV8+AV9</t>
  </si>
  <si>
    <t>AVI10+AVI11</t>
  </si>
  <si>
    <t>AVII12+AVII13</t>
  </si>
  <si>
    <t>AVIII14+AVIII15+AVIII16</t>
  </si>
  <si>
    <t>AIX17+AIX18+AIX19</t>
  </si>
  <si>
    <t>AXI21+AXI22+AXI23</t>
  </si>
  <si>
    <t>IdGrupoFormularioTipoAvaliacao</t>
  </si>
  <si>
    <t>NomQuestaoFormularioTipoAvaliacao</t>
  </si>
  <si>
    <t>TpQuestaoFormularioTipoAvaliacao</t>
  </si>
  <si>
    <t>TpMascara</t>
  </si>
  <si>
    <t>FlgObrigatorio</t>
  </si>
  <si>
    <t>IdOpcaoQuestaoFormularioTipoAvaliacaoCondicionante</t>
  </si>
  <si>
    <t>TEXTO_LONGO</t>
  </si>
  <si>
    <t>TEXTO</t>
  </si>
  <si>
    <t>LISTA</t>
  </si>
  <si>
    <t>SIM_NAO</t>
  </si>
  <si>
    <t>NUMERO</t>
  </si>
  <si>
    <t xml:space="preserve">
Médio
</t>
  </si>
  <si>
    <t>&gt; R$ 90 milhões e &lt;= R$ 300 milhões</t>
  </si>
  <si>
    <t xml:space="preserve">Cada empresa do grupo possui seu próprio programa de integridade. </t>
  </si>
  <si>
    <t>Entre 61% e 80%</t>
  </si>
  <si>
    <t>1% a 20%</t>
  </si>
  <si>
    <t>Pinheiro Neto - advogados consultores perante a CGU - Processo de reabilitação pena inidoineidade 
Urbano Vitalino e Pinheiro Neto -  consultoria juridica  - Defesa e Acompanhamento Ação Civil Publica Nº 0800384-04.2024.4.05.8312
Urbano Vitalino - consultoria juridica - PAR 00190.105349/2020-07
Lins e Neves advogados e 4 Infra - consultoria tecnica EVTEA - Porto de Suape e ANTAQ</t>
  </si>
  <si>
    <r>
      <t>O Administrador Geral da Decal, Agerbon C. Nobrega Filho, expressa o compromisso da Decal com a diversidade e inclusão por meio da  Política de Gestão Integrada da Decal, na qual afirma que "</t>
    </r>
    <r>
      <rPr>
        <i/>
        <sz val="10"/>
        <color rgb="FF000000"/>
        <rFont val="Calibri"/>
        <family val="2"/>
      </rPr>
      <t>não toleramos posturas de desrespeito e desvalorização das diferenças. A Decal não é permissiva a situações de discriminação contra grupos sub-representados por gênero, orientação sexual, origem étnica/racial, nacionalidade, bagagem cultural, identidade e expressão de gênero, deficiência, faixa etária, religião, status econômico, modo de pensar, crença entre outros</t>
    </r>
    <r>
      <rPr>
        <sz val="10"/>
        <color rgb="FF000000"/>
        <rFont val="Calibri"/>
        <family val="2"/>
      </rPr>
      <t>". A política encontra-se disponível publicamente no website da Decal, no endereço https://www.decalbrasil.com/compliance/politicas/ &gt; Polítcia de Gestão Integrada. 
O  vídeo institucional publicado na página da Decal na internet reforça o compromisso de combater o assédio de qualquer natureza. Disponível em: https://www.decalbrasil.com/video-institucional/</t>
    </r>
  </si>
  <si>
    <r>
      <t>A Decal possui Comitê de Compliance. A Política de Regimento Interno do Comitê de Compliance define, em seu item 5, "c", que: "</t>
    </r>
    <r>
      <rPr>
        <i/>
        <sz val="10"/>
        <rFont val="Calibri"/>
        <family val="2"/>
      </rPr>
      <t>Compete ao Comitê de Compliance da Decal Brasil: [...] c) Apurar, deliberar e decidir, em única e última instância, a acerca das condutas potencialmente violadoras das leis brasileira, do Código de Conduta e Ética e das políticas do programa de Compliance, praticadas por seus  empregados, executivos, colaboradores, fornecedores e clientes".</t>
    </r>
    <r>
      <rPr>
        <sz val="10"/>
        <rFont val="Calibri"/>
        <family val="2"/>
      </rPr>
      <t xml:space="preserve">
O Comitê de Compliance foi criado em 1º.3.2018, conforme o documento "Ata de reunião do conselho consultivo realizada em 01.03.18".
O documento "Ata Conselho Consultivo em 06.03.25" demonstra a nomeação da atual composição dos membros do Comitê de Compliance da Decal. 
O currículo da Sra. Érica Lima, atual presidente do Comitê de Compliance está disponibilizado. </t>
    </r>
  </si>
  <si>
    <t>Agência Nacional de Petróleo (ANP); ANTAQ - Agencia Nacional Transporte Aquaviário; IBAMA; CPRH; Polícia Federal; Receita Federal; Bombeiros; Vigilância Sanitária.</t>
  </si>
  <si>
    <r>
      <t>O Código de Conduta e Ética Empresarial da Decal é aplicável também a terceiros e está disponível publicamente em português. 
Nos termos do Código de Conduta e Ética Empresarial, "e</t>
    </r>
    <r>
      <rPr>
        <i/>
        <sz val="10"/>
        <color rgb="FF000000"/>
        <rFont val="Calibri"/>
        <family val="2"/>
      </rPr>
      <t>ste código define o conjunto de direitos, deveres e responsabilidades que o Grupo Decal assume expressamente em relação a todas as partes interessadas (executivos, funcionários, fornecedores, clientes e profissionais externos) com os quais a Decal Brasil interage no desenvolvimento de sua atividade</t>
    </r>
    <r>
      <rPr>
        <sz val="10"/>
        <color rgb="FF000000"/>
        <rFont val="Calibri"/>
        <family val="2"/>
      </rPr>
      <t xml:space="preserve">" (ref. D.PC.01.S - Código de Conduta e Ética Empresarial, página 2). Caminho de acesso: Página inicial (https://www.decalbrasil.com/) &gt; Compliance &gt; Políticas (https://www.decalbrasil.com/compliance/politicas/) &gt; Código de Conduta e Ética Empresarial (https://stodecalbrsite.blob.core.windows.net/sgi/CodigoCondutaEtica.pdf).
Adicionalmente, a Decal possui o documento “Princípios de Orientação aos Fornecedores”, que estabelece diretrizes específicas de ética, integridade e conduta aplicáveis aos fornecedores da Decal, complementando as disposições gerais do Código de Conduta e Ética Empresarial (disponível no mesmo link acima). </t>
    </r>
  </si>
  <si>
    <r>
      <t>As políticas e os procedimentos de integridade da Decal vedam expressamente a concessão, oferta ou promessa de vantagens indevidas, econômicas ou de qualquer outra natureza, inclusive a agentes públicos.
Nos termos do Código de Conduta e Ética Empresarial, na (i) Seção 10. Relações com a Decal Brasil, "</t>
    </r>
    <r>
      <rPr>
        <i/>
        <sz val="10"/>
        <color rgb="FF000000"/>
        <rFont val="Calibri"/>
        <family val="2"/>
      </rPr>
      <t>os empregados da Decal Brasil comprometem-se a: [...] Não aceitar, receber, oferecer ou prometer qualquer tipo de favor, vantagem, doação ou benefício a outro empregado da Decal Brasil que configure ato ilícito, desleal, ímprobo ou incorreto</t>
    </r>
    <r>
      <rPr>
        <sz val="10"/>
        <color rgb="FF000000"/>
        <rFont val="Calibri"/>
        <family val="2"/>
      </rPr>
      <t>" (ref. D.PC.01.S - Código de Conduta e Ética Empresarial, página 7); e (ii) na Seção 11. Relações com Fornecedores, Prestadores de Serviços, Agências Reguladoras, Agentes Públicos, Ex-Agentes Públicos e Clientes, "</t>
    </r>
    <r>
      <rPr>
        <i/>
        <sz val="10"/>
        <color rgb="FF000000"/>
        <rFont val="Calibri"/>
        <family val="2"/>
      </rPr>
      <t>A Decal Brasil compromete-se a:VII. Garantir o cumprimento da lei anticorrupção (Lei nº 12.846/13) em todas as relações comerciais da Decal. VIII. Constituem atos lesivos [...] Constituem atos lesivos à administração pública, nacional ou estrangeira os seguintes atos: a. Prometer, oferecer ou dar direta ou indiretamente, vantagem indevida a agente público, ou a terceira pessoa a ele relacionada</t>
    </r>
    <r>
      <rPr>
        <sz val="10"/>
        <color rgb="FF000000"/>
        <rFont val="Calibri"/>
        <family val="2"/>
      </rPr>
      <t>"(ref. D.PC.01.S - Código de Conduta e Ética Empresarial, página 8)
Adicionalmente, a vedação à concessão de vantagens indevidas também é tratada de forma específica na Política Anticorrupção da Decal, em sua Seção 2. Corrupção Pública, Privada e Internacional, que estabelece diretrizes voltadas à prevenção e ao combate a práticas de corrupção (ref. D.PC.16.S - Anticorrupção, página 3).
Por fim, a Decal possui política específica para a prevenção de ilícitos em licitações e contratos admiistrativos (documento "Política de Integridade e Prevenção de Ilícitos em Licitações, Contratos Administrativos e Relacionamento com Órgãos Públicos").</t>
    </r>
  </si>
  <si>
    <r>
      <t>D.PC.16.S - ANTICORRUPÇÃO, página 4, seção 2.2 – Planilha de transparência: "</t>
    </r>
    <r>
      <rPr>
        <i/>
        <sz val="10"/>
        <color rgb="FF000000"/>
        <rFont val="Calibri"/>
        <family val="2"/>
      </rPr>
      <t>Qualquer brinde, vantagem, patrocínio ou hospitalidade institucional a ser oferecido e/ou recebido de agente público, ex-agente público, órgão da administração direta ou indireta, ou terceiro influenciador, deve ser previamente analisado e autorizado pelo Comitê de Compliance. Além da aprovação do Comitê, o beneficiário é responsável por registrar o recebimento na Planilha de Transparência da DECAL Brasil</t>
    </r>
    <r>
      <rPr>
        <sz val="10"/>
        <color rgb="FF000000"/>
        <rFont val="Calibri"/>
        <family val="2"/>
      </rPr>
      <t>".
Além disso, na D.PC.05.S - POLÍTICA DE CONTRATAÇÃO DE TERCEIRIZADOS, seção 4.6. Regras para concessão de hospitalidade, brindes, patrocínio e participação em eventos (página 5), está disposto que: "</t>
    </r>
    <r>
      <rPr>
        <b/>
        <i/>
        <sz val="10"/>
        <color rgb="FF000000"/>
        <rFont val="Calibri"/>
        <family val="2"/>
      </rPr>
      <t>É terminantemente vedado</t>
    </r>
    <r>
      <rPr>
        <i/>
        <sz val="10"/>
        <color rgb="FF000000"/>
        <rFont val="Calibri"/>
        <family val="2"/>
      </rPr>
      <t xml:space="preserve"> oferecer, receber ou prometer brindes, presentes, patrocínios, hospitalidade, participação em eventos ou qualquer outra vantagem a agentes públicos, ex-agentes, empresas privadas, órgãos da administração direta ou indireta ou terceiros
influenciadores, em troca de favorecimento pessoal ou ilícito ao ofertante ou licitante§ 1º -
</t>
    </r>
    <r>
      <rPr>
        <b/>
        <i/>
        <sz val="10"/>
        <color rgb="FF000000"/>
        <rFont val="Calibri"/>
        <family val="2"/>
      </rPr>
      <t xml:space="preserve">Excetua-se a proibição do caput se:  </t>
    </r>
    <r>
      <rPr>
        <i/>
        <sz val="10"/>
        <color rgb="FF000000"/>
        <rFont val="Calibri"/>
        <family val="2"/>
      </rPr>
      <t>O valor do brinde ou da vantagem não ultrapassar o valor estabelecido pela Comissão de Ética Pública (CEP) ou pelo Código de Conduta da Alta Administração Federal (CCAAF);
O valor da hospitalidade estiver de acordo com os padrões locais para as relações comerciais.
§ 2º Todo brinde, vantagem, patrocínio ou hospitalidade institucional a ser dado e/ou recebido
a/de um agente público, ex-agente público, órgão da administração direta ou indireta ou terceiro influenciador deve ser previamente analisado e autorizado pelo Comitê de Compliance. Adicionalmente à aprovação do comitê, o beneficiário é responsável por  registrar o recebimento na planilha de transparência da DECAL Brasil</t>
    </r>
    <r>
      <rPr>
        <sz val="10"/>
        <color rgb="FF000000"/>
        <rFont val="Calibri"/>
        <family val="2"/>
      </rPr>
      <t>".
Por fim, a Decal possui política específica para a prevenção de ilícitos em licitações e contratos admiistrativos (documento "Política de Integridade e Prevenção de Ilícitos em Licitações, Contratos Administrativos e Relacionamento com Órgãos Públicos").</t>
    </r>
  </si>
  <si>
    <t xml:space="preserve">A Política de Relacionamento com Clientes da Decal estabelece orientações e controles específicos aplicáveis às interações entre administradores e empregados da Companhia e agentes públicos.
Inicialmente, a Política determina que as negociações com clientes sejam realizadas, preferencialmente, por mais de um representante da Decal. Caso isso não seja possível, deve haver a presença de mais de um representante do cliente, e os resultados da reunião devem ser formalizados e encaminhados à Administração da Decal Brasil ou ao Grupo Decal. Esse procedimento estabelece controles voltados à transparência e ao registro das interações mantidas no âmbito das relações comerciais (ref. D.PC.08.S - Política de Relacionamento com Clientes, item 4.1.1, página 3). Além disso, antes do início da prestação dos serviços, a Decal realiza avaliação prévia do cliente para identificar sua classificação, inclusive como agente público, ex-agente público, órgão regulador, empresa pública ou empresa privada. Caso o cliente seja classificado como agente público, ex-agente público, órgão regulador ou empresa pública, a Gerência Geral deve comunicar formalmente esse vínculo ao Comitê de Compliance antes do início da prestação dos serviços (ref. D.PC.08.S - Política de Relacionamento com Clientes, item 4.1.2, página 4).
A Política também determina que, antes do início da prestação dos serviços, o Comitê de Compliance e a equipe administrativa assegurem que todos os colaboradores envolvidos direta ou indiretamente na prestação tenham acesso às regras de compliance aplicáveis pelo cliente, quando existentes, de modo a garantir a observância das regras mais restritivas pertinentes à relação (ref. D.PC.08.S - Política de Relacionamento com Clientes, item 4.1.3, página 6).
Adicionalmente, são previstos controles específicos para operações envolvendo recebimentos adicionais ou concessão de descontos a agentes públicos, ex-agentes públicos, órgãos reguladores e empresas públicas. Nos casos de cobranças ou descontos em valores divergentes daqueles estabelecidos contratualmente, quando a diferença exceder 0,5% do valor contratual, a operação deve ser comunicada ao Comitê de Compliance da Decal Brasil (ref. D.PC.08.S - Política de Relacionamento com Clientes, item 4.1.6, página 7).
Por fim, a Política estabelece regras específicas para concessão de hospitalidades, brindes, patrocínios e participação em eventos envolvendo agentes públicos, ex-agentes públicos, órgãos reguladores ou clientes (ref. D.PC.08.S - Política de Relacionamento com Clientes, item 4.2, página 7).
A "Política de Integridade e Prevenção de Ilícitos em Licitações, Contratos Administrativos e Relacionamento com Órgãos Públicos" prevê, em seu item 6.3, orientações para a participação em reuniões com agentes públicos. </t>
  </si>
  <si>
    <t xml:space="preserve">A rotação periódica é prevista no item 6.8 da "Política de Integridade e Prevenção de Ilícitos em Licitações, Contratos Administrativos e Relacionamento com Órgãos Públicos". </t>
  </si>
  <si>
    <t>Todos os novos colaboradores são submetidos ao treinamento de Integração Compliance. Os certificados de finalização do curso dos colaboradores estão anexos.
Além disso, a Semana da Integridade, iniciativa destinada ao fortalecimento da cultura de ética, integridade e transparência, teve como público-alvo todos os colaboradores da Companhia.</t>
  </si>
  <si>
    <t>Exemplos ações de comunicação voltadas à divulgação dos aspectos gerais do programa de integridade são os documentos as edições 48, 49 e 50 da “Decal Notícias”.</t>
  </si>
  <si>
    <t>A página 11 do Código de Conduta e Ética Empresarial define as possíveis medidas disciplinares como:
I. Reprimenda verbal;
II. Advertência por escrito;
III. Suspensão do trabalho e de salário;
IV. Demissão do contrato de trabalho por justa causa.</t>
  </si>
  <si>
    <t>As informações podem ser encontradas no site da Decal Brasil: https://www.decalbrasil.com/sobre/
https://www.decalbrasil.com&gt; Institucional &gt; Sobre a Decal Brasil.</t>
  </si>
  <si>
    <t xml:space="preserve">A Decal não participa de licitações públicas e não possui contratos públicos em vigência justamente por causa da pena de declaração de inidoneidade. Sendo assim, pedimos que o item seja avaliado como atendido. </t>
  </si>
  <si>
    <r>
      <t xml:space="preserve">O anexo formulário de Cadastro e Homologação de Fornecedores referente ao fornecedor MT4 Tecnologia Ltda. demonstra a adoção dos cuidados acima. Como se pode observar do formulário, houve </t>
    </r>
    <r>
      <rPr>
        <i/>
        <sz val="10"/>
        <rFont val="Calibri"/>
        <family val="2"/>
      </rPr>
      <t xml:space="preserve">Due Dilligence </t>
    </r>
    <r>
      <rPr>
        <sz val="10"/>
        <rFont val="Calibri"/>
        <family val="2"/>
      </rPr>
      <t xml:space="preserve">e foi verificado que o fornecedor possuía ciência do Código de Conduta e Ética Empresarial da Decal. O formulário também indica a realização de pesquisas nos cadastros CEIS e CNEP, bem como contém a informação se sócios ou administradores são pessoas politicamente expostas.
Além disso, na pasta "Homologação Fornecedor", são oferecidos vários outros exemplos de fornecedores que foram homologados após as mesmas cautelas descritas acima. </t>
    </r>
  </si>
  <si>
    <t xml:space="preserve">O anexo formulário de Cadastro e Homologação de Fornecedores referente ao fornecedor MT4 Tecnologia Ltda. demonstra a adoção dos cuidados acima. Como se pode observar do formulário, houve Due Diligence e foi verificado que o fornecedor possuía ciência do Código de Conduta e Ética Empresarial da Decal. O formulário também indica a realização de pesquisas nos cadastros CEIS e CNEP.
Além disso, na pasta "Homologação Fornecedor", são oferecidos vários outros exemplos de fornecedores que foram homologados após as mesmas cautelas descritas acima. </t>
  </si>
  <si>
    <r>
      <t xml:space="preserve">
A Decal adota mecanismos formais para assegurar que terceiros tenham ciência do conteúdo do Código de Conduta e Ética Empresarial e, conforme aplicável, assumam expressamente o compromisso de observá-lo.
No caso de funcionários terceirizados, a  Política de Contratação de Terceirizados estabelece  que"</t>
    </r>
    <r>
      <rPr>
        <i/>
        <sz val="10"/>
        <color rgb="FF000000"/>
        <rFont val="Calibri"/>
      </rPr>
      <t>I. É indispensável a comunicação e divulgação do Código de Conduta e Ética Empresarial da DECAL Brasil para todos os funcionários terceirizados. II. Todos os funcionários terceirizados devem, no momento da contratação, assinar o Termo de Ciência do Código de Conduta e Ética Empresarial (Anexo I), confirmando o conhecimento de todas as regras de conduta e ética da DECAL Brasil. III. São aplicadas a todos os funcionários terceirizados todas as sanções administrativas em caso de descumprimento das normas conforme o Código de Conduta e Ética Empresarial da DECAL Brasil</t>
    </r>
    <r>
      <rPr>
        <sz val="10"/>
        <color rgb="FF000000"/>
        <rFont val="Calibri"/>
      </rPr>
      <t>" (ref. D.PC.05.S - Política de Contratação de Terceirizados, página 3).
Em relação aos fornecedores, a Política de Relacionamento com Fornecedores determina que "e</t>
    </r>
    <r>
      <rPr>
        <i/>
        <sz val="10"/>
        <color rgb="FF000000"/>
        <rFont val="Calibri"/>
      </rPr>
      <t>m todos os contratos com empresas fornecedoras de materiais devem ser incluídas cláusulas de responsabilidade e adequação à Lei Anticorrupção Nº 12.846/2013. Assim como cláusula de aceitação ao código de ética (D.PC.01.S</t>
    </r>
    <r>
      <rPr>
        <sz val="10"/>
        <color rgb="FF000000"/>
        <rFont val="Calibri"/>
      </rPr>
      <t>)" (ref. D.PC.09.S  - Política de Relacionamento com Fornecedores, página 3).
Da mesma forma, a Política de Relacionamento com Clientes estabelece que "</t>
    </r>
    <r>
      <rPr>
        <i/>
        <sz val="10"/>
        <color rgb="FF000000"/>
        <rFont val="Calibri"/>
      </rPr>
      <t>V. O contrato de prestação de serviço deverá prever clausulas de aceitação ao código de ética (D.PC.01.S) e a de responsabilidade e adequação a lei de anticorrupção nº 12.846/2013</t>
    </r>
    <r>
      <rPr>
        <sz val="10"/>
        <color rgb="FF000000"/>
        <rFont val="Calibri"/>
      </rPr>
      <t xml:space="preserve">" (ref. D.PC.08.S -  Política de Relacionamento com Clientes, página 4).
Como exemplos práticos, no procedimento de Cadastro e Homologação de Fornecedores, os fornecedores devem confirmar a ciência do recebimento do Código de Conduta e Ética Empresarial, conforme evidenciado no documento “item 7.5 F.GS.01.10.S - Cadastro e Homologação de Fornecedores.doc”. Adicionalmente, todas as compras realizadas pela Decal dependem da emissão e aprovação de Pedido de Compra. Nesse documento consta expressamente o compromisso do fornecedor de cumprir com os princípios e valores estabelecidos no Código de Ética da Decal Brasil, com indicação de link para acesso ao documento, como evidenciado no documento “item 7.5 pedido hsbs”.
Além disso, na pasta "Homologação Fornecedor", são oferecidos vários outros exemplos de fornecedores que tiveram que anuir aos princípios de ética da Decal para que pudessem ter seus cadastros homologados pela empresa. Em cada pedido de faturamento emitido por fornecedor, há também a necessidade de marcar campo específico para essa finalidade. 
</t>
    </r>
  </si>
  <si>
    <r>
      <t>Os membros da Alta Direção manifestam publicamente apoio ao programa de integridade.
O Administrador Geral, Agerbon C. Nobrega Filho, formaliza esse compromisso por meio da Política de Gestão Integrada da Decal, na qual afirma que "a</t>
    </r>
    <r>
      <rPr>
        <i/>
        <sz val="10"/>
        <color rgb="FF000000"/>
        <rFont val="Calibri"/>
        <family val="2"/>
      </rPr>
      <t xml:space="preserve"> Decal está comprometida em manter um sistema de gestão de compliance eficaz, assegurando a conformidade com as leis, código de ética, políticas e normas aplicáveis. Promovemos uma cultura de integridade e ética em todas as atividades, com transparência e responsabilidade, prevenindo, detectando e atuando sobre quaisquer desvios ou irregularidades</t>
    </r>
    <r>
      <rPr>
        <sz val="10"/>
        <color rgb="FF000000"/>
        <rFont val="Calibri"/>
        <family val="2"/>
      </rPr>
      <t xml:space="preserve">". A política encontra-se disponível publicamente no website da Decal, no endereço https://www.decalbrasil.com/compliance/politicas/ &gt; Polítcia de Gestão Integrada. 
O Sr. Agérbon Nóbrega também publicou, em 27.8.2026, mensagem na intranet da empresa divulgando o lançamento do novo canal de ética da Decal.
Além disso, o Presidente do Conselho Consultivo também manifesta publicamente seu compromisso no Código de Conduta e Ética Empresarial da Decal. No documento, ressalta que: "a </t>
    </r>
    <r>
      <rPr>
        <i/>
        <sz val="10"/>
        <color rgb="FF000000"/>
        <rFont val="Calibri"/>
        <family val="2"/>
      </rPr>
      <t>ética, credibilidade e reputação são valores inestimáveis para uma grande empresa internacional que opera em um cenário cultural, político e econômico que é diversificado e sempre em constante evolução. A Decal considera fundamental expressar claramente e com convicção seus valores e responsabilidades em suas relações com o mercado, comunidades locais, administrações públicas, além de todos os profissionais que trabalham na empresa, bem como todos os outros agentes interessados que reivindicam um interesse legítimo na Decal. Tentamos expressar nossa crença no presente no Código de Conduta e Ética Empresarial com convicção e entusiasmo</t>
    </r>
    <r>
      <rPr>
        <sz val="10"/>
        <color rgb="FF000000"/>
        <rFont val="Calibri"/>
        <family val="2"/>
      </rPr>
      <t xml:space="preserve">". A política encontra-se disponível publicamente no website da Decal, no endereço https://www.decalbrasil.com/compliance/politicas/ &gt; Código de Conduta e Ética Empresarial.
O compromisso da alta direção com o programa de integridade é, ainda, reforçado no vídeo institucional publicado na página da Decal na internet, disponível em: https://www.decalbrasil.com/video-institucional/
É anexada uma cadeia de e-mails de julho de 2026 cobrando que todos os colaboradores leiam e declarem ciência de versões atualizadas das políticas de integridade da Decal. A cadeia demonstra o Sr. Agérbon Nóbrega, Adminsitrador Geral, cobrando a indicação dos funcionários que ainda não tinham cumprido a providência.
São anexadas também fotos do Sr. Agérbon Nóbrega fazendo a abertura de treinamentos de compliance no ano de 2026.
Por fim, é anexado um e-mail do Sr. Agérbon Nóbrega indicando que todos os membros do comitê de compliance assistam a um vídeo sobre integridade encaminhado por itnerlocutor externo. 
</t>
    </r>
  </si>
  <si>
    <t xml:space="preserve">Os elementos mencionados no item anterior demonstram que o apoio da alta administração ao programa de integridade é constante. 
Os membros da Alta Direção manifestam publicamente apoio ao programa de integridade.
O Administrador Geral, Agerbon C. Nobrega Filho, afirma na Política de Gestão Integrada da Decal: "a Decal está comprometida em manter um sistema de gestão de compliance eficaz, assegurando a conformidade com as leis, código de ética, políticas e normas aplicáveis. Promovemos uma cultura de integridade e ética em todas as atividades, com transparência e responsabilidade, prevenindo, detectando e atuando sobre quaisquer desvios ou irregularidades". A política encontra-se disponível publicamente no website da Decal, no endereço https://www.decalbrasil.com/compliance/politicas/ &gt; Polítcia de Gestão Integrada. 
O Sr. Agérbon Nóbrega também publicou, em 27.8.2026, mensagem na intranet da empresa divulgando o lançamento do novo canal de ética da Decal.
O Presidente do Conselho Consultivo também manifesta publicamente seu compromisso no Código de Conduta e Ética Empresarial da Decal: "a ética, credibilidade e reputação são valores inestimáveis para uma grande empresa internacional que opera em um cenário cultural, político e econômico que é diversificado e sempre em constante evolução. A Decal considera fundamental expressar claramente e com convicção seus valores e responsabilidades em suas relações com o mercado, comunidades locais, administrações públicas, além de todos os profissionais que trabalham na empresa, bem como todos os outros agentes interessados que reivindicam um interesse legítimo na Decal. Tentamos expressar nossa crença no presente no Código de Conduta e Ética Empresarial com convicção e entusiasmo". A política encontra-se disponível publicamente no website da Decal, no endereço https://www.decalbrasil.com/compliance/politicas/ &gt; Código de Conduta e Ética Empresarial.
O compromisso da alta direção com o programa de integridade é, ainda, reforçado no vídeo institucional publicado na página da Decal na internet, disponível em: https://www.decalbrasil.com/video-institucional/
São anexadas também fotos do Sr. Agérbon Nóbrega fazendo a abertura de treinamentos de compliance no ano de 2026.
Por fim, o Informe Anual de Filiais é documento elaborado anualmente para avaliar os indicadores do programa de integridade da Decal, reforçando o apoio peiódico e reiterado da alta direção a esse programa. </t>
  </si>
  <si>
    <t xml:space="preserve">A Decal possui processo para recepção de faturas, com a indicação do procedimento para o seu registro, conforme o documento "P.GS.05.S - Recepção de Fatura".  O procedimento é descrito nos itens 3 a 6. 
Além disso, há descrição do procedimento no tópico 5.2. - Recepção fatura, registro e comprovação, no documento "D.GS.01.S - Controle de Compras".
Para lançamentos contábeis é seguida a legislação aplicável. 
Além disso, a Decal é auditada, conforme a cópia das suas últimas demonstrações financeiras.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</si>
</sst>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sz val="11"/>
      <color theme="1"/>
      <name val="Aptos Narrow"/>
      <family val="2"/>
      <scheme val="minor"/>
    </font>
    <font>
      <b/>
      <sz val="10"/>
      <color rgb="FF000000"/>
      <name val="Calibri"/>
      <family val="2"/>
    </font>
    <font>
      <sz val="10"/>
      <color rgb="FF000000"/>
      <name val="Calibri"/>
      <family val="2"/>
    </font>
    <font>
      <sz val="10"/>
      <color theme="1"/>
      <name val="Calibri"/>
      <family val="2"/>
    </font>
    <font>
      <b/>
      <sz val="11"/>
      <color theme="0"/>
      <name val="Calibri"/>
      <family val="2"/>
    </font>
    <font>
      <b/>
      <sz val="16"/>
      <color theme="1"/>
      <name val="Aptos Narrow"/>
      <family val="2"/>
      <scheme val="minor"/>
    </font>
    <font>
      <sz val="10"/>
      <color theme="3"/>
      <name val="Calibri"/>
      <family val="2"/>
    </font>
    <font>
      <b/>
      <sz val="10"/>
      <color theme="0"/>
      <name val="Calibri"/>
      <family val="2"/>
    </font>
    <font>
      <b/>
      <sz val="18"/>
      <color theme="1"/>
      <name val="Calibri"/>
      <family val="2"/>
    </font>
    <font>
      <sz val="10"/>
      <name val="Calibri"/>
      <family val="2"/>
    </font>
    <font>
      <b/>
      <sz val="10"/>
      <color rgb="FF00B050"/>
      <name val="Calibri"/>
      <family val="2"/>
    </font>
    <font>
      <b/>
      <vertAlign val="superscript"/>
      <sz val="8"/>
      <color rgb="FF00B050"/>
      <name val="Calibri"/>
      <family val="2"/>
    </font>
    <font>
      <sz val="10"/>
      <color rgb="FF00B050"/>
      <name val="Calibri"/>
      <family val="2"/>
    </font>
    <font>
      <vertAlign val="superscript"/>
      <sz val="8"/>
      <name val="Calibri"/>
      <family val="2"/>
    </font>
    <font>
      <sz val="11"/>
      <color rgb="FFFF0000"/>
      <name val="Aptos Narrow"/>
      <family val="2"/>
      <scheme val="minor"/>
    </font>
    <font>
      <b/>
      <vertAlign val="superscript"/>
      <sz val="10"/>
      <color rgb="FF00B050"/>
      <name val="Calibri"/>
      <family val="2"/>
    </font>
    <font>
      <vertAlign val="superscript"/>
      <sz val="10"/>
      <color rgb="FF000000"/>
      <name val="Calibri"/>
      <family val="2"/>
    </font>
    <font>
      <sz val="10"/>
      <color rgb="FFFF0000"/>
      <name val="Calibri"/>
      <family val="2"/>
    </font>
    <font>
      <sz val="8"/>
      <name val="Aptos Narrow"/>
      <family val="2"/>
      <scheme val="minor"/>
    </font>
    <font>
      <b/>
      <sz val="11"/>
      <color theme="1"/>
      <name val="Calibri"/>
      <family val="2"/>
    </font>
    <font>
      <vertAlign val="superscript"/>
      <sz val="10"/>
      <name val="Calibri"/>
      <family val="2"/>
    </font>
    <font>
      <sz val="11"/>
      <name val="Aptos Narrow"/>
      <family val="2"/>
      <scheme val="minor"/>
    </font>
    <font>
      <sz val="10"/>
      <color theme="3" tint="0.499984740745262"/>
      <name val="Calibri"/>
      <family val="2"/>
    </font>
    <font>
      <sz val="11"/>
      <color theme="3" tint="0.499984740745262"/>
      <name val="Aptos Narrow"/>
      <family val="2"/>
      <scheme val="minor"/>
    </font>
    <font>
      <b/>
      <sz val="11"/>
      <color theme="0"/>
      <name val="Aptos Narrow"/>
      <family val="2"/>
      <scheme val="minor"/>
    </font>
    <font>
      <b/>
      <sz val="11"/>
      <color theme="1"/>
      <name val="Aptos Narrow"/>
      <family val="2"/>
      <scheme val="minor"/>
    </font>
    <font>
      <sz val="11"/>
      <color theme="2" tint="-0.89999084444715716"/>
      <name val="Aptos Narrow"/>
      <family val="2"/>
      <scheme val="minor"/>
    </font>
    <font>
      <b/>
      <sz val="24"/>
      <color theme="1"/>
      <name val="Calibri"/>
      <family val="2"/>
    </font>
    <font>
      <sz val="10"/>
      <color theme="2" tint="-0.249977111117893"/>
      <name val="Calibri"/>
      <family val="2"/>
    </font>
    <font>
      <sz val="11"/>
      <color theme="2" tint="-0.249977111117893"/>
      <name val="Aptos Narrow"/>
      <family val="2"/>
      <scheme val="minor"/>
    </font>
    <font>
      <b/>
      <sz val="11"/>
      <color theme="2" tint="-0.249977111117893"/>
      <name val="Aptos Narrow"/>
      <family val="2"/>
      <scheme val="minor"/>
    </font>
    <font>
      <b/>
      <sz val="16"/>
      <color theme="1"/>
      <name val="Calibri"/>
      <family val="2"/>
    </font>
    <font>
      <sz val="16"/>
      <color theme="1"/>
      <name val="Aptos Narrow"/>
      <family val="2"/>
      <scheme val="minor"/>
    </font>
    <font>
      <b/>
      <sz val="10"/>
      <name val="Calibri"/>
      <family val="2"/>
    </font>
    <font>
      <b/>
      <sz val="12"/>
      <color theme="0"/>
      <name val="Calibri"/>
      <family val="2"/>
    </font>
    <font>
      <sz val="12"/>
      <color theme="0"/>
      <name val="Calibri"/>
      <family val="2"/>
    </font>
    <font>
      <b/>
      <vertAlign val="superscript"/>
      <sz val="10"/>
      <name val="Calibri"/>
      <family val="2"/>
    </font>
    <font>
      <b/>
      <vertAlign val="superscript"/>
      <sz val="8"/>
      <name val="Calibri"/>
      <family val="2"/>
    </font>
    <font>
      <i/>
      <sz val="10"/>
      <name val="Calibri"/>
      <family val="2"/>
    </font>
    <font>
      <sz val="9"/>
      <color theme="1"/>
      <name val="Arial"/>
      <family val="2"/>
    </font>
    <font>
      <i/>
      <sz val="10"/>
      <color rgb="FF000000"/>
      <name val="Calibri"/>
      <family val="2"/>
    </font>
    <font>
      <b/>
      <i/>
      <sz val="10"/>
      <color rgb="FF000000"/>
      <name val="Calibri"/>
      <family val="2"/>
    </font>
    <font>
      <sz val="10"/>
      <color theme="1"/>
      <name val="Calibri"/>
    </font>
    <font>
      <b/>
      <sz val="11"/>
      <color theme="1"/>
      <name val="Calibri"/>
    </font>
    <font>
      <b/>
      <sz val="11"/>
      <color theme="0"/>
      <name val="Calibri"/>
    </font>
    <font>
      <sz val="10"/>
      <name val="Calibri"/>
    </font>
    <font>
      <sz val="10"/>
      <color rgb="FF000000"/>
      <name val="Calibri"/>
    </font>
    <font>
      <i/>
      <sz val="10"/>
      <color rgb="FF000000"/>
      <name val="Calibri"/>
    </font>
    <font>
      <sz val="9"/>
      <name val="Arial"/>
      <family val="2"/>
    </font>
  </fonts>
  <fills count="12">
    <fill>
      <patternFill patternType="none"/>
    </fill>
    <fill>
      <patternFill patternType="gray125"/>
    </fill>
    <fill>
      <patternFill patternType="solid">
        <fgColor rgb="FFF2F2F2"/>
        <bgColor indexed="64"/>
      </patternFill>
    </fill>
    <fill>
      <patternFill patternType="solid">
        <fgColor rgb="FFE2EFDA"/>
        <bgColor indexed="64"/>
      </patternFill>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FFC000"/>
        <bgColor indexed="64"/>
      </patternFill>
    </fill>
    <fill>
      <patternFill patternType="solid">
        <fgColor theme="5"/>
        <bgColor indexed="64"/>
      </patternFill>
    </fill>
    <fill>
      <patternFill patternType="solid">
        <fgColor theme="1"/>
        <bgColor indexed="64"/>
      </patternFill>
    </fill>
  </fills>
  <borders count="31">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75">
    <xf numFmtId="0" fontId="0" fillId="0" borderId="0" xfId="0"/>
    <xf numFmtId="0" fontId="3" fillId="0" borderId="2"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2" xfId="0" applyFont="1" applyBorder="1" applyAlignment="1">
      <alignment horizontal="justify" vertical="center" wrapText="1"/>
    </xf>
    <xf numFmtId="0" fontId="3" fillId="3" borderId="2" xfId="0" applyFont="1" applyFill="1" applyBorder="1" applyAlignment="1">
      <alignment horizontal="justify" vertical="center" wrapText="1"/>
    </xf>
    <xf numFmtId="0" fontId="4" fillId="0" borderId="0" xfId="0" applyFont="1" applyAlignment="1">
      <alignment horizontal="center" vertical="center"/>
    </xf>
    <xf numFmtId="0" fontId="4" fillId="0" borderId="2" xfId="0" applyFont="1" applyBorder="1" applyAlignment="1">
      <alignment horizontal="center" vertical="center"/>
    </xf>
    <xf numFmtId="0" fontId="5" fillId="4" borderId="0" xfId="0" applyFont="1" applyFill="1" applyAlignment="1">
      <alignment horizontal="center"/>
    </xf>
    <xf numFmtId="0" fontId="4" fillId="0" borderId="5" xfId="0" applyFont="1" applyBorder="1" applyAlignment="1">
      <alignment horizontal="justify" vertical="center" wrapText="1"/>
    </xf>
    <xf numFmtId="0" fontId="4" fillId="0" borderId="5" xfId="0" applyFont="1" applyBorder="1" applyAlignment="1">
      <alignment horizontal="center" vertical="center" wrapText="1"/>
    </xf>
    <xf numFmtId="0" fontId="3" fillId="5" borderId="2" xfId="0" applyFont="1" applyFill="1" applyBorder="1" applyAlignment="1">
      <alignment horizontal="justify" vertical="center" wrapText="1"/>
    </xf>
    <xf numFmtId="0" fontId="3" fillId="5" borderId="2" xfId="0" applyFont="1" applyFill="1" applyBorder="1" applyAlignment="1">
      <alignment horizontal="center" vertical="center" wrapText="1"/>
    </xf>
    <xf numFmtId="0" fontId="4" fillId="0" borderId="2" xfId="0" applyFont="1" applyBorder="1" applyAlignment="1">
      <alignment vertical="center" wrapText="1"/>
    </xf>
    <xf numFmtId="0" fontId="4" fillId="0" borderId="5" xfId="0" applyFont="1" applyBorder="1" applyAlignment="1">
      <alignment vertical="center" wrapText="1"/>
    </xf>
    <xf numFmtId="0" fontId="3" fillId="0" borderId="2" xfId="0" applyFont="1" applyBorder="1" applyAlignment="1">
      <alignment horizontal="center" vertical="center" wrapText="1"/>
    </xf>
    <xf numFmtId="0" fontId="0" fillId="0" borderId="0" xfId="0" applyAlignment="1">
      <alignment horizontal="center" vertical="center"/>
    </xf>
    <xf numFmtId="9" fontId="4" fillId="0" borderId="2" xfId="1" applyFont="1" applyBorder="1" applyAlignment="1">
      <alignment horizontal="center" vertical="center"/>
    </xf>
    <xf numFmtId="9" fontId="4" fillId="0" borderId="2" xfId="1" applyFont="1" applyFill="1" applyBorder="1" applyAlignment="1">
      <alignment horizontal="center" vertical="center"/>
    </xf>
    <xf numFmtId="0" fontId="7" fillId="0" borderId="2" xfId="0" applyFont="1" applyBorder="1" applyAlignment="1">
      <alignment horizontal="center" vertical="center"/>
    </xf>
    <xf numFmtId="0" fontId="7" fillId="6" borderId="2" xfId="0" applyFont="1" applyFill="1" applyBorder="1" applyAlignment="1">
      <alignment horizontal="center" vertical="center"/>
    </xf>
    <xf numFmtId="0" fontId="8" fillId="4" borderId="2" xfId="0" applyFont="1" applyFill="1" applyBorder="1" applyAlignment="1">
      <alignment horizontal="center" vertical="center"/>
    </xf>
    <xf numFmtId="9" fontId="8" fillId="4" borderId="2" xfId="1" applyFont="1" applyFill="1" applyBorder="1" applyAlignment="1">
      <alignment horizontal="center" vertical="center"/>
    </xf>
    <xf numFmtId="0" fontId="8" fillId="4" borderId="1" xfId="0" applyFont="1" applyFill="1" applyBorder="1" applyAlignment="1">
      <alignment horizontal="center" vertical="center"/>
    </xf>
    <xf numFmtId="0" fontId="8" fillId="4" borderId="4"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8" fillId="4" borderId="3" xfId="0" applyFont="1" applyFill="1" applyBorder="1" applyAlignment="1">
      <alignment horizontal="center" vertical="center"/>
    </xf>
    <xf numFmtId="9" fontId="4" fillId="0" borderId="10" xfId="1" applyFont="1" applyBorder="1" applyAlignment="1">
      <alignment horizontal="center" vertical="center"/>
    </xf>
    <xf numFmtId="0" fontId="2" fillId="2" borderId="2" xfId="0" applyFont="1" applyFill="1" applyBorder="1" applyAlignment="1">
      <alignment horizontal="justify" vertical="center" wrapText="1"/>
    </xf>
    <xf numFmtId="0" fontId="2" fillId="2" borderId="2" xfId="0" applyFont="1" applyFill="1" applyBorder="1" applyAlignment="1">
      <alignment vertical="center"/>
    </xf>
    <xf numFmtId="0" fontId="2" fillId="2" borderId="2" xfId="0" applyFont="1" applyFill="1" applyBorder="1" applyAlignment="1">
      <alignment vertical="center" wrapText="1"/>
    </xf>
    <xf numFmtId="0" fontId="4" fillId="2" borderId="2" xfId="0" applyFont="1" applyFill="1" applyBorder="1" applyAlignment="1">
      <alignment horizontal="center" vertical="center" wrapText="1"/>
    </xf>
    <xf numFmtId="0" fontId="0" fillId="0" borderId="0" xfId="0" applyAlignment="1">
      <alignment horizontal="justify" vertical="center"/>
    </xf>
    <xf numFmtId="0" fontId="4" fillId="2" borderId="2" xfId="0" applyFont="1" applyFill="1" applyBorder="1" applyAlignment="1">
      <alignment horizontal="justify" vertical="center" wrapText="1"/>
    </xf>
    <xf numFmtId="0" fontId="4" fillId="5" borderId="2" xfId="0" applyFont="1" applyFill="1" applyBorder="1" applyAlignment="1">
      <alignment horizontal="justify" vertical="center" wrapText="1"/>
    </xf>
    <xf numFmtId="0" fontId="0" fillId="0" borderId="0" xfId="0" applyAlignment="1">
      <alignment wrapText="1"/>
    </xf>
    <xf numFmtId="0" fontId="10" fillId="0" borderId="2" xfId="0" applyFont="1" applyBorder="1" applyAlignment="1">
      <alignment horizontal="justify" vertical="center" wrapText="1"/>
    </xf>
    <xf numFmtId="0" fontId="11" fillId="0" borderId="2" xfId="0" applyFont="1" applyBorder="1" applyAlignment="1">
      <alignment horizontal="justify" vertical="center" wrapText="1"/>
    </xf>
    <xf numFmtId="0" fontId="4" fillId="0" borderId="2" xfId="0" applyFont="1" applyBorder="1" applyAlignment="1">
      <alignment wrapText="1"/>
    </xf>
    <xf numFmtId="0" fontId="0" fillId="0" borderId="0" xfId="0" applyAlignment="1">
      <alignment horizontal="center"/>
    </xf>
    <xf numFmtId="0" fontId="20" fillId="4" borderId="2" xfId="0" applyFont="1" applyFill="1" applyBorder="1" applyAlignment="1">
      <alignment horizontal="center" wrapText="1"/>
    </xf>
    <xf numFmtId="0" fontId="5" fillId="4" borderId="0" xfId="0" applyFont="1" applyFill="1" applyAlignment="1">
      <alignment horizont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4" fillId="0" borderId="2" xfId="0" applyFont="1" applyBorder="1" applyAlignment="1">
      <alignment horizontal="left" vertical="center" wrapText="1"/>
    </xf>
    <xf numFmtId="0" fontId="22" fillId="0" borderId="2" xfId="0" applyFont="1" applyBorder="1" applyAlignment="1">
      <alignment vertical="center" wrapText="1"/>
    </xf>
    <xf numFmtId="0" fontId="23" fillId="0" borderId="2" xfId="0" applyFont="1" applyBorder="1" applyAlignment="1">
      <alignment horizontal="justify" vertical="center" wrapText="1"/>
    </xf>
    <xf numFmtId="0" fontId="24" fillId="6" borderId="2" xfId="0" applyFont="1" applyFill="1" applyBorder="1" applyAlignment="1">
      <alignment vertical="center" wrapText="1"/>
    </xf>
    <xf numFmtId="0" fontId="8" fillId="4" borderId="2" xfId="0" applyFont="1" applyFill="1" applyBorder="1" applyAlignment="1">
      <alignment horizontal="justify" vertical="center" wrapText="1"/>
    </xf>
    <xf numFmtId="0" fontId="0" fillId="8" borderId="13" xfId="0" applyFill="1" applyBorder="1"/>
    <xf numFmtId="0" fontId="0" fillId="8" borderId="14" xfId="0" applyFill="1" applyBorder="1"/>
    <xf numFmtId="0" fontId="0" fillId="0" borderId="13" xfId="0" applyBorder="1"/>
    <xf numFmtId="0" fontId="0" fillId="0" borderId="14" xfId="0" applyBorder="1"/>
    <xf numFmtId="0" fontId="0" fillId="7" borderId="0" xfId="0" applyFill="1"/>
    <xf numFmtId="0" fontId="27" fillId="7" borderId="0" xfId="0" applyFont="1" applyFill="1"/>
    <xf numFmtId="0" fontId="27" fillId="0" borderId="0" xfId="0" applyFont="1"/>
    <xf numFmtId="0" fontId="0" fillId="8" borderId="15" xfId="0" applyFill="1" applyBorder="1"/>
    <xf numFmtId="0" fontId="0" fillId="0" borderId="15" xfId="0" applyBorder="1"/>
    <xf numFmtId="0" fontId="0" fillId="9" borderId="0" xfId="0" applyFill="1"/>
    <xf numFmtId="0" fontId="0" fillId="10" borderId="0" xfId="0" applyFill="1"/>
    <xf numFmtId="0" fontId="0" fillId="0" borderId="0" xfId="0" applyAlignment="1">
      <alignment vertical="center" wrapText="1"/>
    </xf>
    <xf numFmtId="0" fontId="0" fillId="0" borderId="0" xfId="0" applyAlignment="1">
      <alignment horizontal="center" vertical="center" wrapText="1"/>
    </xf>
    <xf numFmtId="0" fontId="23" fillId="0" borderId="16" xfId="0" applyFont="1" applyBorder="1" applyAlignment="1">
      <alignment horizontal="justify" vertical="center" wrapText="1"/>
    </xf>
    <xf numFmtId="0" fontId="10" fillId="0" borderId="16" xfId="0" applyFont="1" applyBorder="1" applyAlignment="1">
      <alignment horizontal="justify" vertical="center" wrapText="1"/>
    </xf>
    <xf numFmtId="0" fontId="26" fillId="0" borderId="0" xfId="0" applyFont="1"/>
    <xf numFmtId="0" fontId="5" fillId="4" borderId="2" xfId="0" applyFont="1" applyFill="1" applyBorder="1" applyAlignment="1">
      <alignment horizontal="center" wrapText="1"/>
    </xf>
    <xf numFmtId="0" fontId="9" fillId="0" borderId="0" xfId="0" applyFont="1" applyAlignment="1">
      <alignment horizontal="center" vertical="top"/>
    </xf>
    <xf numFmtId="0" fontId="0" fillId="0" borderId="2" xfId="0" applyBorder="1"/>
    <xf numFmtId="0" fontId="8" fillId="4" borderId="19"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0" fillId="0" borderId="7" xfId="0" applyBorder="1"/>
    <xf numFmtId="0" fontId="25" fillId="4" borderId="10" xfId="0" applyFont="1" applyFill="1" applyBorder="1" applyAlignment="1">
      <alignment horizontal="center"/>
    </xf>
    <xf numFmtId="0" fontId="25" fillId="4" borderId="9" xfId="0" applyFont="1" applyFill="1" applyBorder="1" applyAlignment="1">
      <alignment horizontal="center"/>
    </xf>
    <xf numFmtId="0" fontId="8" fillId="4" borderId="24" xfId="0" applyFont="1" applyFill="1" applyBorder="1" applyAlignment="1">
      <alignment horizontal="center" vertical="center" wrapText="1"/>
    </xf>
    <xf numFmtId="0" fontId="8" fillId="4" borderId="26" xfId="0" applyFont="1" applyFill="1" applyBorder="1" applyAlignment="1">
      <alignment horizontal="center" vertical="center"/>
    </xf>
    <xf numFmtId="0" fontId="7" fillId="0" borderId="27" xfId="0" applyFont="1" applyBorder="1" applyAlignment="1">
      <alignment horizontal="justify" vertical="center" wrapText="1"/>
    </xf>
    <xf numFmtId="0" fontId="15" fillId="0" borderId="0" xfId="0" applyFont="1"/>
    <xf numFmtId="0" fontId="5" fillId="11" borderId="0" xfId="0" applyFont="1" applyFill="1" applyAlignment="1">
      <alignment horizontal="center"/>
    </xf>
    <xf numFmtId="0" fontId="5" fillId="4" borderId="2" xfId="0" applyFont="1" applyFill="1" applyBorder="1" applyAlignment="1">
      <alignment horizontal="center" vertical="center" wrapText="1"/>
    </xf>
    <xf numFmtId="0" fontId="18" fillId="0" borderId="2" xfId="0" applyFont="1" applyBorder="1" applyAlignment="1">
      <alignment horizontal="justify" vertical="center" wrapText="1"/>
    </xf>
    <xf numFmtId="0" fontId="18" fillId="0" borderId="2" xfId="0" applyFont="1" applyBorder="1" applyAlignment="1">
      <alignment horizontal="center" vertical="center" wrapText="1"/>
    </xf>
    <xf numFmtId="0" fontId="18"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30" fillId="0" borderId="0" xfId="0" applyFont="1"/>
    <xf numFmtId="0" fontId="29" fillId="2" borderId="2" xfId="0" applyFont="1" applyFill="1" applyBorder="1" applyAlignment="1">
      <alignment horizontal="justify" vertical="center" wrapText="1"/>
    </xf>
    <xf numFmtId="0" fontId="29" fillId="2" borderId="2" xfId="0" applyFont="1" applyFill="1" applyBorder="1" applyAlignment="1">
      <alignment horizontal="center" vertical="center" wrapText="1"/>
    </xf>
    <xf numFmtId="0" fontId="29" fillId="0" borderId="2" xfId="0" applyFont="1" applyBorder="1" applyAlignment="1">
      <alignment horizontal="justify" vertical="center" wrapText="1"/>
    </xf>
    <xf numFmtId="0" fontId="29" fillId="0" borderId="2" xfId="0" applyFont="1" applyBorder="1" applyAlignment="1">
      <alignment horizontal="center" vertical="center" wrapText="1"/>
    </xf>
    <xf numFmtId="0" fontId="29" fillId="6" borderId="2" xfId="0" applyFont="1" applyFill="1" applyBorder="1" applyAlignment="1">
      <alignment horizontal="justify" vertical="center" wrapText="1"/>
    </xf>
    <xf numFmtId="0" fontId="29" fillId="0" borderId="2" xfId="0" applyFont="1" applyBorder="1" applyAlignment="1">
      <alignment horizontal="left" vertical="center" wrapText="1"/>
    </xf>
    <xf numFmtId="0" fontId="30" fillId="0" borderId="0" xfId="0" applyFont="1" applyAlignment="1">
      <alignment horizontal="center" vertical="center"/>
    </xf>
    <xf numFmtId="0" fontId="29" fillId="5" borderId="2" xfId="0" applyFont="1" applyFill="1" applyBorder="1" applyAlignment="1">
      <alignment horizontal="justify" vertical="center" wrapText="1"/>
    </xf>
    <xf numFmtId="0" fontId="30" fillId="0" borderId="0" xfId="0" applyFont="1" applyAlignment="1">
      <alignment horizontal="center" wrapText="1"/>
    </xf>
    <xf numFmtId="0" fontId="29" fillId="5" borderId="2" xfId="0" applyFont="1" applyFill="1" applyBorder="1" applyAlignment="1">
      <alignment horizontal="center" vertical="center" wrapText="1"/>
    </xf>
    <xf numFmtId="0" fontId="31" fillId="0" borderId="0" xfId="0" applyFont="1" applyAlignment="1">
      <alignment horizontal="center" wrapText="1"/>
    </xf>
    <xf numFmtId="0" fontId="32" fillId="0" borderId="0" xfId="0" applyFont="1" applyAlignment="1">
      <alignment horizontal="center" vertical="center"/>
    </xf>
    <xf numFmtId="0" fontId="32" fillId="0" borderId="0" xfId="0" applyFont="1" applyAlignment="1">
      <alignment horizontal="left" vertical="center"/>
    </xf>
    <xf numFmtId="0" fontId="33" fillId="0" borderId="0" xfId="0" applyFont="1" applyAlignment="1">
      <alignment horizontal="justify" vertical="center"/>
    </xf>
    <xf numFmtId="0" fontId="33" fillId="0" borderId="0" xfId="0" applyFont="1"/>
    <xf numFmtId="0" fontId="10" fillId="0" borderId="2" xfId="0" applyFont="1" applyBorder="1" applyAlignment="1">
      <alignment horizontal="center" vertical="center"/>
    </xf>
    <xf numFmtId="0" fontId="10" fillId="2" borderId="2" xfId="0" applyFont="1" applyFill="1" applyBorder="1" applyAlignment="1">
      <alignment horizontal="justify" vertical="center" wrapText="1"/>
    </xf>
    <xf numFmtId="0" fontId="10"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3" borderId="2" xfId="0" applyFont="1" applyFill="1" applyBorder="1" applyAlignment="1">
      <alignment horizontal="justify" vertical="center" wrapText="1"/>
    </xf>
    <xf numFmtId="0" fontId="34" fillId="2" borderId="2" xfId="0" applyFont="1" applyFill="1" applyBorder="1" applyAlignment="1">
      <alignment horizontal="justify" vertical="center" wrapText="1"/>
    </xf>
    <xf numFmtId="0" fontId="10" fillId="6" borderId="2" xfId="0" applyFont="1" applyFill="1" applyBorder="1" applyAlignment="1">
      <alignment horizontal="justify" vertical="center" wrapText="1"/>
    </xf>
    <xf numFmtId="0" fontId="10" fillId="0" borderId="5" xfId="0" applyFont="1" applyBorder="1" applyAlignment="1">
      <alignment horizontal="center" vertical="center"/>
    </xf>
    <xf numFmtId="0" fontId="10" fillId="0" borderId="5" xfId="0" applyFont="1" applyBorder="1" applyAlignment="1">
      <alignment horizontal="justify" vertical="center" wrapText="1"/>
    </xf>
    <xf numFmtId="0" fontId="10" fillId="0" borderId="5" xfId="0" applyFont="1" applyBorder="1" applyAlignment="1">
      <alignment horizontal="center" vertical="center" wrapText="1"/>
    </xf>
    <xf numFmtId="0" fontId="10" fillId="5" borderId="2" xfId="0" applyFont="1" applyFill="1" applyBorder="1" applyAlignment="1">
      <alignment horizontal="justify" vertical="center" wrapText="1"/>
    </xf>
    <xf numFmtId="0" fontId="10" fillId="5" borderId="2" xfId="0" applyFont="1" applyFill="1" applyBorder="1" applyAlignment="1">
      <alignment horizontal="center" vertical="center" wrapText="1"/>
    </xf>
    <xf numFmtId="0" fontId="10" fillId="3" borderId="5" xfId="0" applyFont="1" applyFill="1" applyBorder="1" applyAlignment="1">
      <alignment horizontal="justify" vertical="center" wrapText="1"/>
    </xf>
    <xf numFmtId="0" fontId="10" fillId="6" borderId="2"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0" borderId="2" xfId="0" applyFont="1" applyBorder="1" applyAlignment="1">
      <alignment vertical="center" wrapText="1"/>
    </xf>
    <xf numFmtId="0" fontId="34" fillId="2" borderId="2" xfId="0" applyFont="1" applyFill="1" applyBorder="1" applyAlignment="1">
      <alignment horizontal="justify" vertical="center"/>
    </xf>
    <xf numFmtId="0" fontId="34" fillId="2" borderId="2" xfId="0" applyFont="1" applyFill="1" applyBorder="1" applyAlignment="1">
      <alignment vertical="center"/>
    </xf>
    <xf numFmtId="0" fontId="34" fillId="2" borderId="2" xfId="0" applyFont="1" applyFill="1" applyBorder="1" applyAlignment="1">
      <alignment vertical="center" wrapText="1"/>
    </xf>
    <xf numFmtId="0" fontId="35" fillId="4" borderId="12" xfId="0" applyFont="1" applyFill="1" applyBorder="1" applyAlignment="1">
      <alignment horizontal="justify" vertical="center" wrapText="1"/>
    </xf>
    <xf numFmtId="0" fontId="36" fillId="4" borderId="12" xfId="0" applyFont="1" applyFill="1" applyBorder="1" applyAlignment="1">
      <alignment horizontal="center" vertical="center"/>
    </xf>
    <xf numFmtId="0" fontId="36" fillId="4" borderId="12" xfId="0" applyFont="1" applyFill="1" applyBorder="1" applyAlignment="1">
      <alignment horizontal="center" vertical="center" wrapText="1"/>
    </xf>
    <xf numFmtId="0" fontId="36" fillId="4" borderId="12" xfId="0" applyFont="1" applyFill="1" applyBorder="1" applyAlignment="1">
      <alignment horizontal="justify" vertical="center" wrapText="1"/>
    </xf>
    <xf numFmtId="0" fontId="36" fillId="0" borderId="0" xfId="0" applyFont="1"/>
    <xf numFmtId="0" fontId="10" fillId="0" borderId="2" xfId="0" applyFont="1" applyBorder="1" applyAlignment="1">
      <alignment horizontal="left" vertical="center" wrapText="1"/>
    </xf>
    <xf numFmtId="0" fontId="34" fillId="0" borderId="2" xfId="0" applyFont="1" applyBorder="1" applyAlignment="1">
      <alignment horizontal="justify" vertical="center" wrapText="1"/>
    </xf>
    <xf numFmtId="0" fontId="10" fillId="2" borderId="2" xfId="0" applyFont="1" applyFill="1" applyBorder="1" applyAlignment="1">
      <alignment horizontal="left" vertical="center" wrapText="1"/>
    </xf>
    <xf numFmtId="0" fontId="34" fillId="2" borderId="2" xfId="0" applyFont="1" applyFill="1" applyBorder="1" applyAlignment="1">
      <alignment horizontal="left" vertical="center" wrapText="1"/>
    </xf>
    <xf numFmtId="0" fontId="10" fillId="0" borderId="5" xfId="0" applyFont="1" applyBorder="1" applyAlignment="1">
      <alignment horizontal="left" vertical="center" wrapText="1"/>
    </xf>
    <xf numFmtId="0" fontId="36" fillId="4" borderId="12"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34" fillId="2" borderId="2" xfId="0" applyFont="1" applyFill="1" applyBorder="1" applyAlignment="1">
      <alignment horizontal="left" vertical="center"/>
    </xf>
    <xf numFmtId="0" fontId="40" fillId="0" borderId="2" xfId="0" applyFont="1" applyBorder="1" applyAlignment="1">
      <alignment vertical="center" wrapText="1"/>
    </xf>
    <xf numFmtId="0" fontId="10" fillId="0" borderId="2" xfId="0" applyFont="1" applyBorder="1" applyAlignment="1">
      <alignment horizontal="left" vertical="top" wrapText="1"/>
    </xf>
    <xf numFmtId="0" fontId="10" fillId="0" borderId="17" xfId="0" applyFont="1" applyBorder="1" applyAlignment="1">
      <alignment horizontal="center" vertical="center" wrapText="1"/>
    </xf>
    <xf numFmtId="0" fontId="29" fillId="0" borderId="18" xfId="0" applyFont="1" applyBorder="1" applyAlignment="1">
      <alignment horizontal="justify" vertical="center" wrapText="1"/>
    </xf>
    <xf numFmtId="0" fontId="34" fillId="2" borderId="5" xfId="0" applyFont="1" applyFill="1" applyBorder="1" applyAlignment="1">
      <alignment horizontal="left" vertical="center" wrapText="1"/>
    </xf>
    <xf numFmtId="0" fontId="8" fillId="4" borderId="20" xfId="0" applyFont="1" applyFill="1" applyBorder="1" applyAlignment="1">
      <alignment horizontal="center" vertical="center" wrapText="1"/>
    </xf>
    <xf numFmtId="0" fontId="7" fillId="0" borderId="18" xfId="0" applyFont="1" applyBorder="1" applyAlignment="1">
      <alignment horizontal="center" vertical="center" wrapText="1"/>
    </xf>
    <xf numFmtId="9" fontId="7" fillId="0" borderId="17" xfId="0" applyNumberFormat="1" applyFont="1" applyBorder="1" applyAlignment="1">
      <alignment horizontal="center" vertical="center" wrapText="1"/>
    </xf>
    <xf numFmtId="0" fontId="7" fillId="0" borderId="6" xfId="0" applyFont="1" applyBorder="1" applyAlignment="1">
      <alignment horizontal="center" vertical="center" wrapText="1"/>
    </xf>
    <xf numFmtId="9" fontId="7" fillId="0" borderId="2" xfId="1" applyFont="1" applyBorder="1" applyAlignment="1">
      <alignment horizontal="center" vertical="center" wrapText="1"/>
    </xf>
    <xf numFmtId="0" fontId="8" fillId="4" borderId="28" xfId="0" applyFont="1" applyFill="1" applyBorder="1" applyAlignment="1">
      <alignment horizontal="center" vertical="center" wrapText="1"/>
    </xf>
    <xf numFmtId="0" fontId="8" fillId="4" borderId="25" xfId="0" applyFont="1" applyFill="1" applyBorder="1" applyAlignment="1">
      <alignment horizontal="center" vertical="center" wrapText="1"/>
    </xf>
    <xf numFmtId="9" fontId="8" fillId="4" borderId="22" xfId="0" applyNumberFormat="1" applyFont="1" applyFill="1" applyBorder="1" applyAlignment="1">
      <alignment horizontal="center" vertical="center" wrapText="1"/>
    </xf>
    <xf numFmtId="0" fontId="8" fillId="4" borderId="8" xfId="0" applyFont="1" applyFill="1" applyBorder="1" applyAlignment="1">
      <alignment horizontal="center" vertical="center" wrapText="1"/>
    </xf>
    <xf numFmtId="9" fontId="8" fillId="4" borderId="10" xfId="1"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wrapText="1"/>
    </xf>
    <xf numFmtId="0" fontId="29" fillId="0" borderId="5" xfId="0" applyFont="1" applyBorder="1" applyAlignment="1">
      <alignment horizontal="justify" vertical="center" wrapText="1"/>
    </xf>
    <xf numFmtId="0" fontId="29" fillId="0" borderId="5" xfId="0" applyFont="1" applyBorder="1" applyAlignment="1">
      <alignment horizontal="center" vertical="center" wrapText="1"/>
    </xf>
    <xf numFmtId="0" fontId="10" fillId="0" borderId="12" xfId="0" applyFont="1" applyBorder="1" applyAlignment="1">
      <alignment horizontal="left" vertical="center" wrapText="1"/>
    </xf>
    <xf numFmtId="0" fontId="29" fillId="0" borderId="12" xfId="0" applyFont="1" applyBorder="1" applyAlignment="1">
      <alignment horizontal="justify" vertical="center" wrapText="1"/>
    </xf>
    <xf numFmtId="0" fontId="29" fillId="0" borderId="12" xfId="0" applyFont="1" applyBorder="1" applyAlignment="1">
      <alignment horizontal="center" vertical="center" wrapText="1"/>
    </xf>
    <xf numFmtId="0" fontId="45" fillId="4" borderId="11" xfId="0" applyFont="1" applyFill="1" applyBorder="1" applyAlignment="1">
      <alignment horizontal="center"/>
    </xf>
    <xf numFmtId="0" fontId="43" fillId="0" borderId="2" xfId="0" applyFont="1" applyBorder="1" applyAlignment="1">
      <alignment vertical="center" wrapText="1"/>
    </xf>
    <xf numFmtId="0" fontId="44" fillId="4" borderId="2" xfId="0" applyFont="1" applyFill="1" applyBorder="1" applyAlignment="1">
      <alignment wrapText="1"/>
    </xf>
    <xf numFmtId="0" fontId="43" fillId="0" borderId="5" xfId="0" applyFont="1" applyBorder="1" applyAlignment="1">
      <alignment vertical="center" wrapText="1"/>
    </xf>
    <xf numFmtId="0" fontId="3" fillId="0" borderId="29" xfId="0" applyFont="1" applyBorder="1" applyAlignment="1">
      <alignment horizontal="left" vertical="center" wrapText="1"/>
    </xf>
    <xf numFmtId="0" fontId="3" fillId="0" borderId="12" xfId="0" applyFont="1" applyBorder="1" applyAlignment="1">
      <alignment horizontal="left" vertical="center" wrapText="1"/>
    </xf>
    <xf numFmtId="0" fontId="3" fillId="5" borderId="2" xfId="0" applyFont="1" applyFill="1" applyBorder="1" applyAlignment="1">
      <alignment horizontal="left" vertical="top" wrapText="1"/>
    </xf>
    <xf numFmtId="0" fontId="29" fillId="0" borderId="30" xfId="0" applyFont="1" applyBorder="1" applyAlignment="1">
      <alignment horizontal="justify" vertical="center" wrapText="1"/>
    </xf>
    <xf numFmtId="0" fontId="29" fillId="0" borderId="30" xfId="0" applyFont="1" applyBorder="1" applyAlignment="1">
      <alignment horizontal="center" vertical="center" wrapText="1"/>
    </xf>
    <xf numFmtId="0" fontId="3" fillId="0" borderId="30" xfId="0" applyFont="1" applyBorder="1" applyAlignment="1">
      <alignment horizontal="left" vertical="center" wrapText="1"/>
    </xf>
    <xf numFmtId="0" fontId="46" fillId="0" borderId="2" xfId="0" applyFont="1" applyBorder="1" applyAlignment="1">
      <alignment horizontal="center" vertical="center" wrapText="1"/>
    </xf>
    <xf numFmtId="0" fontId="47" fillId="0" borderId="2" xfId="0" applyFont="1" applyBorder="1" applyAlignment="1">
      <alignment horizontal="left" vertical="center" wrapText="1"/>
    </xf>
    <xf numFmtId="0" fontId="49" fillId="0" borderId="2" xfId="0" applyFont="1" applyBorder="1" applyAlignment="1">
      <alignment vertical="center" wrapText="1"/>
    </xf>
    <xf numFmtId="0" fontId="10" fillId="0" borderId="2" xfId="0" applyFont="1" applyBorder="1" applyAlignment="1">
      <alignment vertical="top" wrapText="1"/>
    </xf>
    <xf numFmtId="0" fontId="43" fillId="0" borderId="2" xfId="0" applyFont="1" applyBorder="1" applyAlignment="1">
      <alignment horizontal="left" vertical="center" wrapText="1"/>
    </xf>
    <xf numFmtId="0" fontId="9" fillId="0" borderId="0" xfId="0" applyFont="1" applyAlignment="1">
      <alignment horizontal="center" vertical="top"/>
    </xf>
    <xf numFmtId="0" fontId="28" fillId="0" borderId="0" xfId="0" applyFont="1" applyAlignment="1">
      <alignment horizontal="center" vertical="center"/>
    </xf>
    <xf numFmtId="0" fontId="6" fillId="0" borderId="0" xfId="0" applyFont="1" applyAlignment="1">
      <alignment horizontal="center" vertical="center"/>
    </xf>
  </cellXfs>
  <cellStyles count="2">
    <cellStyle name="Normal" xfId="0" builtinId="0"/>
    <cellStyle name="Porcentagem" xfId="1" builtinId="5"/>
  </cellStyles>
  <dxfs count="44">
    <dxf>
      <font>
        <color rgb="FF9C0006"/>
      </font>
      <fill>
        <patternFill>
          <bgColor rgb="FFFFC7CE"/>
        </patternFill>
      </fill>
    </dxf>
    <dxf>
      <font>
        <color rgb="FF006100"/>
      </font>
      <fill>
        <patternFill>
          <bgColor rgb="FFC6EFCE"/>
        </patternFill>
      </fill>
    </dxf>
    <dxf>
      <font>
        <color theme="3" tint="9.9948118533890809E-2"/>
      </font>
      <fill>
        <patternFill>
          <bgColor theme="4" tint="0.79998168889431442"/>
        </patternFill>
      </fill>
    </dxf>
    <dxf>
      <font>
        <color rgb="FF006100"/>
      </font>
      <fill>
        <patternFill>
          <bgColor rgb="FFC6EFCE"/>
        </patternFill>
      </fill>
    </dxf>
    <dxf>
      <font>
        <color rgb="FF9C0006"/>
      </font>
      <fill>
        <patternFill>
          <bgColor rgb="FFFFC7CE"/>
        </patternFill>
      </fill>
    </dxf>
    <dxf>
      <font>
        <b/>
        <i val="0"/>
        <color theme="1" tint="0.499984740745262"/>
      </font>
    </dxf>
    <dxf>
      <font>
        <b/>
        <i val="0"/>
        <color theme="6"/>
      </font>
    </dxf>
    <dxf>
      <font>
        <b/>
        <i val="0"/>
        <color rgb="FFFF0000"/>
      </font>
    </dxf>
    <dxf>
      <font>
        <b/>
        <i val="0"/>
        <color rgb="FF0070C0"/>
      </font>
    </dxf>
    <dxf>
      <numFmt numFmtId="0" formatCode="General"/>
    </dxf>
    <dxf>
      <numFmt numFmtId="0" formatCode="General"/>
    </dxf>
    <dxf>
      <numFmt numFmtId="0" formatCode="General"/>
    </dxf>
    <dxf>
      <numFmt numFmtId="0" formatCode="General"/>
    </dxf>
    <dxf>
      <font>
        <strike val="0"/>
        <outline val="0"/>
        <shadow val="0"/>
        <u val="none"/>
        <vertAlign val="baseline"/>
        <sz val="11"/>
        <color theme="2" tint="-0.89999084444715716"/>
        <name val="Aptos Narrow"/>
        <family val="2"/>
        <scheme val="minor"/>
      </font>
    </dxf>
    <dxf>
      <numFmt numFmtId="0" formatCode="General"/>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font>
        <strike val="0"/>
        <outline val="0"/>
        <shadow val="0"/>
        <u val="none"/>
        <vertAlign val="baseline"/>
        <sz val="11"/>
        <color theme="2" tint="-0.89999084444715716"/>
        <name val="Aptos Narrow"/>
        <family val="2"/>
        <scheme val="minor"/>
      </font>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center" vertical="bottom" textRotation="0" wrapText="0" indent="0" justifyLastLine="0" shrinkToFit="0" readingOrder="0"/>
    </dxf>
    <dxf>
      <font>
        <strike val="0"/>
        <outline val="0"/>
        <shadow val="0"/>
        <u val="none"/>
        <vertAlign val="baseline"/>
        <color theme="1"/>
      </font>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rgb="FF000000"/>
        </bottom>
      </border>
    </dxf>
    <dxf>
      <border outline="0">
        <bottom style="medium">
          <color rgb="FF000000"/>
        </bottom>
      </border>
    </dxf>
    <dxf>
      <font>
        <b/>
        <i val="0"/>
        <strike val="0"/>
        <condense val="0"/>
        <extend val="0"/>
        <outline val="0"/>
        <shadow val="0"/>
        <u val="none"/>
        <vertAlign val="baseline"/>
        <sz val="11"/>
        <color theme="0"/>
        <name val="Calibri"/>
        <scheme val="none"/>
      </font>
      <fill>
        <patternFill patternType="solid">
          <fgColor indexed="64"/>
          <bgColor theme="3"/>
        </patternFill>
      </fill>
      <alignment horizontal="center" vertical="bottom" textRotation="0" wrapText="0" indent="0" justifyLastLine="0" shrinkToFit="0" readingOrder="0"/>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Comparativo</a:t>
            </a:r>
            <a:r>
              <a:rPr lang="pt-BR" baseline="0"/>
              <a:t> peso Metodologia x Pró-Ética por áreas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Contadores!$B$7</c:f>
              <c:strCache>
                <c:ptCount val="1"/>
                <c:pt idx="0">
                  <c:v>% Pontuação Metodologia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Contadores!$C$7:$M$7</c:f>
              <c:numCache>
                <c:formatCode>0%</c:formatCode>
                <c:ptCount val="11"/>
                <c:pt idx="0">
                  <c:v>0.12769485903814262</c:v>
                </c:pt>
                <c:pt idx="1">
                  <c:v>8.9552238805970144E-2</c:v>
                </c:pt>
                <c:pt idx="2">
                  <c:v>6.4676616915422883E-2</c:v>
                </c:pt>
                <c:pt idx="3">
                  <c:v>7.545605306799337E-2</c:v>
                </c:pt>
                <c:pt idx="4">
                  <c:v>0.1077943615257048</c:v>
                </c:pt>
                <c:pt idx="5">
                  <c:v>9.7844112769485903E-2</c:v>
                </c:pt>
                <c:pt idx="6">
                  <c:v>8.7893864013267001E-2</c:v>
                </c:pt>
                <c:pt idx="7">
                  <c:v>9.4527363184079602E-2</c:v>
                </c:pt>
                <c:pt idx="8">
                  <c:v>0.11691542288557213</c:v>
                </c:pt>
                <c:pt idx="9">
                  <c:v>6.8822553897180769E-2</c:v>
                </c:pt>
                <c:pt idx="10">
                  <c:v>6.8822553897180769E-2</c:v>
                </c:pt>
              </c:numCache>
            </c:numRef>
          </c:val>
          <c:smooth val="0"/>
          <c:extLst>
            <c:ext xmlns:c16="http://schemas.microsoft.com/office/drawing/2014/chart" uri="{C3380CC4-5D6E-409C-BE32-E72D297353CC}">
              <c16:uniqueId val="{00000000-126D-4946-82F3-18240703FAF4}"/>
            </c:ext>
          </c:extLst>
        </c:ser>
        <c:ser>
          <c:idx val="1"/>
          <c:order val="1"/>
          <c:tx>
            <c:strRef>
              <c:f>Contadores!$B$8</c:f>
              <c:strCache>
                <c:ptCount val="1"/>
                <c:pt idx="0">
                  <c:v>% Pró-Ética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Contadores!$C$8:$M$8</c:f>
              <c:numCache>
                <c:formatCode>0%</c:formatCode>
                <c:ptCount val="11"/>
                <c:pt idx="0">
                  <c:v>0.12999999999999998</c:v>
                </c:pt>
                <c:pt idx="1">
                  <c:v>0.13</c:v>
                </c:pt>
                <c:pt idx="2">
                  <c:v>0.1</c:v>
                </c:pt>
                <c:pt idx="3">
                  <c:v>4.9999999999999989E-2</c:v>
                </c:pt>
                <c:pt idx="4">
                  <c:v>0.13</c:v>
                </c:pt>
                <c:pt idx="5">
                  <c:v>0.11</c:v>
                </c:pt>
                <c:pt idx="6">
                  <c:v>0.06</c:v>
                </c:pt>
                <c:pt idx="7">
                  <c:v>0.09</c:v>
                </c:pt>
                <c:pt idx="8">
                  <c:v>9.9999999999999978E-2</c:v>
                </c:pt>
                <c:pt idx="9">
                  <c:v>4.9999999999999989E-2</c:v>
                </c:pt>
                <c:pt idx="10">
                  <c:v>4.9999999999999989E-2</c:v>
                </c:pt>
              </c:numCache>
            </c:numRef>
          </c:val>
          <c:smooth val="0"/>
          <c:extLst>
            <c:ext xmlns:c16="http://schemas.microsoft.com/office/drawing/2014/chart" uri="{C3380CC4-5D6E-409C-BE32-E72D297353CC}">
              <c16:uniqueId val="{00000001-126D-4946-82F3-18240703FAF4}"/>
            </c:ext>
          </c:extLst>
        </c:ser>
        <c:dLbls>
          <c:showLegendKey val="0"/>
          <c:showVal val="0"/>
          <c:showCatName val="0"/>
          <c:showSerName val="0"/>
          <c:showPercent val="0"/>
          <c:showBubbleSize val="0"/>
        </c:dLbls>
        <c:marker val="1"/>
        <c:smooth val="0"/>
        <c:axId val="125380128"/>
        <c:axId val="125388768"/>
      </c:lineChart>
      <c:catAx>
        <c:axId val="12538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388768"/>
        <c:crosses val="autoZero"/>
        <c:auto val="1"/>
        <c:lblAlgn val="ctr"/>
        <c:lblOffset val="100"/>
        <c:noMultiLvlLbl val="0"/>
      </c:catAx>
      <c:valAx>
        <c:axId val="125388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380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Quantidade</a:t>
            </a:r>
            <a:r>
              <a:rPr lang="pt-BR" baseline="0"/>
              <a:t> de Questões x Pontuação por Área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stacked"/>
        <c:varyColors val="0"/>
        <c:ser>
          <c:idx val="0"/>
          <c:order val="0"/>
          <c:tx>
            <c:strRef>
              <c:f>Contadores!$B$5</c:f>
              <c:strCache>
                <c:ptCount val="1"/>
                <c:pt idx="0">
                  <c:v>Questões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Contadores!$C$5:$M$5</c:f>
              <c:numCache>
                <c:formatCode>General</c:formatCode>
                <c:ptCount val="11"/>
                <c:pt idx="0">
                  <c:v>11</c:v>
                </c:pt>
                <c:pt idx="1">
                  <c:v>6</c:v>
                </c:pt>
                <c:pt idx="2">
                  <c:v>8</c:v>
                </c:pt>
                <c:pt idx="3">
                  <c:v>10</c:v>
                </c:pt>
                <c:pt idx="4">
                  <c:v>12</c:v>
                </c:pt>
                <c:pt idx="5">
                  <c:v>7</c:v>
                </c:pt>
                <c:pt idx="6">
                  <c:v>9</c:v>
                </c:pt>
                <c:pt idx="7">
                  <c:v>10</c:v>
                </c:pt>
                <c:pt idx="8">
                  <c:v>14</c:v>
                </c:pt>
                <c:pt idx="9">
                  <c:v>7</c:v>
                </c:pt>
                <c:pt idx="10">
                  <c:v>11</c:v>
                </c:pt>
              </c:numCache>
            </c:numRef>
          </c:val>
          <c:extLst>
            <c:ext xmlns:c16="http://schemas.microsoft.com/office/drawing/2014/chart" uri="{C3380CC4-5D6E-409C-BE32-E72D297353CC}">
              <c16:uniqueId val="{00000000-91BF-457C-8F65-DE091D1B6134}"/>
            </c:ext>
          </c:extLst>
        </c:ser>
        <c:ser>
          <c:idx val="1"/>
          <c:order val="1"/>
          <c:tx>
            <c:strRef>
              <c:f>Contadores!$B$6</c:f>
              <c:strCache>
                <c:ptCount val="1"/>
                <c:pt idx="0">
                  <c:v>Pontuação</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Contadores!$C$3:$M$3</c:f>
              <c:strCache>
                <c:ptCount val="11"/>
                <c:pt idx="0">
                  <c:v>I</c:v>
                </c:pt>
                <c:pt idx="1">
                  <c:v>II</c:v>
                </c:pt>
                <c:pt idx="2">
                  <c:v>III</c:v>
                </c:pt>
                <c:pt idx="3">
                  <c:v>IV</c:v>
                </c:pt>
                <c:pt idx="4">
                  <c:v>V</c:v>
                </c:pt>
                <c:pt idx="5">
                  <c:v>VI</c:v>
                </c:pt>
                <c:pt idx="6">
                  <c:v>VII</c:v>
                </c:pt>
                <c:pt idx="7">
                  <c:v>VIII</c:v>
                </c:pt>
                <c:pt idx="8">
                  <c:v>IX</c:v>
                </c:pt>
                <c:pt idx="9">
                  <c:v>X</c:v>
                </c:pt>
                <c:pt idx="10">
                  <c:v>XI</c:v>
                </c:pt>
              </c:strCache>
            </c:strRef>
          </c:cat>
          <c:val>
            <c:numRef>
              <c:f>Contadores!$C$6:$M$6</c:f>
              <c:numCache>
                <c:formatCode>General</c:formatCode>
                <c:ptCount val="11"/>
                <c:pt idx="0">
                  <c:v>154</c:v>
                </c:pt>
                <c:pt idx="1">
                  <c:v>108</c:v>
                </c:pt>
                <c:pt idx="2">
                  <c:v>78</c:v>
                </c:pt>
                <c:pt idx="3">
                  <c:v>91</c:v>
                </c:pt>
                <c:pt idx="4">
                  <c:v>130</c:v>
                </c:pt>
                <c:pt idx="5">
                  <c:v>118</c:v>
                </c:pt>
                <c:pt idx="6">
                  <c:v>106</c:v>
                </c:pt>
                <c:pt idx="7">
                  <c:v>114</c:v>
                </c:pt>
                <c:pt idx="8">
                  <c:v>141</c:v>
                </c:pt>
                <c:pt idx="9">
                  <c:v>83</c:v>
                </c:pt>
                <c:pt idx="10">
                  <c:v>83</c:v>
                </c:pt>
              </c:numCache>
            </c:numRef>
          </c:val>
          <c:extLst>
            <c:ext xmlns:c16="http://schemas.microsoft.com/office/drawing/2014/chart" uri="{C3380CC4-5D6E-409C-BE32-E72D297353CC}">
              <c16:uniqueId val="{00000001-91BF-457C-8F65-DE091D1B6134}"/>
            </c:ext>
          </c:extLst>
        </c:ser>
        <c:dLbls>
          <c:dLblPos val="ctr"/>
          <c:showLegendKey val="0"/>
          <c:showVal val="1"/>
          <c:showCatName val="0"/>
          <c:showSerName val="0"/>
          <c:showPercent val="0"/>
          <c:showBubbleSize val="0"/>
        </c:dLbls>
        <c:gapWidth val="150"/>
        <c:overlap val="100"/>
        <c:axId val="1282111840"/>
        <c:axId val="1282122400"/>
      </c:barChart>
      <c:catAx>
        <c:axId val="12821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82122400"/>
        <c:crosses val="autoZero"/>
        <c:auto val="1"/>
        <c:lblAlgn val="ctr"/>
        <c:lblOffset val="100"/>
        <c:noMultiLvlLbl val="0"/>
      </c:catAx>
      <c:valAx>
        <c:axId val="128212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8211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Distribuição QN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doughnutChart>
        <c:varyColors val="1"/>
        <c:ser>
          <c:idx val="0"/>
          <c:order val="0"/>
          <c:tx>
            <c:strRef>
              <c:f>Contadores!$U$3</c:f>
              <c:strCache>
                <c:ptCount val="1"/>
                <c:pt idx="0">
                  <c:v>% 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45F-4E09-998C-A02FAE49E86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45F-4E09-998C-A02FAE49E86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45F-4E09-998C-A02FAE49E86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45F-4E09-998C-A02FAE49E868}"/>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045F-4E09-998C-A02FAE49E86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Contadores!$R$4:$R$8</c:f>
              <c:strCache>
                <c:ptCount val="5"/>
                <c:pt idx="0">
                  <c:v>QN1</c:v>
                </c:pt>
                <c:pt idx="1">
                  <c:v>QN2</c:v>
                </c:pt>
                <c:pt idx="2">
                  <c:v>QN3</c:v>
                </c:pt>
                <c:pt idx="3">
                  <c:v>QN4</c:v>
                </c:pt>
                <c:pt idx="4">
                  <c:v>QN5</c:v>
                </c:pt>
              </c:strCache>
            </c:strRef>
          </c:cat>
          <c:val>
            <c:numRef>
              <c:f>Contadores!$U$4:$U$8</c:f>
              <c:numCache>
                <c:formatCode>0%</c:formatCode>
                <c:ptCount val="5"/>
                <c:pt idx="0">
                  <c:v>0.13333333333333333</c:v>
                </c:pt>
                <c:pt idx="1">
                  <c:v>0.12380952380952381</c:v>
                </c:pt>
                <c:pt idx="2">
                  <c:v>0.52380952380952384</c:v>
                </c:pt>
                <c:pt idx="3">
                  <c:v>5.7142857142857141E-2</c:v>
                </c:pt>
                <c:pt idx="4">
                  <c:v>0.16190476190476191</c:v>
                </c:pt>
              </c:numCache>
            </c:numRef>
          </c:val>
          <c:extLst>
            <c:ext xmlns:c16="http://schemas.microsoft.com/office/drawing/2014/chart" uri="{C3380CC4-5D6E-409C-BE32-E72D297353CC}">
              <c16:uniqueId val="{00000000-1D5B-4BF7-848B-A2A5F2767B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981075</xdr:colOff>
      <xdr:row>51</xdr:row>
      <xdr:rowOff>123825</xdr:rowOff>
    </xdr:from>
    <xdr:to>
      <xdr:col>5</xdr:col>
      <xdr:colOff>2314575</xdr:colOff>
      <xdr:row>67</xdr:row>
      <xdr:rowOff>123825</xdr:rowOff>
    </xdr:to>
    <xdr:sp macro="" textlink="">
      <xdr:nvSpPr>
        <xdr:cNvPr id="3" name="CaixaDeTexto 1">
          <a:extLst>
            <a:ext uri="{FF2B5EF4-FFF2-40B4-BE49-F238E27FC236}">
              <a16:creationId xmlns:a16="http://schemas.microsoft.com/office/drawing/2014/main" id="{D8F288E1-2057-22A7-DF55-1A4656311B03}"/>
            </a:ext>
          </a:extLst>
        </xdr:cNvPr>
        <xdr:cNvSpPr txBox="1"/>
      </xdr:nvSpPr>
      <xdr:spPr>
        <a:xfrm>
          <a:off x="2771775" y="45062775"/>
          <a:ext cx="17145000" cy="289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kern="1200"/>
            <a:t>(1) A resposta a esta pergunta condicionará a habilitação das Questões 1.2; 1.3; 2.2; 4.3; 13.1; 13.2; 13.3; 13.4 e 13.5 do Formulário de Conformidade</a:t>
          </a:r>
        </a:p>
        <a:p>
          <a:r>
            <a:rPr lang="pt-BR" sz="1100" kern="1200"/>
            <a:t>(2) A resposta a esta pergunta condicionará a habilitação das Questões EA7.1, EA7.2 e EA7.3 do Formulário de Perfil</a:t>
          </a:r>
        </a:p>
        <a:p>
          <a:r>
            <a:rPr lang="pt-BR" sz="1100" kern="1200"/>
            <a:t>(3) A resposta a esta pergunta condicionará a habilitação das Questões 16.1 e 16.2 do Formulário de Conformidade</a:t>
          </a:r>
        </a:p>
        <a:p>
          <a:r>
            <a:rPr lang="pt-BR" sz="1100" kern="1200"/>
            <a:t>(4) A resposta a esta pergunta condicionará a habilitação da Questão EA8.1 do Formulário de Perfil</a:t>
          </a:r>
        </a:p>
        <a:p>
          <a:r>
            <a:rPr lang="pt-BR" sz="1100" kern="1200"/>
            <a:t>(5) A resposta a esta pergunta condicionará a habilitação da Questão IP1.1 do Formulário de Perfil</a:t>
          </a:r>
        </a:p>
        <a:p>
          <a:r>
            <a:rPr lang="pt-BR" sz="1100" kern="1200"/>
            <a:t>(6) A resposta a esta pergunta condicionará a habilitação da Questão IP7.1 do Formulário de Perfil</a:t>
          </a:r>
        </a:p>
        <a:p>
          <a:r>
            <a:rPr lang="pt-BR" sz="1100">
              <a:solidFill>
                <a:schemeClr val="dk1"/>
              </a:solidFill>
              <a:effectLst/>
              <a:latin typeface="+mn-lt"/>
              <a:ea typeface="+mn-ea"/>
              <a:cs typeface="+mn-cs"/>
            </a:rPr>
            <a:t>(7) </a:t>
          </a:r>
          <a:r>
            <a:rPr lang="pt-BR" sz="1100" kern="1200"/>
            <a:t>A resposta a esta pergunta condicionará a habilitação da Questão IP8.1 do Formulário de Perfil</a:t>
          </a:r>
        </a:p>
        <a:p>
          <a:r>
            <a:rPr lang="pt-BR" sz="1100">
              <a:solidFill>
                <a:schemeClr val="dk1"/>
              </a:solidFill>
              <a:effectLst/>
              <a:latin typeface="+mn-lt"/>
              <a:ea typeface="+mn-ea"/>
              <a:cs typeface="+mn-cs"/>
            </a:rPr>
            <a:t>(8) </a:t>
          </a:r>
          <a:r>
            <a:rPr lang="pt-BR" sz="1100" kern="1200"/>
            <a:t>A resposta a esta pergunta condicionará a habilitação das Questões 14.1.3; 21.1; 21.2 do Formulário de Conformidade</a:t>
          </a:r>
        </a:p>
        <a:p>
          <a:r>
            <a:rPr lang="pt-BR" sz="1100">
              <a:solidFill>
                <a:schemeClr val="dk1"/>
              </a:solidFill>
              <a:effectLst/>
              <a:latin typeface="+mn-lt"/>
              <a:ea typeface="+mn-ea"/>
              <a:cs typeface="+mn-cs"/>
            </a:rPr>
            <a:t>(9) </a:t>
          </a:r>
          <a:r>
            <a:rPr lang="pt-BR" sz="1100" kern="1200"/>
            <a:t>A resposta a esta pergunta condicionará a habilitação da Questão 20.4 do Formulário de Conformidade</a:t>
          </a:r>
        </a:p>
        <a:p>
          <a:r>
            <a:rPr lang="pt-BR" sz="1100">
              <a:solidFill>
                <a:schemeClr val="dk1"/>
              </a:solidFill>
              <a:effectLst/>
              <a:latin typeface="+mn-lt"/>
              <a:ea typeface="+mn-ea"/>
              <a:cs typeface="+mn-cs"/>
            </a:rPr>
            <a:t>(10) </a:t>
          </a:r>
          <a:r>
            <a:rPr lang="pt-BR" sz="1100" kern="1200"/>
            <a:t>A resposta a esta pergunta condicionará a habilitação da Questões 18.3 e 19.2 do Formulário de Conformidade</a:t>
          </a:r>
        </a:p>
        <a:p>
          <a:r>
            <a:rPr lang="pt-BR" sz="1100">
              <a:solidFill>
                <a:schemeClr val="dk1"/>
              </a:solidFill>
              <a:effectLst/>
              <a:latin typeface="+mn-lt"/>
              <a:ea typeface="+mn-ea"/>
              <a:cs typeface="+mn-cs"/>
            </a:rPr>
            <a:t>(11) </a:t>
          </a:r>
          <a:r>
            <a:rPr lang="pt-BR" sz="1100" kern="1200"/>
            <a:t>A resposta a esta pergunta condicionará a habilitação da Questão PI5.1 do Formulário de Perfil</a:t>
          </a:r>
        </a:p>
        <a:p>
          <a:r>
            <a:rPr lang="pt-BR" sz="1100" kern="1200"/>
            <a:t>(12) A resposta a esta pergunta condicionará a habilitação da Questão PI8.1 do Formulário de Perfil</a:t>
          </a:r>
        </a:p>
        <a:p>
          <a:endParaRPr lang="pt-BR" sz="1100" kern="1200"/>
        </a:p>
        <a:p>
          <a:endParaRPr lang="pt-BR" sz="1100" kern="1200"/>
        </a:p>
        <a:p>
          <a:endParaRPr lang="pt-BR" sz="1100" kern="1200"/>
        </a:p>
      </xdr:txBody>
    </xdr:sp>
    <xdr:clientData/>
  </xdr:twoCellAnchor>
  <xdr:twoCellAnchor>
    <xdr:from>
      <xdr:col>1</xdr:col>
      <xdr:colOff>19050</xdr:colOff>
      <xdr:row>1</xdr:row>
      <xdr:rowOff>95250</xdr:rowOff>
    </xdr:from>
    <xdr:to>
      <xdr:col>2</xdr:col>
      <xdr:colOff>2371725</xdr:colOff>
      <xdr:row>1</xdr:row>
      <xdr:rowOff>1095375</xdr:rowOff>
    </xdr:to>
    <xdr:sp macro="" textlink="">
      <xdr:nvSpPr>
        <xdr:cNvPr id="23" name="CaixaDeTexto 2">
          <a:extLst>
            <a:ext uri="{FF2B5EF4-FFF2-40B4-BE49-F238E27FC236}">
              <a16:creationId xmlns:a16="http://schemas.microsoft.com/office/drawing/2014/main" id="{2C13649E-9A45-4DB8-B5AA-04A3641CFCF1}"/>
            </a:ext>
          </a:extLst>
        </xdr:cNvPr>
        <xdr:cNvSpPr txBox="1"/>
      </xdr:nvSpPr>
      <xdr:spPr>
        <a:xfrm>
          <a:off x="628650" y="285750"/>
          <a:ext cx="2962275" cy="1000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2800" b="1">
              <a:solidFill>
                <a:schemeClr val="tx2"/>
              </a:solidFill>
              <a:latin typeface="Calibri" panose="020F0502020204030204" pitchFamily="34" charset="0"/>
              <a:ea typeface="Calibri" panose="020F0502020204030204" pitchFamily="34" charset="0"/>
              <a:cs typeface="Calibri" panose="020F0502020204030204" pitchFamily="34" charset="0"/>
            </a:rPr>
            <a:t>FORMULÁRIO DE PERFIL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38099</xdr:colOff>
      <xdr:row>10</xdr:row>
      <xdr:rowOff>71437</xdr:rowOff>
    </xdr:from>
    <xdr:to>
      <xdr:col>14</xdr:col>
      <xdr:colOff>581025</xdr:colOff>
      <xdr:row>24</xdr:row>
      <xdr:rowOff>147637</xdr:rowOff>
    </xdr:to>
    <xdr:graphicFrame macro="">
      <xdr:nvGraphicFramePr>
        <xdr:cNvPr id="3" name="Gráfico 2">
          <a:extLst>
            <a:ext uri="{FF2B5EF4-FFF2-40B4-BE49-F238E27FC236}">
              <a16:creationId xmlns:a16="http://schemas.microsoft.com/office/drawing/2014/main" id="{FC78E64B-32F8-A745-8616-7366797F0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28574</xdr:colOff>
      <xdr:row>26</xdr:row>
      <xdr:rowOff>176212</xdr:rowOff>
    </xdr:from>
    <xdr:to>
      <xdr:col>15</xdr:col>
      <xdr:colOff>28574</xdr:colOff>
      <xdr:row>44</xdr:row>
      <xdr:rowOff>76200</xdr:rowOff>
    </xdr:to>
    <xdr:graphicFrame macro="">
      <xdr:nvGraphicFramePr>
        <xdr:cNvPr id="4" name="Gráfico 3">
          <a:extLst>
            <a:ext uri="{FF2B5EF4-FFF2-40B4-BE49-F238E27FC236}">
              <a16:creationId xmlns:a16="http://schemas.microsoft.com/office/drawing/2014/main" id="{5062AF3E-C590-E6BE-FF6A-B6666B6FD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28574</xdr:colOff>
      <xdr:row>10</xdr:row>
      <xdr:rowOff>42862</xdr:rowOff>
    </xdr:from>
    <xdr:to>
      <xdr:col>22</xdr:col>
      <xdr:colOff>57149</xdr:colOff>
      <xdr:row>24</xdr:row>
      <xdr:rowOff>171450</xdr:rowOff>
    </xdr:to>
    <xdr:graphicFrame macro="">
      <xdr:nvGraphicFramePr>
        <xdr:cNvPr id="5" name="Gráfico 4">
          <a:extLst>
            <a:ext uri="{FF2B5EF4-FFF2-40B4-BE49-F238E27FC236}">
              <a16:creationId xmlns:a16="http://schemas.microsoft.com/office/drawing/2014/main" id="{8CB3F14D-A500-1DA9-0512-BE11A140D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533400</xdr:colOff>
      <xdr:row>1</xdr:row>
      <xdr:rowOff>438150</xdr:rowOff>
    </xdr:from>
    <xdr:to>
      <xdr:col>3</xdr:col>
      <xdr:colOff>523875</xdr:colOff>
      <xdr:row>1</xdr:row>
      <xdr:rowOff>1035845</xdr:rowOff>
    </xdr:to>
    <xdr:sp macro="" textlink="">
      <xdr:nvSpPr>
        <xdr:cNvPr id="6" name="CaixaDeTexto 1">
          <a:extLst>
            <a:ext uri="{FF2B5EF4-FFF2-40B4-BE49-F238E27FC236}">
              <a16:creationId xmlns:a16="http://schemas.microsoft.com/office/drawing/2014/main" id="{488D667F-99A3-44EB-A57D-2F9EF2399AA4}"/>
            </a:ext>
          </a:extLst>
        </xdr:cNvPr>
        <xdr:cNvSpPr txBox="1"/>
      </xdr:nvSpPr>
      <xdr:spPr>
        <a:xfrm>
          <a:off x="533400" y="628650"/>
          <a:ext cx="8991600" cy="5976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2800" b="1">
              <a:solidFill>
                <a:schemeClr val="tx2"/>
              </a:solidFill>
              <a:latin typeface="Calibri" panose="020F0502020204030204" pitchFamily="34" charset="0"/>
              <a:ea typeface="Calibri" panose="020F0502020204030204" pitchFamily="34" charset="0"/>
              <a:cs typeface="Calibri" panose="020F0502020204030204" pitchFamily="34" charset="0"/>
            </a:rPr>
            <a:t>RESULTADO - Avaliação Formulário de Conformidade</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0</xdr:colOff>
      <xdr:row>12</xdr:row>
      <xdr:rowOff>11906</xdr:rowOff>
    </xdr:from>
    <xdr:to>
      <xdr:col>25</xdr:col>
      <xdr:colOff>212476</xdr:colOff>
      <xdr:row>17</xdr:row>
      <xdr:rowOff>38101</xdr:rowOff>
    </xdr:to>
    <mc:AlternateContent xmlns:mc="http://schemas.openxmlformats.org/markup-compatibility/2006" xmlns:sle15="http://schemas.microsoft.com/office/drawing/2012/slicer">
      <mc:Choice Requires="sle15">
        <xdr:graphicFrame macro="">
          <xdr:nvGraphicFramePr>
            <xdr:cNvPr id="2" name="Área">
              <a:extLst>
                <a:ext uri="{FF2B5EF4-FFF2-40B4-BE49-F238E27FC236}">
                  <a16:creationId xmlns:a16="http://schemas.microsoft.com/office/drawing/2014/main" id="{423FDFF2-BA13-43EB-8A70-08A233F02CD0}"/>
                </a:ext>
              </a:extLst>
            </xdr:cNvPr>
            <xdr:cNvGraphicFramePr/>
          </xdr:nvGraphicFramePr>
          <xdr:xfrm>
            <a:off x="0" y="0"/>
            <a:ext cx="0" cy="0"/>
          </xdr:xfrm>
          <a:graphic>
            <a:graphicData uri="http://schemas.microsoft.com/office/drawing/2010/slicer">
              <sle:slicer xmlns:sle="http://schemas.microsoft.com/office/drawing/2010/slicer" name="Área"/>
            </a:graphicData>
          </a:graphic>
        </xdr:graphicFrame>
      </mc:Choice>
      <mc:Fallback xmlns="">
        <xdr:sp macro="" textlink="">
          <xdr:nvSpPr>
            <xdr:cNvPr id="0" name=""/>
            <xdr:cNvSpPr>
              <a:spLocks noTextEdit="1"/>
            </xdr:cNvSpPr>
          </xdr:nvSpPr>
          <xdr:spPr>
            <a:xfrm>
              <a:off x="6705600" y="2297906"/>
              <a:ext cx="8746876" cy="97869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25</xdr:col>
      <xdr:colOff>355584</xdr:colOff>
      <xdr:row>12</xdr:row>
      <xdr:rowOff>0</xdr:rowOff>
    </xdr:from>
    <xdr:to>
      <xdr:col>30</xdr:col>
      <xdr:colOff>102331</xdr:colOff>
      <xdr:row>17</xdr:row>
      <xdr:rowOff>54769</xdr:rowOff>
    </xdr:to>
    <mc:AlternateContent xmlns:mc="http://schemas.openxmlformats.org/markup-compatibility/2006" xmlns:sle15="http://schemas.microsoft.com/office/drawing/2012/slicer">
      <mc:Choice Requires="sle15">
        <xdr:graphicFrame macro="">
          <xdr:nvGraphicFramePr>
            <xdr:cNvPr id="3" name="Peso">
              <a:extLst>
                <a:ext uri="{FF2B5EF4-FFF2-40B4-BE49-F238E27FC236}">
                  <a16:creationId xmlns:a16="http://schemas.microsoft.com/office/drawing/2014/main" id="{FCD5DBAF-C42E-4AC6-A5E6-F0AD1211A20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eso"/>
            </a:graphicData>
          </a:graphic>
        </xdr:graphicFrame>
      </mc:Choice>
      <mc:Fallback xmlns="">
        <xdr:sp macro="" textlink="">
          <xdr:nvSpPr>
            <xdr:cNvPr id="0" name=""/>
            <xdr:cNvSpPr>
              <a:spLocks noTextEdit="1"/>
            </xdr:cNvSpPr>
          </xdr:nvSpPr>
          <xdr:spPr>
            <a:xfrm>
              <a:off x="15595584" y="2286000"/>
              <a:ext cx="2794747" cy="100726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arcos Vinicius Marinho Madeiro" id="{63E9DADF-A86A-4271-9191-378E6B14C925}" userId="S::marcos.madeiro@cgu.gov.br::57cc77e1-dfe7-4a56-95bb-05da3cc3c7a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FC2D9A5-EABB-43F9-87B9-55D61F801ADD}" autoFormatId="16" applyNumberFormats="0" applyBorderFormats="0" applyFontFormats="0" applyPatternFormats="0" applyAlignmentFormats="0" applyWidthHeightFormats="0">
  <queryTableRefresh nextId="15">
    <queryTableFields count="14">
      <queryTableField id="1" name="DescTituloPerguntaFormularioTipoAvaliacao" tableColumnId="1"/>
      <queryTableField id="2" name="IdBlocoFormularioTipoAvaliacao" tableColumnId="2"/>
      <queryTableField id="3" name="FlgAgrupadora" tableColumnId="3"/>
      <queryTableField id="4" name="FlgDistribuicaoValorRespostaNaoSeAplica" tableColumnId="4"/>
      <queryTableField id="5" name="FlgRespostaPossivelNaoSeAplica" tableColumnId="5"/>
      <queryTableField id="6" name="FlgRespostaPossivelParcialmente" tableColumnId="6"/>
      <queryTableField id="7" name="FlgRespostaPossivelSimNao" tableColumnId="7"/>
      <queryTableField id="8" name="FlgSolicitantePodeResponder" tableColumnId="8"/>
      <queryTableField id="9" name="NumOrdem" tableColumnId="9"/>
      <queryTableField id="10" name="ValFixoPontuacaoItem" tableColumnId="10"/>
      <queryTableField id="11" name="FlgEvidenciaObrigatoria" tableColumnId="11"/>
      <queryTableField id="12" name="FlgMedidaMinimaAdocaoProgramaIntegridade" tableColumnId="12"/>
      <queryTableField id="13" name="FlgObservacaoObrigatoria" tableColumnId="13"/>
      <queryTableField id="14" name="TxtInformacaoAdicional"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2" connectionId="3" xr16:uid="{CDEA531D-C27A-4523-A1EF-3233B6122B02}" autoFormatId="16" applyNumberFormats="0" applyBorderFormats="0" applyFontFormats="0" applyPatternFormats="0" applyAlignmentFormats="0" applyWidthHeightFormats="0">
  <queryTableRefresh nextId="9" unboundColumnsRight="2">
    <queryTableFields count="8">
      <queryTableField id="1" name="IdAreaFormularioTipoAvaliacao" tableColumnId="1"/>
      <queryTableField id="2" name="NomAreaFormularioTipoAvaliacao" tableColumnId="2"/>
      <queryTableField id="3" name="Soma de NumOrdem" tableColumnId="3"/>
      <queryTableField id="4" name="Soma de PctNotaMinima" tableColumnId="4"/>
      <queryTableField id="5" name="TxtFormulaCalculoPontoBloco" tableColumnId="5"/>
      <queryTableField id="6" name="ValNotaMaxima"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5" xr16:uid="{23F3433F-075D-46AD-8DF5-71314988B4E4}" autoFormatId="16" applyNumberFormats="0" applyBorderFormats="0" applyFontFormats="0" applyPatternFormats="0" applyAlignmentFormats="0" applyWidthHeightFormats="0">
  <queryTableRefresh nextId="9">
    <queryTableFields count="8">
      <queryTableField id="1" name="IdGrupoFormularioTipoAvaliacao" tableColumnId="1"/>
      <queryTableField id="2" name="NomQuestaoFormularioTipoAvaliacao" tableColumnId="2"/>
      <queryTableField id="3" name="TpQuestaoFormularioTipoAvaliacao" tableColumnId="3"/>
      <queryTableField id="4" name="TpMascara" tableColumnId="4"/>
      <queryTableField id="5" name="TxtInformacaoAdicional" tableColumnId="5"/>
      <queryTableField id="6" name="NumOrdem" tableColumnId="6"/>
      <queryTableField id="7" name="FlgObrigatorio" tableColumnId="7"/>
      <queryTableField id="8" name="IdOpcaoQuestaoFormularioTipoAvaliacaoCondicionan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eso" xr10:uid="{809D7B02-49F5-492B-A2E7-B31650139710}" sourceName="Nível">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Área" xr10:uid="{B26683AD-98BE-413B-AA03-54B5825C3DB7}" sourceName="Área">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so" xr10:uid="{DF349659-4F2E-4D45-8B1E-497288D5F32E}" cache="SegmentaçãodeDados_Peso" caption="Nível" columnCount="4" rowHeight="257175"/>
  <slicer name="Área" xr10:uid="{2173A7A0-DBF8-47E4-92F5-FBEC1D221E2C}" cache="SegmentaçãodeDados_Área" caption="Área" columnCount="6" rowHeight="257175"/>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FB339A-2E2A-4C96-8C74-7D346F456B41}" name="Tabela2" displayName="Tabela2" ref="B3:F50" totalsRowShown="0" headerRowDxfId="43" headerRowBorderDxfId="42" tableBorderDxfId="41">
  <autoFilter ref="B3:F50" xr:uid="{75FB339A-2E2A-4C96-8C74-7D346F456B41}"/>
  <tableColumns count="5">
    <tableColumn id="1" xr3:uid="{4E1A6DE2-DF53-47C7-875E-EBE66E140206}" name="QTDE" dataDxfId="40"/>
    <tableColumn id="2" xr3:uid="{A28665F0-E4B5-4106-9E28-B6DC935EE3AA}" name="DADOS BÁSICOS" dataDxfId="39"/>
    <tableColumn id="5" xr3:uid="{B3F5A670-7772-4ED6-A9EA-C99082C5C06B}" name="Tooltip" dataDxfId="38"/>
    <tableColumn id="3" xr3:uid="{F1513A30-5AF8-4A89-834D-5EC9C9D710F4}" name="TIPO" dataDxfId="37"/>
    <tableColumn id="4" xr3:uid="{4E4FB77E-7525-4743-90AC-2597A65CABE3}" name="Opções"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B9DEC-0774-4279-9AF5-E20C757F773C}" name="Tabela1" displayName="Tabela1" ref="B6:M171" totalsRowShown="0" headerRowDxfId="35" dataDxfId="34" tableBorderDxfId="33">
  <autoFilter ref="B6:M171" xr:uid="{5C1B9DEC-0774-4279-9AF5-E20C757F773C}"/>
  <tableColumns count="12">
    <tableColumn id="1" xr3:uid="{FE3FA39C-D77B-4B8C-AB77-6F3C308E0317}" name="Área" dataDxfId="32"/>
    <tableColumn id="2" xr3:uid="{567841A8-23B0-4FA2-AF2D-292A7807DE46}" name="Tipo" dataDxfId="31"/>
    <tableColumn id="3" xr3:uid="{D7291BEE-46C3-4339-8615-864C77A2C0D4}" name="Item" dataDxfId="30"/>
    <tableColumn id="4" xr3:uid="{B1B6680A-9DF4-4DD1-BC60-254D938AF529}" name="Tipo de Resposta" dataDxfId="29"/>
    <tableColumn id="5" xr3:uid="{91D2816D-BAB3-4AC5-AE75-5FBBFDF24475}" name="Nível" dataDxfId="28"/>
    <tableColumn id="6" xr3:uid="{18BA2872-1E8D-4D6A-BEA7-4DF405B19DA6}" name="Valor" dataDxfId="27"/>
    <tableColumn id="10" xr3:uid="{BCFAB5ED-3297-402B-9D37-09A345B561A3}" name="Avaliação" dataDxfId="26"/>
    <tableColumn id="13" xr3:uid="{A4DA0DCD-4A8D-485C-8381-6F62FB4F2BB2}" name="Pont. Resdist." dataDxfId="25"/>
    <tableColumn id="12" xr3:uid="{CC4D3146-D946-412E-A4E6-B00510370645}" name="Pontuação" dataDxfId="24">
      <calculatedColumnFormula>IF(H7="Sim",G7*1,IF(H7="Não",G7*0,IF(H7="Parcialmente",G7/2,"")))+Tabela1[[#This Row],[Pont. Resdist.]]</calculatedColumnFormula>
    </tableColumn>
    <tableColumn id="11" xr3:uid="{B5899076-7C03-493C-B28D-CDC69D6B9F14}" name="Evidência" dataDxfId="23"/>
    <tableColumn id="9" xr3:uid="{960326DA-D3C1-4576-8BE5-4777C863ECCC}" name="Vinculação Condicional" dataDxfId="22"/>
    <tableColumn id="8" xr3:uid="{D89F6F68-A1EC-479B-AEB9-B45614E68F0B}" name="Distribuição &quot;Não se aplica&quot;" dataDxfId="2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E41E34-A366-4C14-BEBF-55B24CF1B637}" name="Tabela_3__Validação_da_Tabela_PerguntaFormularioTipoAvaliacao" displayName="Tabela_3__Validação_da_Tabela_PerguntaFormularioTipoAvaliacao" ref="A1:N119" tableType="queryTable" totalsRowShown="0" headerRowDxfId="20">
  <autoFilter ref="A1:N119" xr:uid="{BDE41E34-A366-4C14-BEBF-55B24CF1B637}">
    <filterColumn colId="9">
      <filters>
        <filter val="20"/>
      </filters>
    </filterColumn>
  </autoFilter>
  <tableColumns count="14">
    <tableColumn id="1" xr3:uid="{50B443E4-9F0B-4155-9C48-117DFD373FB8}" uniqueName="1" name="DescTituloPerguntaFormularioTipoAvaliacao" queryTableFieldId="1" dataDxfId="19"/>
    <tableColumn id="2" xr3:uid="{C982D452-9D8D-4417-A723-F6B0C9A7CFE2}" uniqueName="2" name="IdBlocoFormularioTipoAvaliacao" queryTableFieldId="2"/>
    <tableColumn id="3" xr3:uid="{12A79DD1-C241-49A7-8B68-5AE05E45FF85}" uniqueName="3" name="FlgAgrupadora" queryTableFieldId="3"/>
    <tableColumn id="4" xr3:uid="{2F555F00-A611-4EAA-A685-331ACAB2BBFA}" uniqueName="4" name="FlgDistribuicaoValorRespostaNaoSeAplica" queryTableFieldId="4"/>
    <tableColumn id="5" xr3:uid="{CF4BEA15-3727-435E-9D04-DC613409B005}" uniqueName="5" name="FlgRespostaPossivelNaoSeAplica" queryTableFieldId="5"/>
    <tableColumn id="6" xr3:uid="{A61383A6-9286-43A3-9DCF-64E1999B29E4}" uniqueName="6" name="FlgRespostaPossivelParcialmente" queryTableFieldId="6"/>
    <tableColumn id="7" xr3:uid="{31EABD50-8F7E-4B31-809D-49E3859674CA}" uniqueName="7" name="FlgRespostaPossivelSimNao" queryTableFieldId="7"/>
    <tableColumn id="8" xr3:uid="{52EF5DFA-C9A4-4CCE-B1A9-2CA8B64797B6}" uniqueName="8" name="FlgSolicitantePodeResponder" queryTableFieldId="8"/>
    <tableColumn id="9" xr3:uid="{8C2AA739-E4F8-4B1A-9D6F-0F071710CFB5}" uniqueName="9" name="NumOrdem" queryTableFieldId="9"/>
    <tableColumn id="10" xr3:uid="{A3A8ED7C-5756-4A05-8EAC-7026110CA7D3}" uniqueName="10" name="ValFixoPontuacaoItem" queryTableFieldId="10"/>
    <tableColumn id="11" xr3:uid="{1CE836EF-26EA-4008-AD3A-778B824C18B5}" uniqueName="11" name="FlgEvidenciaObrigatoria" queryTableFieldId="11"/>
    <tableColumn id="12" xr3:uid="{74832EE1-C2F4-45FD-8873-2C87BA9B30CA}" uniqueName="12" name="FlgMedidaMinimaAdocaoProgramaIntegridade" queryTableFieldId="12"/>
    <tableColumn id="13" xr3:uid="{29174894-D1C7-4133-94BD-EEE44EB36598}" uniqueName="13" name="FlgObservacaoObrigatoria" queryTableFieldId="13"/>
    <tableColumn id="14" xr3:uid="{D2F9DF90-56C8-4661-802B-E7E42A378AD5}" uniqueName="14" name="TxtInformacaoAdicional" queryTableFieldId="14"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D0C8A8-04E7-4815-9CC7-4D276A8F4CB2}" name="dataareasgv" displayName="dataareasgv" ref="A1:H12" tableType="queryTable" totalsRowShown="0">
  <autoFilter ref="A1:H12" xr:uid="{01D0C8A8-04E7-4815-9CC7-4D276A8F4CB2}"/>
  <tableColumns count="8">
    <tableColumn id="1" xr3:uid="{78B67979-26E9-4AC8-972E-4EB08C8CB3AE}" uniqueName="1" name="IdAreaFormularioTipoAvaliacao" queryTableFieldId="1"/>
    <tableColumn id="2" xr3:uid="{54B0E45E-A089-493C-9FF2-C2F8EAD86D99}" uniqueName="2" name="NomAreaFormularioTipoAvaliacao" queryTableFieldId="2" dataDxfId="17"/>
    <tableColumn id="3" xr3:uid="{3AD91929-A54C-4DEA-8D91-925FEDC14A4B}" uniqueName="3" name="Soma de NumOrdem" queryTableFieldId="3"/>
    <tableColumn id="4" xr3:uid="{BF8EEF1B-A10E-4EBD-8F9F-3AC90337EF61}" uniqueName="4" name="Soma de PctNotaMinima" queryTableFieldId="4"/>
    <tableColumn id="5" xr3:uid="{1CD8C397-FD18-4F22-8410-9803653FEFC7}" uniqueName="5" name="TxtFormulaCalculoPontoBloco" queryTableFieldId="5" dataDxfId="16"/>
    <tableColumn id="6" xr3:uid="{06E262B7-0F91-4F52-9F96-9CBEE084CEC3}" uniqueName="6" name="ValNotaMaxima" queryTableFieldId="6"/>
    <tableColumn id="7" xr3:uid="{A523E905-3DEF-4229-BCC5-1B73CC571D05}" uniqueName="7" name="Coluna1" queryTableFieldId="7" dataDxfId="15">
      <calculatedColumnFormula>SUMIFS('Formulário de Conformidade'!$G:$G,'Formulário de Conformidade'!$C:$C,"Questão",'Formulário de Conformidade'!$B:$B,I2)</calculatedColumnFormula>
    </tableColumn>
    <tableColumn id="8" xr3:uid="{AB2A58F1-D618-4B8F-8B1C-C6C1DE610B09}" uniqueName="8" name="Coluna2" queryTableFieldId="8" dataDxfId="14">
      <calculatedColumnFormula>dataareasgv[[#This Row],[ValNotaMaxima]]=dataareasgv[[#This Row],[Coluna1]]</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0FAB3E-DEC1-4372-B3A9-AB05AA9F0735}" name="Tabela_dataFPGV" displayName="Tabela_dataFPGV" ref="A1:H43" tableType="queryTable" totalsRowShown="0" headerRowDxfId="13">
  <autoFilter ref="A1:H43" xr:uid="{BE0FAB3E-DEC1-4372-B3A9-AB05AA9F0735}"/>
  <sortState xmlns:xlrd2="http://schemas.microsoft.com/office/spreadsheetml/2017/richdata2" ref="A2:H43">
    <sortCondition ref="A2:A43"/>
    <sortCondition ref="F2:F43"/>
  </sortState>
  <tableColumns count="8">
    <tableColumn id="1" xr3:uid="{EC8C6549-5EEB-433D-A9EC-BB128D6F424D}" uniqueName="1" name="IdGrupoFormularioTipoAvaliacao" queryTableFieldId="1"/>
    <tableColumn id="2" xr3:uid="{3E42E356-B57E-470C-BE32-BCAEC078F25D}" uniqueName="2" name="NomQuestaoFormularioTipoAvaliacao" queryTableFieldId="2" dataDxfId="12"/>
    <tableColumn id="3" xr3:uid="{1CB542BB-7EE6-421F-BEC0-82F40896F824}" uniqueName="3" name="TpQuestaoFormularioTipoAvaliacao" queryTableFieldId="3" dataDxfId="11"/>
    <tableColumn id="4" xr3:uid="{C3A71C90-BD15-49B4-BB2E-1A9CE50EBAF9}" uniqueName="4" name="TpMascara" queryTableFieldId="4" dataDxfId="10"/>
    <tableColumn id="5" xr3:uid="{E70D490E-95DB-4174-AD33-FBE04619F448}" uniqueName="5" name="TxtInformacaoAdicional" queryTableFieldId="5" dataDxfId="9"/>
    <tableColumn id="6" xr3:uid="{77D8F01F-3BE4-464E-92B5-5DD1D3ED2126}" uniqueName="6" name="NumOrdem" queryTableFieldId="6"/>
    <tableColumn id="7" xr3:uid="{75D146A2-240E-4B00-B700-204FB6F3CC3A}" uniqueName="7" name="FlgObrigatorio" queryTableFieldId="7"/>
    <tableColumn id="8" xr3:uid="{C9460278-AF77-4F7B-8204-FEBA85BBDE1A}" uniqueName="8" name="IdOpcaoQuestaoFormularioTipoAvaliacaoCondicionante" queryTableFieldId="8"/>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Z87" dT="2025-11-17T15:49:32.78" personId="{63E9DADF-A86A-4271-9191-378E6B14C925}" id="{CFDF8996-7FBD-4746-B33C-909B1BFCA1E7}">
    <text>Questão para o avaliador (sem tootip)</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F4F8-06E7-49BD-AA11-84DBF854BBEC}">
  <sheetPr>
    <pageSetUpPr fitToPage="1"/>
  </sheetPr>
  <dimension ref="B2:F50"/>
  <sheetViews>
    <sheetView zoomScale="70" zoomScaleNormal="70" workbookViewId="0">
      <selection activeCell="F33" sqref="F33"/>
    </sheetView>
  </sheetViews>
  <sheetFormatPr defaultRowHeight="15" x14ac:dyDescent="0.25"/>
  <cols>
    <col min="2" max="2" width="17.7109375" customWidth="1"/>
    <col min="3" max="3" width="112.7109375" style="37" customWidth="1"/>
    <col min="4" max="4" width="96" style="41" customWidth="1"/>
    <col min="5" max="5" width="28.42578125" customWidth="1"/>
    <col min="6" max="6" width="93.5703125" bestFit="1" customWidth="1"/>
  </cols>
  <sheetData>
    <row r="2" spans="2:6" ht="102" customHeight="1" x14ac:dyDescent="0.25"/>
    <row r="3" spans="2:6" ht="15.75" thickBot="1" x14ac:dyDescent="0.3">
      <c r="B3" s="7" t="s">
        <v>0</v>
      </c>
      <c r="C3" s="43" t="s">
        <v>1</v>
      </c>
      <c r="D3" s="43" t="s">
        <v>2</v>
      </c>
      <c r="E3" s="7" t="s">
        <v>3</v>
      </c>
      <c r="F3" s="157" t="s">
        <v>4</v>
      </c>
    </row>
    <row r="4" spans="2:6" ht="63" customHeight="1" x14ac:dyDescent="0.25">
      <c r="B4" s="14" t="s">
        <v>6</v>
      </c>
      <c r="C4" s="1" t="s">
        <v>7</v>
      </c>
      <c r="D4" s="1" t="s">
        <v>8</v>
      </c>
      <c r="E4" s="2" t="s">
        <v>9</v>
      </c>
      <c r="F4" s="169" t="s">
        <v>10</v>
      </c>
    </row>
    <row r="5" spans="2:6" ht="63" customHeight="1" x14ac:dyDescent="0.25">
      <c r="B5" s="14" t="s">
        <v>11</v>
      </c>
      <c r="C5" s="38" t="s">
        <v>12</v>
      </c>
      <c r="D5" s="38" t="s">
        <v>13</v>
      </c>
      <c r="E5" s="2" t="s">
        <v>14</v>
      </c>
      <c r="F5" s="117" t="s">
        <v>15</v>
      </c>
    </row>
    <row r="6" spans="2:6" ht="63" customHeight="1" x14ac:dyDescent="0.25">
      <c r="B6" s="14">
        <v>3</v>
      </c>
      <c r="C6" s="1" t="s">
        <v>16</v>
      </c>
      <c r="D6" s="1" t="s">
        <v>17</v>
      </c>
      <c r="E6" s="2" t="s">
        <v>18</v>
      </c>
      <c r="F6" s="117" t="s">
        <v>19</v>
      </c>
    </row>
    <row r="7" spans="2:6" ht="63" customHeight="1" x14ac:dyDescent="0.25">
      <c r="B7" s="14">
        <v>4</v>
      </c>
      <c r="C7" s="1" t="s">
        <v>20</v>
      </c>
      <c r="D7" s="1" t="s">
        <v>21</v>
      </c>
      <c r="E7" s="2" t="s">
        <v>9</v>
      </c>
      <c r="F7" s="117" t="s">
        <v>22</v>
      </c>
    </row>
    <row r="8" spans="2:6" ht="63" customHeight="1" x14ac:dyDescent="0.25">
      <c r="B8" s="14">
        <v>5</v>
      </c>
      <c r="C8" s="1" t="s">
        <v>23</v>
      </c>
      <c r="D8" s="1" t="s">
        <v>24</v>
      </c>
      <c r="E8" s="2" t="s">
        <v>9</v>
      </c>
      <c r="F8" s="117" t="s">
        <v>25</v>
      </c>
    </row>
    <row r="9" spans="2:6" ht="63" customHeight="1" x14ac:dyDescent="0.25">
      <c r="B9" s="14">
        <v>6</v>
      </c>
      <c r="C9" s="1" t="s">
        <v>26</v>
      </c>
      <c r="D9" s="1" t="s">
        <v>27</v>
      </c>
      <c r="E9" s="2" t="s">
        <v>28</v>
      </c>
      <c r="F9" s="117" t="s">
        <v>29</v>
      </c>
    </row>
    <row r="10" spans="2:6" ht="20.25" customHeight="1" x14ac:dyDescent="0.25">
      <c r="B10" s="14"/>
      <c r="C10" s="81" t="s">
        <v>30</v>
      </c>
      <c r="D10" s="81"/>
      <c r="E10" s="42"/>
      <c r="F10" s="159"/>
    </row>
    <row r="11" spans="2:6" ht="63" customHeight="1" x14ac:dyDescent="0.25">
      <c r="B11" s="14" t="s">
        <v>6</v>
      </c>
      <c r="C11" s="1" t="s">
        <v>31</v>
      </c>
      <c r="D11" s="1" t="s">
        <v>32</v>
      </c>
      <c r="E11" s="2" t="s">
        <v>33</v>
      </c>
      <c r="F11" s="158" t="s">
        <v>34</v>
      </c>
    </row>
    <row r="12" spans="2:6" ht="63" customHeight="1" x14ac:dyDescent="0.25">
      <c r="B12" s="14" t="s">
        <v>11</v>
      </c>
      <c r="C12" s="127" t="s">
        <v>35</v>
      </c>
      <c r="D12" s="38" t="s">
        <v>36</v>
      </c>
      <c r="E12" s="2" t="s">
        <v>33</v>
      </c>
      <c r="F12" s="12" t="s">
        <v>676</v>
      </c>
    </row>
    <row r="13" spans="2:6" ht="63" customHeight="1" x14ac:dyDescent="0.25">
      <c r="B13" s="14" t="s">
        <v>37</v>
      </c>
      <c r="C13" s="1" t="s">
        <v>38</v>
      </c>
      <c r="D13" s="1" t="s">
        <v>39</v>
      </c>
      <c r="E13" s="2" t="s">
        <v>33</v>
      </c>
      <c r="F13" s="12" t="s">
        <v>677</v>
      </c>
    </row>
    <row r="14" spans="2:6" ht="63" customHeight="1" x14ac:dyDescent="0.25">
      <c r="B14" s="14">
        <v>4</v>
      </c>
      <c r="C14" s="3" t="s">
        <v>40</v>
      </c>
      <c r="D14" s="1" t="s">
        <v>41</v>
      </c>
      <c r="E14" s="2" t="s">
        <v>42</v>
      </c>
      <c r="F14" s="170" t="s">
        <v>43</v>
      </c>
    </row>
    <row r="15" spans="2:6" ht="63" customHeight="1" x14ac:dyDescent="0.25">
      <c r="B15" s="14">
        <v>5</v>
      </c>
      <c r="C15" s="38" t="s">
        <v>44</v>
      </c>
      <c r="D15" s="38" t="s">
        <v>45</v>
      </c>
      <c r="E15" s="2" t="s">
        <v>46</v>
      </c>
      <c r="F15" s="158" t="s">
        <v>47</v>
      </c>
    </row>
    <row r="16" spans="2:6" ht="63" customHeight="1" x14ac:dyDescent="0.25">
      <c r="B16" s="14">
        <v>6</v>
      </c>
      <c r="C16" s="38" t="s">
        <v>48</v>
      </c>
      <c r="D16" s="38" t="s">
        <v>49</v>
      </c>
      <c r="E16" s="2" t="s">
        <v>42</v>
      </c>
      <c r="F16" s="158" t="s">
        <v>50</v>
      </c>
    </row>
    <row r="17" spans="2:6" ht="63" customHeight="1" x14ac:dyDescent="0.25">
      <c r="B17" s="14">
        <v>7</v>
      </c>
      <c r="C17" s="38" t="s">
        <v>51</v>
      </c>
      <c r="D17" s="38" t="s">
        <v>52</v>
      </c>
      <c r="E17" s="2" t="s">
        <v>42</v>
      </c>
      <c r="F17" s="12" t="s">
        <v>678</v>
      </c>
    </row>
    <row r="18" spans="2:6" ht="63" customHeight="1" x14ac:dyDescent="0.25">
      <c r="B18" s="14">
        <v>8</v>
      </c>
      <c r="C18" s="38" t="s">
        <v>53</v>
      </c>
      <c r="D18" s="38" t="s">
        <v>54</v>
      </c>
      <c r="E18" s="2" t="s">
        <v>42</v>
      </c>
      <c r="F18" s="158" t="s">
        <v>55</v>
      </c>
    </row>
    <row r="19" spans="2:6" ht="63" customHeight="1" x14ac:dyDescent="0.25">
      <c r="B19" s="14">
        <v>9</v>
      </c>
      <c r="C19" s="117" t="s">
        <v>56</v>
      </c>
      <c r="D19" s="12" t="s">
        <v>57</v>
      </c>
      <c r="E19" s="2" t="s">
        <v>46</v>
      </c>
      <c r="F19" s="158" t="s">
        <v>58</v>
      </c>
    </row>
    <row r="20" spans="2:6" ht="63" customHeight="1" x14ac:dyDescent="0.25">
      <c r="B20" s="14">
        <v>10</v>
      </c>
      <c r="C20" s="38" t="s">
        <v>59</v>
      </c>
      <c r="D20" s="38" t="s">
        <v>60</v>
      </c>
      <c r="E20" s="2" t="s">
        <v>42</v>
      </c>
      <c r="F20" s="158" t="s">
        <v>61</v>
      </c>
    </row>
    <row r="21" spans="2:6" ht="63" customHeight="1" x14ac:dyDescent="0.25">
      <c r="B21" s="14">
        <v>11</v>
      </c>
      <c r="C21" s="126" t="s">
        <v>62</v>
      </c>
      <c r="D21" s="38" t="s">
        <v>63</v>
      </c>
      <c r="E21" s="2" t="s">
        <v>33</v>
      </c>
      <c r="F21" s="12" t="s">
        <v>679</v>
      </c>
    </row>
    <row r="22" spans="2:6" ht="63" customHeight="1" x14ac:dyDescent="0.25">
      <c r="B22" s="14">
        <v>12</v>
      </c>
      <c r="C22" s="1" t="s">
        <v>64</v>
      </c>
      <c r="D22" s="38" t="s">
        <v>65</v>
      </c>
      <c r="E22" s="2" t="s">
        <v>117</v>
      </c>
      <c r="F22" s="46">
        <v>88</v>
      </c>
    </row>
    <row r="23" spans="2:6" x14ac:dyDescent="0.25">
      <c r="B23" s="14"/>
      <c r="C23" s="67" t="s">
        <v>66</v>
      </c>
      <c r="D23" s="81"/>
      <c r="E23" s="42"/>
      <c r="F23" s="159"/>
    </row>
    <row r="24" spans="2:6" ht="63" customHeight="1" x14ac:dyDescent="0.25">
      <c r="B24" s="14" t="s">
        <v>6</v>
      </c>
      <c r="C24" s="38" t="s">
        <v>67</v>
      </c>
      <c r="D24" s="1" t="s">
        <v>45</v>
      </c>
      <c r="E24" s="2" t="s">
        <v>46</v>
      </c>
      <c r="F24" s="158" t="s">
        <v>47</v>
      </c>
    </row>
    <row r="25" spans="2:6" ht="63" customHeight="1" x14ac:dyDescent="0.25">
      <c r="B25" s="14" t="s">
        <v>11</v>
      </c>
      <c r="C25" s="38" t="s">
        <v>68</v>
      </c>
      <c r="D25" s="1" t="s">
        <v>69</v>
      </c>
      <c r="E25" s="2" t="s">
        <v>42</v>
      </c>
      <c r="F25" s="117" t="s">
        <v>684</v>
      </c>
    </row>
    <row r="26" spans="2:6" ht="63" customHeight="1" x14ac:dyDescent="0.25">
      <c r="B26" s="14" t="s">
        <v>37</v>
      </c>
      <c r="C26" s="38" t="s">
        <v>70</v>
      </c>
      <c r="D26" s="1" t="s">
        <v>71</v>
      </c>
      <c r="E26" s="2" t="s">
        <v>33</v>
      </c>
      <c r="F26" s="158" t="s">
        <v>72</v>
      </c>
    </row>
    <row r="27" spans="2:6" ht="63" customHeight="1" x14ac:dyDescent="0.25">
      <c r="B27" s="14" t="s">
        <v>73</v>
      </c>
      <c r="C27" s="38" t="s">
        <v>74</v>
      </c>
      <c r="D27" s="1" t="s">
        <v>75</v>
      </c>
      <c r="E27" s="2" t="s">
        <v>42</v>
      </c>
      <c r="F27" s="117" t="s">
        <v>76</v>
      </c>
    </row>
    <row r="28" spans="2:6" ht="63" customHeight="1" x14ac:dyDescent="0.25">
      <c r="B28" s="14" t="s">
        <v>77</v>
      </c>
      <c r="C28" s="38" t="s">
        <v>78</v>
      </c>
      <c r="D28" s="1" t="s">
        <v>79</v>
      </c>
      <c r="E28" s="2" t="s">
        <v>33</v>
      </c>
      <c r="F28" s="158" t="s">
        <v>80</v>
      </c>
    </row>
    <row r="29" spans="2:6" ht="63" customHeight="1" x14ac:dyDescent="0.25">
      <c r="B29" s="14" t="s">
        <v>81</v>
      </c>
      <c r="C29" s="1" t="s">
        <v>82</v>
      </c>
      <c r="D29" s="1" t="s">
        <v>83</v>
      </c>
      <c r="E29" s="2" t="s">
        <v>33</v>
      </c>
      <c r="F29" s="158" t="s">
        <v>84</v>
      </c>
    </row>
    <row r="30" spans="2:6" ht="78" customHeight="1" x14ac:dyDescent="0.25">
      <c r="B30" s="14" t="s">
        <v>85</v>
      </c>
      <c r="C30" s="38" t="s">
        <v>86</v>
      </c>
      <c r="D30" s="38" t="s">
        <v>87</v>
      </c>
      <c r="E30" s="2" t="s">
        <v>33</v>
      </c>
      <c r="F30" s="12" t="s">
        <v>680</v>
      </c>
    </row>
    <row r="31" spans="2:6" ht="63" customHeight="1" x14ac:dyDescent="0.25">
      <c r="B31" s="14" t="s">
        <v>88</v>
      </c>
      <c r="C31" s="38" t="s">
        <v>89</v>
      </c>
      <c r="D31" s="38" t="s">
        <v>90</v>
      </c>
      <c r="E31" s="2" t="s">
        <v>46</v>
      </c>
      <c r="F31" s="12" t="s">
        <v>47</v>
      </c>
    </row>
    <row r="32" spans="2:6" ht="63" customHeight="1" x14ac:dyDescent="0.25">
      <c r="B32" s="14" t="s">
        <v>91</v>
      </c>
      <c r="C32" s="38" t="s">
        <v>92</v>
      </c>
      <c r="D32" s="38" t="s">
        <v>93</v>
      </c>
      <c r="E32" s="2" t="s">
        <v>42</v>
      </c>
      <c r="F32" s="12" t="s">
        <v>681</v>
      </c>
    </row>
    <row r="33" spans="2:6" ht="63" customHeight="1" x14ac:dyDescent="0.25">
      <c r="B33" s="14" t="s">
        <v>94</v>
      </c>
      <c r="C33" s="117" t="s">
        <v>95</v>
      </c>
      <c r="D33" s="38" t="s">
        <v>96</v>
      </c>
      <c r="E33" s="2" t="s">
        <v>46</v>
      </c>
      <c r="F33" s="12" t="s">
        <v>124</v>
      </c>
    </row>
    <row r="34" spans="2:6" ht="63" customHeight="1" x14ac:dyDescent="0.25">
      <c r="B34" s="14">
        <v>11</v>
      </c>
      <c r="C34" s="38" t="s">
        <v>97</v>
      </c>
      <c r="D34" s="38" t="s">
        <v>98</v>
      </c>
      <c r="E34" s="2" t="s">
        <v>42</v>
      </c>
      <c r="F34" s="12" t="s">
        <v>127</v>
      </c>
    </row>
    <row r="35" spans="2:6" x14ac:dyDescent="0.25">
      <c r="B35" s="14"/>
      <c r="C35" s="67" t="s">
        <v>99</v>
      </c>
      <c r="D35" s="81"/>
      <c r="E35" s="42"/>
      <c r="F35" s="159"/>
    </row>
    <row r="36" spans="2:6" ht="63" customHeight="1" x14ac:dyDescent="0.25">
      <c r="B36" s="14" t="s">
        <v>6</v>
      </c>
      <c r="C36" s="38" t="s">
        <v>100</v>
      </c>
      <c r="D36" s="38" t="s">
        <v>45</v>
      </c>
      <c r="E36" s="2" t="s">
        <v>46</v>
      </c>
      <c r="F36" s="12" t="s">
        <v>47</v>
      </c>
    </row>
    <row r="37" spans="2:6" ht="63" customHeight="1" x14ac:dyDescent="0.25">
      <c r="B37" s="14">
        <v>2</v>
      </c>
      <c r="C37" s="38" t="s">
        <v>101</v>
      </c>
      <c r="D37" s="38" t="s">
        <v>45</v>
      </c>
      <c r="E37" s="2" t="s">
        <v>46</v>
      </c>
      <c r="F37" s="12" t="s">
        <v>47</v>
      </c>
    </row>
    <row r="38" spans="2:6" x14ac:dyDescent="0.25">
      <c r="B38" s="14"/>
      <c r="C38" s="67" t="s">
        <v>102</v>
      </c>
      <c r="D38" s="81"/>
      <c r="E38" s="42"/>
      <c r="F38" s="159"/>
    </row>
    <row r="39" spans="2:6" ht="63" customHeight="1" x14ac:dyDescent="0.25">
      <c r="B39" s="14" t="s">
        <v>6</v>
      </c>
      <c r="C39" s="38" t="s">
        <v>103</v>
      </c>
      <c r="D39" s="38" t="s">
        <v>45</v>
      </c>
      <c r="E39" s="45" t="s">
        <v>46</v>
      </c>
      <c r="F39" s="12" t="s">
        <v>47</v>
      </c>
    </row>
    <row r="40" spans="2:6" ht="63" customHeight="1" x14ac:dyDescent="0.25">
      <c r="B40" s="14">
        <v>2</v>
      </c>
      <c r="C40" s="38" t="s">
        <v>104</v>
      </c>
      <c r="D40" s="38" t="s">
        <v>105</v>
      </c>
      <c r="E40" s="45" t="s">
        <v>42</v>
      </c>
      <c r="F40" s="12" t="s">
        <v>127</v>
      </c>
    </row>
    <row r="41" spans="2:6" x14ac:dyDescent="0.25">
      <c r="B41" s="14"/>
      <c r="C41" s="67" t="s">
        <v>106</v>
      </c>
      <c r="D41" s="81"/>
      <c r="E41" s="42"/>
      <c r="F41" s="159"/>
    </row>
    <row r="42" spans="2:6" ht="63" customHeight="1" x14ac:dyDescent="0.25">
      <c r="B42" s="14" t="s">
        <v>6</v>
      </c>
      <c r="C42" s="1" t="s">
        <v>107</v>
      </c>
      <c r="D42" s="1" t="s">
        <v>108</v>
      </c>
      <c r="E42" s="2" t="s">
        <v>33</v>
      </c>
      <c r="F42" s="12" t="s">
        <v>109</v>
      </c>
    </row>
    <row r="43" spans="2:6" ht="219" customHeight="1" x14ac:dyDescent="0.25">
      <c r="B43" s="14">
        <v>2</v>
      </c>
      <c r="C43" s="38" t="s">
        <v>110</v>
      </c>
      <c r="D43" s="1" t="s">
        <v>111</v>
      </c>
      <c r="E43" s="2" t="s">
        <v>42</v>
      </c>
      <c r="F43" s="158" t="s">
        <v>112</v>
      </c>
    </row>
    <row r="44" spans="2:6" ht="63" customHeight="1" x14ac:dyDescent="0.25">
      <c r="B44" s="14">
        <v>3</v>
      </c>
      <c r="C44" s="1" t="s">
        <v>113</v>
      </c>
      <c r="D44" s="1" t="s">
        <v>114</v>
      </c>
      <c r="E44" s="2" t="s">
        <v>117</v>
      </c>
      <c r="F44" s="171">
        <v>0</v>
      </c>
    </row>
    <row r="45" spans="2:6" ht="63" customHeight="1" x14ac:dyDescent="0.25">
      <c r="B45" s="14">
        <v>4</v>
      </c>
      <c r="C45" s="1" t="s">
        <v>115</v>
      </c>
      <c r="D45" s="1" t="s">
        <v>116</v>
      </c>
      <c r="E45" s="2" t="s">
        <v>117</v>
      </c>
      <c r="F45" s="171">
        <v>9</v>
      </c>
    </row>
    <row r="46" spans="2:6" ht="63" customHeight="1" x14ac:dyDescent="0.25">
      <c r="B46" s="14" t="s">
        <v>77</v>
      </c>
      <c r="C46" s="12" t="s">
        <v>118</v>
      </c>
      <c r="D46" s="1" t="s">
        <v>45</v>
      </c>
      <c r="E46" s="2" t="s">
        <v>46</v>
      </c>
      <c r="F46" s="171" t="s">
        <v>47</v>
      </c>
    </row>
    <row r="47" spans="2:6" ht="63" customHeight="1" x14ac:dyDescent="0.25">
      <c r="B47" s="14" t="s">
        <v>81</v>
      </c>
      <c r="C47" s="1" t="s">
        <v>119</v>
      </c>
      <c r="D47" s="1" t="s">
        <v>45</v>
      </c>
      <c r="E47" s="2" t="s">
        <v>46</v>
      </c>
      <c r="F47" s="171" t="s">
        <v>47</v>
      </c>
    </row>
    <row r="48" spans="2:6" ht="330" customHeight="1" x14ac:dyDescent="0.25">
      <c r="B48" s="14" t="s">
        <v>85</v>
      </c>
      <c r="C48" s="38" t="s">
        <v>120</v>
      </c>
      <c r="D48" s="38" t="s">
        <v>121</v>
      </c>
      <c r="E48" s="2" t="s">
        <v>42</v>
      </c>
      <c r="F48" s="12" t="s">
        <v>122</v>
      </c>
    </row>
    <row r="49" spans="2:6" ht="294.75" customHeight="1" x14ac:dyDescent="0.25">
      <c r="B49" s="14" t="s">
        <v>88</v>
      </c>
      <c r="C49" s="38" t="s">
        <v>123</v>
      </c>
      <c r="D49" s="38" t="s">
        <v>45</v>
      </c>
      <c r="E49" s="2" t="s">
        <v>46</v>
      </c>
      <c r="F49" s="158" t="s">
        <v>124</v>
      </c>
    </row>
    <row r="50" spans="2:6" ht="63" customHeight="1" x14ac:dyDescent="0.25">
      <c r="B50" s="14">
        <v>9</v>
      </c>
      <c r="C50" s="38" t="s">
        <v>125</v>
      </c>
      <c r="D50" s="38" t="s">
        <v>126</v>
      </c>
      <c r="E50" s="2" t="s">
        <v>42</v>
      </c>
      <c r="F50" s="160" t="s">
        <v>127</v>
      </c>
    </row>
  </sheetData>
  <phoneticPr fontId="19" type="noConversion"/>
  <pageMargins left="0.511811024" right="0.511811024" top="0.78740157499999996" bottom="0.78740157499999996" header="0.31496062000000002" footer="0.31496062000000002"/>
  <pageSetup paperSize="9" fitToHeight="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2508E-A240-44EC-A626-3C122DDDAE81}">
  <sheetPr>
    <pageSetUpPr fitToPage="1"/>
  </sheetPr>
  <dimension ref="A1:M171"/>
  <sheetViews>
    <sheetView showGridLines="0" topLeftCell="D166" zoomScale="85" zoomScaleNormal="85" zoomScaleSheetLayoutView="100" workbookViewId="0">
      <selection activeCell="K14" sqref="K14"/>
    </sheetView>
  </sheetViews>
  <sheetFormatPr defaultRowHeight="15" x14ac:dyDescent="0.25"/>
  <cols>
    <col min="1" max="1" width="4.42578125" customWidth="1"/>
    <col min="2" max="2" width="9.28515625" style="5"/>
    <col min="3" max="3" width="12" style="5" customWidth="1"/>
    <col min="4" max="4" width="82" customWidth="1"/>
    <col min="5" max="5" width="28.5703125" customWidth="1"/>
    <col min="6" max="7" width="12" customWidth="1"/>
    <col min="8" max="9" width="14.5703125" customWidth="1"/>
    <col min="10" max="10" width="14.7109375" customWidth="1"/>
    <col min="11" max="11" width="71.42578125" customWidth="1"/>
    <col min="12" max="12" width="38.28515625" style="34" customWidth="1"/>
    <col min="13" max="13" width="52.7109375" customWidth="1"/>
  </cols>
  <sheetData>
    <row r="1" spans="2:13" ht="23.25" x14ac:dyDescent="0.25">
      <c r="B1" s="172"/>
      <c r="C1" s="172"/>
      <c r="D1" s="172"/>
      <c r="E1" s="172"/>
      <c r="F1" s="172"/>
      <c r="G1" s="172"/>
      <c r="H1" s="68"/>
      <c r="I1" s="68"/>
      <c r="J1" s="68"/>
      <c r="K1" s="68"/>
    </row>
    <row r="2" spans="2:13" ht="31.5" x14ac:dyDescent="0.25">
      <c r="B2" s="173" t="s">
        <v>128</v>
      </c>
      <c r="C2" s="173"/>
      <c r="D2" s="173"/>
      <c r="E2" s="173"/>
      <c r="F2" s="173"/>
      <c r="G2" s="173"/>
      <c r="H2" s="173"/>
      <c r="I2" s="173"/>
      <c r="J2" s="173"/>
      <c r="K2" s="173"/>
    </row>
    <row r="3" spans="2:13" s="101" customFormat="1" ht="21" x14ac:dyDescent="0.35">
      <c r="B3" s="98"/>
      <c r="C3" s="99" t="s">
        <v>129</v>
      </c>
      <c r="D3" s="98"/>
      <c r="E3" s="98"/>
      <c r="F3" s="98"/>
      <c r="G3" s="98"/>
      <c r="H3" s="98"/>
      <c r="I3" s="98"/>
      <c r="J3" s="98"/>
      <c r="K3" s="98"/>
      <c r="L3" s="100"/>
    </row>
    <row r="4" spans="2:13" s="101" customFormat="1" ht="21" x14ac:dyDescent="0.35">
      <c r="B4" s="98"/>
      <c r="C4" s="99" t="s">
        <v>130</v>
      </c>
      <c r="D4" s="98"/>
      <c r="E4" s="98"/>
      <c r="F4" s="98"/>
      <c r="G4" s="98"/>
      <c r="H4" s="98"/>
      <c r="I4" s="98"/>
      <c r="J4" s="98"/>
      <c r="K4" s="98"/>
      <c r="L4" s="100"/>
    </row>
    <row r="6" spans="2:13" x14ac:dyDescent="0.25">
      <c r="B6" s="80" t="s">
        <v>131</v>
      </c>
      <c r="C6" s="80" t="s">
        <v>132</v>
      </c>
      <c r="D6" s="80" t="s">
        <v>133</v>
      </c>
      <c r="E6" s="80" t="s">
        <v>134</v>
      </c>
      <c r="F6" s="80" t="s">
        <v>135</v>
      </c>
      <c r="G6" s="80" t="s">
        <v>136</v>
      </c>
      <c r="H6" s="80" t="s">
        <v>137</v>
      </c>
      <c r="I6" s="80" t="s">
        <v>138</v>
      </c>
      <c r="J6" s="80" t="s">
        <v>139</v>
      </c>
      <c r="K6" s="80" t="s">
        <v>140</v>
      </c>
      <c r="L6" s="7" t="s">
        <v>141</v>
      </c>
      <c r="M6" s="7" t="s">
        <v>142</v>
      </c>
    </row>
    <row r="7" spans="2:13" s="125" customFormat="1" ht="15.75" x14ac:dyDescent="0.25">
      <c r="B7" s="122" t="s">
        <v>144</v>
      </c>
      <c r="C7" s="122" t="s">
        <v>131</v>
      </c>
      <c r="D7" s="121" t="s">
        <v>145</v>
      </c>
      <c r="E7" s="123"/>
      <c r="F7" s="123"/>
      <c r="G7" s="123"/>
      <c r="H7" s="123"/>
      <c r="I7" s="123"/>
      <c r="J7" s="123"/>
      <c r="K7" s="123"/>
      <c r="L7" s="124"/>
      <c r="M7" s="123"/>
    </row>
    <row r="8" spans="2:13" s="86" customFormat="1" ht="25.5" x14ac:dyDescent="0.25">
      <c r="B8" s="102" t="s">
        <v>144</v>
      </c>
      <c r="C8" s="102" t="s">
        <v>146</v>
      </c>
      <c r="D8" s="103" t="s">
        <v>147</v>
      </c>
      <c r="E8" s="104"/>
      <c r="F8" s="104"/>
      <c r="G8" s="104"/>
      <c r="H8" s="104"/>
      <c r="I8" s="104"/>
      <c r="J8" s="104"/>
      <c r="K8" s="104"/>
      <c r="L8" s="87"/>
      <c r="M8" s="88"/>
    </row>
    <row r="9" spans="2:13" s="86" customFormat="1" ht="170.25" customHeight="1" x14ac:dyDescent="0.25">
      <c r="B9" s="102" t="s">
        <v>144</v>
      </c>
      <c r="C9" s="102" t="s">
        <v>148</v>
      </c>
      <c r="D9" s="38" t="s">
        <v>149</v>
      </c>
      <c r="E9" s="105" t="s">
        <v>150</v>
      </c>
      <c r="F9" s="105" t="s">
        <v>151</v>
      </c>
      <c r="G9" s="105">
        <v>15</v>
      </c>
      <c r="H9" s="105" t="s">
        <v>47</v>
      </c>
      <c r="I9" s="105"/>
      <c r="J9" s="105">
        <f>IF(H9="Sim",G9,
IF(H9="Parcialmente",G9/2,
IF(OR(H9="Não",H9="Não se aplica"),0,"")))
+IF(OR(H9="Sim",H9="Parcialmente"),Tabela1[[#This Row],[Pont. Resdist.]],0)</f>
        <v>15</v>
      </c>
      <c r="K9" s="136" t="s">
        <v>152</v>
      </c>
      <c r="L9" s="89"/>
      <c r="M9" s="90"/>
    </row>
    <row r="10" spans="2:13" s="86" customFormat="1" ht="114.75" x14ac:dyDescent="0.25">
      <c r="B10" s="102" t="s">
        <v>144</v>
      </c>
      <c r="C10" s="102" t="s">
        <v>148</v>
      </c>
      <c r="D10" s="38" t="s">
        <v>153</v>
      </c>
      <c r="E10" s="105" t="s">
        <v>154</v>
      </c>
      <c r="F10" s="105" t="s">
        <v>155</v>
      </c>
      <c r="G10" s="105">
        <v>18</v>
      </c>
      <c r="H10" s="105" t="s">
        <v>127</v>
      </c>
      <c r="I10" s="105"/>
      <c r="J10" s="105">
        <f>IF(H10="Sim",G10,
IF(H10="Parcialmente",G10/2,
IF(OR(H10="Não",H10="Não se aplica"),0,"")))
+IF(OR(H10="Sim",H10="Parcialmente"),Tabela1[[#This Row],[Pont. Resdist.]],0)</f>
        <v>0</v>
      </c>
      <c r="K10" s="126" t="s">
        <v>156</v>
      </c>
      <c r="L10" s="89" t="s">
        <v>157</v>
      </c>
      <c r="M10" s="90" t="s">
        <v>158</v>
      </c>
    </row>
    <row r="11" spans="2:13" s="86" customFormat="1" ht="207" customHeight="1" x14ac:dyDescent="0.25">
      <c r="B11" s="102" t="s">
        <v>144</v>
      </c>
      <c r="C11" s="102" t="s">
        <v>148</v>
      </c>
      <c r="D11" s="38" t="s">
        <v>159</v>
      </c>
      <c r="E11" s="105" t="s">
        <v>154</v>
      </c>
      <c r="F11" s="105" t="s">
        <v>151</v>
      </c>
      <c r="G11" s="105">
        <v>15</v>
      </c>
      <c r="H11" s="105" t="s">
        <v>47</v>
      </c>
      <c r="I11" s="105"/>
      <c r="J11" s="105">
        <f>IF(H11="Sim",G11,
IF(H11="Parcialmente",G11/2,
IF(OR(H11="Não",H11="Não se aplica"),0,"")))
+IF(OR(H11="Sim",H11="Parcialmente"),Tabela1[[#This Row],[Pont. Resdist.]],0)</f>
        <v>15</v>
      </c>
      <c r="K11" s="126" t="s">
        <v>160</v>
      </c>
      <c r="L11" s="89" t="s">
        <v>157</v>
      </c>
      <c r="M11" s="90" t="s">
        <v>161</v>
      </c>
    </row>
    <row r="12" spans="2:13" s="86" customFormat="1" x14ac:dyDescent="0.25">
      <c r="B12" s="102" t="s">
        <v>144</v>
      </c>
      <c r="C12" s="102" t="s">
        <v>146</v>
      </c>
      <c r="D12" s="103" t="s">
        <v>162</v>
      </c>
      <c r="E12" s="104"/>
      <c r="F12" s="104"/>
      <c r="G12" s="104"/>
      <c r="H12" s="104"/>
      <c r="I12" s="104"/>
      <c r="J12" s="104"/>
      <c r="K12" s="128"/>
      <c r="L12" s="87"/>
      <c r="M12" s="88"/>
    </row>
    <row r="13" spans="2:13" s="86" customFormat="1" ht="395.25" x14ac:dyDescent="0.25">
      <c r="B13" s="102" t="s">
        <v>144</v>
      </c>
      <c r="C13" s="102" t="s">
        <v>148</v>
      </c>
      <c r="D13" s="106" t="s">
        <v>163</v>
      </c>
      <c r="E13" s="105" t="s">
        <v>150</v>
      </c>
      <c r="F13" s="105" t="s">
        <v>164</v>
      </c>
      <c r="G13" s="105">
        <v>20</v>
      </c>
      <c r="H13" s="105" t="s">
        <v>47</v>
      </c>
      <c r="I13" s="105"/>
      <c r="J13" s="105">
        <f>IF(H13="Sim",G13,
IF(H13="Parcialmente",G13/2,
IF(OR(H13="Não",H13="Não se aplica"),0,"")))
+IF(OR(H13="Sim",H13="Parcialmente"),Tabela1[[#This Row],[Pont. Resdist.]],0)</f>
        <v>20</v>
      </c>
      <c r="K13" s="150" t="s">
        <v>165</v>
      </c>
      <c r="L13" s="89"/>
      <c r="M13" s="90"/>
    </row>
    <row r="14" spans="2:13" s="86" customFormat="1" ht="288.75" customHeight="1" x14ac:dyDescent="0.25">
      <c r="B14" s="102" t="s">
        <v>144</v>
      </c>
      <c r="C14" s="102" t="s">
        <v>148</v>
      </c>
      <c r="D14" s="38" t="s">
        <v>166</v>
      </c>
      <c r="E14" s="105" t="s">
        <v>154</v>
      </c>
      <c r="F14" s="105" t="s">
        <v>151</v>
      </c>
      <c r="G14" s="105">
        <v>15</v>
      </c>
      <c r="H14" s="105" t="s">
        <v>47</v>
      </c>
      <c r="I14" s="105"/>
      <c r="J14" s="105">
        <f>IF(H14="Sim",G14,
IF(H14="Parcialmente",G14/2,
IF(OR(H14="Não",H14="Não se aplica"),0,"")))
+IF(OR(H14="Sim",H14="Parcialmente"),Tabela1[[#This Row],[Pont. Resdist.]],0)</f>
        <v>15</v>
      </c>
      <c r="K14" s="150" t="s">
        <v>167</v>
      </c>
      <c r="L14" s="89" t="s">
        <v>157</v>
      </c>
      <c r="M14" s="90" t="s">
        <v>161</v>
      </c>
    </row>
    <row r="15" spans="2:13" s="86" customFormat="1" ht="309.75" customHeight="1" x14ac:dyDescent="0.25">
      <c r="B15" s="102" t="s">
        <v>144</v>
      </c>
      <c r="C15" s="102" t="s">
        <v>148</v>
      </c>
      <c r="D15" s="38" t="s">
        <v>168</v>
      </c>
      <c r="E15" s="105" t="s">
        <v>169</v>
      </c>
      <c r="F15" s="105" t="s">
        <v>155</v>
      </c>
      <c r="G15" s="105">
        <v>18</v>
      </c>
      <c r="H15" s="105" t="s">
        <v>47</v>
      </c>
      <c r="I15" s="105"/>
      <c r="J15" s="105">
        <f>IF(H15="Sim",G15,
IF(H15="Parcialmente",G15/2,
IF(OR(H15="Não",H15="Não se aplica"),0,"")))
+IF(OR(H15="Sim",H15="Parcialmente"),Tabela1[[#This Row],[Pont. Resdist.]],0)</f>
        <v>18</v>
      </c>
      <c r="K15" s="150" t="s">
        <v>170</v>
      </c>
      <c r="L15" s="89"/>
      <c r="M15" s="90"/>
    </row>
    <row r="16" spans="2:13" s="86" customFormat="1" ht="25.5" x14ac:dyDescent="0.25">
      <c r="B16" s="102" t="s">
        <v>144</v>
      </c>
      <c r="C16" s="102" t="s">
        <v>146</v>
      </c>
      <c r="D16" s="107" t="s">
        <v>171</v>
      </c>
      <c r="E16" s="107"/>
      <c r="F16" s="107"/>
      <c r="G16" s="107"/>
      <c r="H16" s="107"/>
      <c r="I16" s="107"/>
      <c r="J16" s="107"/>
      <c r="K16" s="129"/>
      <c r="L16" s="87"/>
      <c r="M16" s="88"/>
    </row>
    <row r="17" spans="2:13" s="86" customFormat="1" ht="409.5" x14ac:dyDescent="0.25">
      <c r="B17" s="102" t="s">
        <v>144</v>
      </c>
      <c r="C17" s="102" t="s">
        <v>148</v>
      </c>
      <c r="D17" s="106" t="s">
        <v>172</v>
      </c>
      <c r="E17" s="105" t="s">
        <v>150</v>
      </c>
      <c r="F17" s="105" t="s">
        <v>164</v>
      </c>
      <c r="G17" s="105">
        <v>20</v>
      </c>
      <c r="H17" s="105" t="s">
        <v>47</v>
      </c>
      <c r="I17" s="105"/>
      <c r="J17" s="105">
        <f>IF(H17="Sim",G17,
IF(H17="Parcialmente",G17/2,
IF(OR(H17="Não",H17="Não se aplica"),0,"")))
+IF(OR(H17="Sim",H17="Parcialmente"),Tabela1[[#This Row],[Pont. Resdist.]],0)</f>
        <v>20</v>
      </c>
      <c r="K17" s="150" t="s">
        <v>698</v>
      </c>
      <c r="L17" s="89"/>
      <c r="M17" s="90"/>
    </row>
    <row r="18" spans="2:13" s="86" customFormat="1" x14ac:dyDescent="0.25">
      <c r="B18" s="102" t="s">
        <v>144</v>
      </c>
      <c r="C18" s="102" t="s">
        <v>173</v>
      </c>
      <c r="D18" s="38" t="s">
        <v>174</v>
      </c>
      <c r="E18" s="105"/>
      <c r="F18" s="105" t="s">
        <v>175</v>
      </c>
      <c r="G18" s="105" t="s">
        <v>175</v>
      </c>
      <c r="H18" s="105"/>
      <c r="I18" s="105"/>
      <c r="J18" s="105"/>
      <c r="K18" s="130"/>
      <c r="L18" s="152"/>
      <c r="M18" s="153"/>
    </row>
    <row r="19" spans="2:13" s="86" customFormat="1" ht="409.5" x14ac:dyDescent="0.25">
      <c r="B19" s="102" t="s">
        <v>144</v>
      </c>
      <c r="C19" s="102" t="s">
        <v>148</v>
      </c>
      <c r="D19" s="38" t="s">
        <v>176</v>
      </c>
      <c r="E19" s="105" t="s">
        <v>169</v>
      </c>
      <c r="F19" s="105" t="s">
        <v>177</v>
      </c>
      <c r="G19" s="105">
        <v>5</v>
      </c>
      <c r="H19" s="105" t="s">
        <v>209</v>
      </c>
      <c r="I19" s="105"/>
      <c r="J19" s="105">
        <f>IF(H19="Sim",G19,
IF(H19="Parcialmente",G19/2,
IF(OR(H19="Não",H19="Não se aplica"),0,"")))
+IF(OR(H19="Sim",H19="Parcialmente"),Tabela1[[#This Row],[Pont. Resdist.]],0)</f>
        <v>5</v>
      </c>
      <c r="K19" s="126" t="s">
        <v>699</v>
      </c>
      <c r="L19" s="89"/>
      <c r="M19" s="90"/>
    </row>
    <row r="20" spans="2:13" s="86" customFormat="1" ht="318.75" x14ac:dyDescent="0.25">
      <c r="B20" s="102" t="s">
        <v>144</v>
      </c>
      <c r="C20" s="102" t="s">
        <v>148</v>
      </c>
      <c r="D20" s="38" t="s">
        <v>178</v>
      </c>
      <c r="E20" s="105" t="s">
        <v>150</v>
      </c>
      <c r="F20" s="105" t="s">
        <v>177</v>
      </c>
      <c r="G20" s="105">
        <v>5</v>
      </c>
      <c r="H20" s="105" t="s">
        <v>47</v>
      </c>
      <c r="I20" s="105"/>
      <c r="J20" s="105">
        <f>IF(H20="Sim",G20,
IF(H20="Parcialmente",G20/2,
IF(OR(H20="Não",H20="Não se aplica"),0,"")))
+IF(OR(H20="Sim",H20="Parcialmente"),Tabela1[[#This Row],[Pont. Resdist.]],0)</f>
        <v>5</v>
      </c>
      <c r="K20" s="166" t="s">
        <v>179</v>
      </c>
      <c r="L20" s="164"/>
      <c r="M20" s="165"/>
    </row>
    <row r="21" spans="2:13" s="86" customFormat="1" ht="165.75" x14ac:dyDescent="0.25">
      <c r="B21" s="109" t="s">
        <v>144</v>
      </c>
      <c r="C21" s="109" t="s">
        <v>148</v>
      </c>
      <c r="D21" s="110" t="s">
        <v>180</v>
      </c>
      <c r="E21" s="111" t="s">
        <v>150</v>
      </c>
      <c r="F21" s="111" t="s">
        <v>177</v>
      </c>
      <c r="G21" s="111">
        <v>5</v>
      </c>
      <c r="H21" s="111" t="s">
        <v>209</v>
      </c>
      <c r="I21" s="111"/>
      <c r="J21" s="105">
        <f>IF(H21="Sim",G21,
IF(H21="Parcialmente",G21/2,
IF(OR(H21="Não",H21="Não se aplica"),0,"")))
+IF(OR(H21="Sim",H21="Parcialmente"),Tabela1[[#This Row],[Pont. Resdist.]],0)</f>
        <v>5</v>
      </c>
      <c r="K21" s="150" t="s">
        <v>682</v>
      </c>
      <c r="L21" s="89"/>
      <c r="M21" s="90"/>
    </row>
    <row r="22" spans="2:13" s="86" customFormat="1" ht="229.5" x14ac:dyDescent="0.25">
      <c r="B22" s="102" t="s">
        <v>144</v>
      </c>
      <c r="C22" s="102" t="s">
        <v>148</v>
      </c>
      <c r="D22" s="38" t="s">
        <v>181</v>
      </c>
      <c r="E22" s="105" t="s">
        <v>150</v>
      </c>
      <c r="F22" s="105" t="s">
        <v>155</v>
      </c>
      <c r="G22" s="105">
        <v>18</v>
      </c>
      <c r="H22" s="105" t="s">
        <v>47</v>
      </c>
      <c r="I22" s="105"/>
      <c r="J22" s="105">
        <f>IF(H22="Sim",G22,
IF(H22="Parcialmente",G22/2,
IF(OR(H22="Não",H22="Não se aplica"),0,"")))
+IF(OR(H22="Sim",H22="Parcialmente"),Tabela1[[#This Row],[Pont. Resdist.]],0)</f>
        <v>18</v>
      </c>
      <c r="K22" s="154" t="s">
        <v>182</v>
      </c>
      <c r="L22" s="155"/>
      <c r="M22" s="156"/>
    </row>
    <row r="23" spans="2:13" s="125" customFormat="1" ht="31.5" customHeight="1" x14ac:dyDescent="0.25">
      <c r="B23" s="122" t="s">
        <v>183</v>
      </c>
      <c r="C23" s="122" t="s">
        <v>131</v>
      </c>
      <c r="D23" s="121" t="s">
        <v>184</v>
      </c>
      <c r="E23" s="123"/>
      <c r="F23" s="123"/>
      <c r="G23" s="123"/>
      <c r="H23" s="123"/>
      <c r="I23" s="123"/>
      <c r="J23" s="123"/>
      <c r="K23" s="131"/>
      <c r="L23" s="124"/>
      <c r="M23" s="123"/>
    </row>
    <row r="24" spans="2:13" s="86" customFormat="1" ht="15" customHeight="1" x14ac:dyDescent="0.25">
      <c r="B24" s="102" t="s">
        <v>183</v>
      </c>
      <c r="C24" s="102" t="s">
        <v>146</v>
      </c>
      <c r="D24" s="107" t="s">
        <v>185</v>
      </c>
      <c r="E24" s="107"/>
      <c r="F24" s="107"/>
      <c r="G24" s="107"/>
      <c r="H24" s="107"/>
      <c r="I24" s="107"/>
      <c r="J24" s="107"/>
      <c r="K24" s="129"/>
      <c r="L24" s="87"/>
      <c r="M24" s="88"/>
    </row>
    <row r="25" spans="2:13" s="86" customFormat="1" ht="191.25" x14ac:dyDescent="0.25">
      <c r="B25" s="102" t="s">
        <v>183</v>
      </c>
      <c r="C25" s="102" t="s">
        <v>148</v>
      </c>
      <c r="D25" s="106" t="s">
        <v>186</v>
      </c>
      <c r="E25" s="105" t="s">
        <v>150</v>
      </c>
      <c r="F25" s="105" t="s">
        <v>164</v>
      </c>
      <c r="G25" s="105">
        <v>20</v>
      </c>
      <c r="H25" s="105" t="s">
        <v>47</v>
      </c>
      <c r="I25" s="105"/>
      <c r="J25" s="105">
        <f>IF(H25="Sim",G25,
IF(H25="Parcialmente",G25/2,
IF(OR(H25="Não",H25="Não se aplica"),0,"")))
+IF(OR(H25="Sim",H25="Parcialmente"),Tabela1[[#This Row],[Pont. Resdist.]],0)</f>
        <v>20</v>
      </c>
      <c r="K25" s="126" t="s">
        <v>683</v>
      </c>
      <c r="L25" s="89"/>
      <c r="M25" s="90"/>
    </row>
    <row r="26" spans="2:13" s="86" customFormat="1" ht="280.5" x14ac:dyDescent="0.25">
      <c r="B26" s="102" t="s">
        <v>183</v>
      </c>
      <c r="C26" s="102" t="s">
        <v>148</v>
      </c>
      <c r="D26" s="38" t="s">
        <v>187</v>
      </c>
      <c r="E26" s="105" t="s">
        <v>169</v>
      </c>
      <c r="F26" s="105" t="s">
        <v>151</v>
      </c>
      <c r="G26" s="105">
        <v>15</v>
      </c>
      <c r="H26" s="105" t="s">
        <v>47</v>
      </c>
      <c r="I26" s="105"/>
      <c r="J26" s="105">
        <f>IF(H26="Sim",G26,
IF(H26="Parcialmente",G26/2,
IF(OR(H26="Não",H26="Não se aplica"),0,"")))
+IF(OR(H26="Sim",H26="Parcialmente"),Tabela1[[#This Row],[Pont. Resdist.]],0)</f>
        <v>15</v>
      </c>
      <c r="K26" s="150" t="s">
        <v>188</v>
      </c>
      <c r="L26" s="89"/>
      <c r="M26" s="90"/>
    </row>
    <row r="27" spans="2:13" s="86" customFormat="1" ht="216.75" customHeight="1" x14ac:dyDescent="0.25">
      <c r="B27" s="102" t="s">
        <v>183</v>
      </c>
      <c r="C27" s="102" t="s">
        <v>148</v>
      </c>
      <c r="D27" s="38" t="s">
        <v>189</v>
      </c>
      <c r="E27" s="105" t="s">
        <v>154</v>
      </c>
      <c r="F27" s="105" t="s">
        <v>151</v>
      </c>
      <c r="G27" s="105">
        <v>15</v>
      </c>
      <c r="H27" s="105" t="s">
        <v>47</v>
      </c>
      <c r="I27" s="105"/>
      <c r="J27" s="105">
        <f>IF(H27="Sim",G27,
IF(H27="Parcialmente",G27/2,
IF(OR(H27="Não",H27="Não se aplica"),0,"")))
+IF(OR(H27="Sim",H27="Parcialmente"),Tabela1[[#This Row],[Pont. Resdist.]],0)</f>
        <v>15</v>
      </c>
      <c r="K27" s="150" t="s">
        <v>190</v>
      </c>
      <c r="L27" s="89" t="s">
        <v>157</v>
      </c>
      <c r="M27" s="92" t="s">
        <v>191</v>
      </c>
    </row>
    <row r="28" spans="2:13" s="86" customFormat="1" ht="165.75" x14ac:dyDescent="0.25">
      <c r="B28" s="102" t="s">
        <v>183</v>
      </c>
      <c r="C28" s="102" t="s">
        <v>148</v>
      </c>
      <c r="D28" s="38" t="s">
        <v>192</v>
      </c>
      <c r="E28" s="105" t="s">
        <v>150</v>
      </c>
      <c r="F28" s="105" t="s">
        <v>155</v>
      </c>
      <c r="G28" s="105">
        <v>18</v>
      </c>
      <c r="H28" s="105" t="s">
        <v>47</v>
      </c>
      <c r="I28" s="105"/>
      <c r="J28" s="105">
        <f>IF(H28="Sim",G28,
IF(H28="Parcialmente",G28/2,
IF(OR(H28="Não",H28="Não se aplica"),0,"")))
+IF(OR(H28="Sim",H28="Parcialmente"),Tabela1[[#This Row],[Pont. Resdist.]],0)</f>
        <v>18</v>
      </c>
      <c r="K28" s="126" t="s">
        <v>193</v>
      </c>
      <c r="L28" s="89"/>
      <c r="M28" s="90"/>
    </row>
    <row r="29" spans="2:13" s="86" customFormat="1" ht="25.5" x14ac:dyDescent="0.25">
      <c r="B29" s="102" t="s">
        <v>183</v>
      </c>
      <c r="C29" s="102" t="s">
        <v>146</v>
      </c>
      <c r="D29" s="107" t="s">
        <v>194</v>
      </c>
      <c r="E29" s="107"/>
      <c r="F29" s="107"/>
      <c r="G29" s="107"/>
      <c r="H29" s="107"/>
      <c r="I29" s="107"/>
      <c r="J29" s="107"/>
      <c r="K29" s="129"/>
      <c r="L29" s="87"/>
      <c r="M29" s="88"/>
    </row>
    <row r="30" spans="2:13" s="86" customFormat="1" ht="255" x14ac:dyDescent="0.25">
      <c r="B30" s="102" t="s">
        <v>183</v>
      </c>
      <c r="C30" s="102" t="s">
        <v>148</v>
      </c>
      <c r="D30" s="38" t="s">
        <v>195</v>
      </c>
      <c r="E30" s="105" t="s">
        <v>169</v>
      </c>
      <c r="F30" s="105" t="s">
        <v>151</v>
      </c>
      <c r="G30" s="105">
        <v>15</v>
      </c>
      <c r="H30" s="105" t="s">
        <v>47</v>
      </c>
      <c r="I30" s="105"/>
      <c r="J30" s="105">
        <f>IF(H30="Sim",G30,
IF(H30="Parcialmente",G30/2,
IF(OR(H30="Não",H30="Não se aplica"),0,"")))
+IF(OR(H30="Sim",H30="Parcialmente"),Tabela1[[#This Row],[Pont. Resdist.]],0)</f>
        <v>15</v>
      </c>
      <c r="K30" s="150" t="s">
        <v>196</v>
      </c>
      <c r="L30" s="89"/>
      <c r="M30" s="90"/>
    </row>
    <row r="31" spans="2:13" s="86" customFormat="1" ht="127.5" x14ac:dyDescent="0.25">
      <c r="B31" s="102" t="s">
        <v>183</v>
      </c>
      <c r="C31" s="102" t="s">
        <v>148</v>
      </c>
      <c r="D31" s="106" t="s">
        <v>197</v>
      </c>
      <c r="E31" s="105" t="s">
        <v>150</v>
      </c>
      <c r="F31" s="105" t="s">
        <v>198</v>
      </c>
      <c r="G31" s="105">
        <v>25</v>
      </c>
      <c r="H31" s="105" t="s">
        <v>47</v>
      </c>
      <c r="I31" s="105"/>
      <c r="J31" s="105">
        <f>IF(H31="Sim",G31,
IF(H31="Parcialmente",G31/2,
IF(OR(H31="Não",H31="Não se aplica"),0,"")))
+IF(OR(H31="Sim",H31="Parcialmente"),Tabela1[[#This Row],[Pont. Resdist.]],0)</f>
        <v>25</v>
      </c>
      <c r="K31" s="150" t="s">
        <v>199</v>
      </c>
      <c r="L31" s="89"/>
      <c r="M31" s="90"/>
    </row>
    <row r="32" spans="2:13" s="125" customFormat="1" ht="15.75" x14ac:dyDescent="0.25">
      <c r="B32" s="122" t="s">
        <v>200</v>
      </c>
      <c r="C32" s="122" t="s">
        <v>131</v>
      </c>
      <c r="D32" s="121" t="s">
        <v>201</v>
      </c>
      <c r="E32" s="123"/>
      <c r="F32" s="123"/>
      <c r="G32" s="123"/>
      <c r="H32" s="123"/>
      <c r="I32" s="123"/>
      <c r="J32" s="123"/>
      <c r="K32" s="131"/>
      <c r="L32" s="124"/>
      <c r="M32" s="123"/>
    </row>
    <row r="33" spans="1:13" s="86" customFormat="1" x14ac:dyDescent="0.25">
      <c r="B33" s="102" t="s">
        <v>200</v>
      </c>
      <c r="C33" s="102" t="s">
        <v>146</v>
      </c>
      <c r="D33" s="107" t="s">
        <v>202</v>
      </c>
      <c r="E33" s="107"/>
      <c r="F33" s="107"/>
      <c r="G33" s="107"/>
      <c r="H33" s="107"/>
      <c r="I33" s="107"/>
      <c r="J33" s="107"/>
      <c r="K33" s="139"/>
      <c r="L33" s="87"/>
      <c r="M33" s="88"/>
    </row>
    <row r="34" spans="1:13" s="86" customFormat="1" ht="281.25" customHeight="1" x14ac:dyDescent="0.25">
      <c r="B34" s="109" t="s">
        <v>200</v>
      </c>
      <c r="C34" s="109" t="s">
        <v>148</v>
      </c>
      <c r="D34" s="110" t="s">
        <v>203</v>
      </c>
      <c r="E34" s="111" t="s">
        <v>169</v>
      </c>
      <c r="F34" s="105" t="s">
        <v>151</v>
      </c>
      <c r="G34" s="111">
        <v>15</v>
      </c>
      <c r="H34" s="167" t="s">
        <v>47</v>
      </c>
      <c r="I34" s="111"/>
      <c r="J34" s="137">
        <f>IF(H34="Sim",G34,
IF(H34="Parcialmente",G34/2,
IF(OR(H34="Não",H34="Não se aplica"),0,"")))
+IF(OR(H34="Sim",H34="Parcialmente"),Tabela1[[#This Row],[Pont. Resdist.]],0)</f>
        <v>15</v>
      </c>
      <c r="K34" s="161" t="s">
        <v>204</v>
      </c>
      <c r="L34" s="138"/>
      <c r="M34" s="90"/>
    </row>
    <row r="35" spans="1:13" s="86" customFormat="1" x14ac:dyDescent="0.25">
      <c r="B35" s="102" t="s">
        <v>200</v>
      </c>
      <c r="C35" s="102" t="s">
        <v>173</v>
      </c>
      <c r="D35" s="38" t="s">
        <v>205</v>
      </c>
      <c r="E35" s="105"/>
      <c r="F35" s="105" t="s">
        <v>175</v>
      </c>
      <c r="G35" s="105" t="s">
        <v>175</v>
      </c>
      <c r="H35" s="105"/>
      <c r="I35" s="105"/>
      <c r="J35" s="137"/>
      <c r="K35" s="161"/>
      <c r="L35" s="138"/>
      <c r="M35" s="90"/>
    </row>
    <row r="36" spans="1:13" s="86" customFormat="1" ht="167.25" customHeight="1" x14ac:dyDescent="0.25">
      <c r="A36" s="93"/>
      <c r="B36" s="102" t="s">
        <v>200</v>
      </c>
      <c r="C36" s="102" t="s">
        <v>148</v>
      </c>
      <c r="D36" s="38" t="s">
        <v>206</v>
      </c>
      <c r="E36" s="105" t="s">
        <v>150</v>
      </c>
      <c r="F36" s="105" t="s">
        <v>177</v>
      </c>
      <c r="G36" s="105">
        <v>5</v>
      </c>
      <c r="H36" s="105" t="s">
        <v>47</v>
      </c>
      <c r="I36" s="105"/>
      <c r="J36" s="105">
        <f>IF(H36="Sim",G36,
IF(H36="Parcialmente",G36/2,
IF(OR(H36="Não",H36="Não se aplica"),0,"")))
+IF(OR(H36="Sim",H36="Parcialmente"),Tabela1[[#This Row],[Pont. Resdist.]],0)</f>
        <v>5</v>
      </c>
      <c r="K36" s="150" t="s">
        <v>207</v>
      </c>
      <c r="L36" s="89"/>
      <c r="M36" s="90"/>
    </row>
    <row r="37" spans="1:13" s="86" customFormat="1" ht="76.5" x14ac:dyDescent="0.25">
      <c r="B37" s="102" t="s">
        <v>200</v>
      </c>
      <c r="C37" s="102" t="s">
        <v>148</v>
      </c>
      <c r="D37" s="38" t="s">
        <v>208</v>
      </c>
      <c r="E37" s="105" t="s">
        <v>150</v>
      </c>
      <c r="F37" s="105" t="s">
        <v>177</v>
      </c>
      <c r="G37" s="105">
        <v>5</v>
      </c>
      <c r="H37" s="105" t="s">
        <v>209</v>
      </c>
      <c r="I37" s="105"/>
      <c r="J37" s="105">
        <f>IF(H37="Sim",G37,
IF(H37="Parcialmente",G37/2,
IF(OR(H37="Não",H37="Não se aplica"),0,"")))
+IF(OR(H37="Sim",H37="Parcialmente"),Tabela1[[#This Row],[Pont. Resdist.]],0)</f>
        <v>5</v>
      </c>
      <c r="K37" s="162" t="s">
        <v>210</v>
      </c>
      <c r="L37" s="89"/>
      <c r="M37" s="90"/>
    </row>
    <row r="38" spans="1:13" s="86" customFormat="1" ht="25.5" x14ac:dyDescent="0.25">
      <c r="B38" s="102" t="s">
        <v>200</v>
      </c>
      <c r="C38" s="102" t="s">
        <v>148</v>
      </c>
      <c r="D38" s="38" t="s">
        <v>211</v>
      </c>
      <c r="E38" s="105" t="s">
        <v>150</v>
      </c>
      <c r="F38" s="105" t="s">
        <v>177</v>
      </c>
      <c r="G38" s="105">
        <v>5</v>
      </c>
      <c r="H38" s="105" t="s">
        <v>47</v>
      </c>
      <c r="I38" s="105"/>
      <c r="J38" s="105">
        <f>IF(H38="Sim",G38,
IF(H38="Parcialmente",G38/2,
IF(OR(H38="Não",H38="Não se aplica"),0,"")))
+IF(OR(H38="Sim",H38="Parcialmente"),Tabela1[[#This Row],[Pont. Resdist.]],0)</f>
        <v>5</v>
      </c>
      <c r="K38" s="162" t="s">
        <v>212</v>
      </c>
      <c r="L38" s="89"/>
      <c r="M38" s="90"/>
    </row>
    <row r="39" spans="1:13" s="86" customFormat="1" ht="204" customHeight="1" x14ac:dyDescent="0.25">
      <c r="B39" s="102" t="s">
        <v>200</v>
      </c>
      <c r="C39" s="102" t="s">
        <v>148</v>
      </c>
      <c r="D39" s="106" t="s">
        <v>213</v>
      </c>
      <c r="E39" s="105" t="s">
        <v>150</v>
      </c>
      <c r="F39" s="105" t="s">
        <v>164</v>
      </c>
      <c r="G39" s="105">
        <v>20</v>
      </c>
      <c r="H39" s="105" t="s">
        <v>47</v>
      </c>
      <c r="I39" s="105"/>
      <c r="J39" s="105">
        <f>IF(H39="Sim",G39,
IF(H39="Parcialmente",G39/2,
IF(OR(H39="Não",H39="Não se aplica"),0,"")))
+IF(OR(H39="Sim",H39="Parcialmente"),Tabela1[[#This Row],[Pont. Resdist.]],0)</f>
        <v>20</v>
      </c>
      <c r="K39" s="126" t="s">
        <v>214</v>
      </c>
      <c r="L39" s="89"/>
      <c r="M39" s="90"/>
    </row>
    <row r="40" spans="1:13" s="86" customFormat="1" ht="114.75" x14ac:dyDescent="0.25">
      <c r="B40" s="102" t="s">
        <v>200</v>
      </c>
      <c r="C40" s="102" t="s">
        <v>148</v>
      </c>
      <c r="D40" s="112" t="s">
        <v>215</v>
      </c>
      <c r="E40" s="105" t="s">
        <v>150</v>
      </c>
      <c r="F40" s="105" t="s">
        <v>177</v>
      </c>
      <c r="G40" s="105">
        <v>5</v>
      </c>
      <c r="H40" s="105" t="s">
        <v>47</v>
      </c>
      <c r="I40" s="105"/>
      <c r="J40" s="105">
        <f>IF(H40="Sim",G40,
IF(H40="Parcialmente",G40/2,
IF(OR(H40="Não",H40="Não se aplica"),0,"")))
+IF(OR(H40="Sim",H40="Parcialmente"),Tabela1[[#This Row],[Pont. Resdist.]],0)</f>
        <v>5</v>
      </c>
      <c r="K40" s="150" t="s">
        <v>216</v>
      </c>
      <c r="L40" s="89"/>
      <c r="M40" s="90"/>
    </row>
    <row r="41" spans="1:13" s="86" customFormat="1" ht="306" x14ac:dyDescent="0.25">
      <c r="B41" s="102" t="s">
        <v>200</v>
      </c>
      <c r="C41" s="102" t="s">
        <v>148</v>
      </c>
      <c r="D41" s="38" t="s">
        <v>217</v>
      </c>
      <c r="E41" s="105" t="s">
        <v>150</v>
      </c>
      <c r="F41" s="105" t="s">
        <v>177</v>
      </c>
      <c r="G41" s="105">
        <v>5</v>
      </c>
      <c r="H41" s="105" t="s">
        <v>47</v>
      </c>
      <c r="I41" s="105"/>
      <c r="J41" s="105">
        <f>IF(H41="Sim",G41,
IF(H41="Parcialmente",G41/2,
IF(OR(H41="Não",H41="Não se aplica"),0,"")))
+IF(OR(H41="Sim",H41="Parcialmente"),Tabela1[[#This Row],[Pont. Resdist.]],0)</f>
        <v>5</v>
      </c>
      <c r="K41" s="150" t="s">
        <v>218</v>
      </c>
      <c r="L41" s="89"/>
      <c r="M41" s="90"/>
    </row>
    <row r="42" spans="1:13" s="86" customFormat="1" ht="51" x14ac:dyDescent="0.25">
      <c r="B42" s="102" t="s">
        <v>200</v>
      </c>
      <c r="C42" s="102" t="s">
        <v>148</v>
      </c>
      <c r="D42" s="38" t="s">
        <v>219</v>
      </c>
      <c r="E42" s="105" t="s">
        <v>169</v>
      </c>
      <c r="F42" s="105" t="s">
        <v>155</v>
      </c>
      <c r="G42" s="105">
        <v>18</v>
      </c>
      <c r="H42" s="105" t="s">
        <v>220</v>
      </c>
      <c r="I42" s="105"/>
      <c r="J42" s="105">
        <f>IF(H42="Sim",G42,
IF(H42="Parcialmente",G42/2,
IF(OR(H42="Não",H42="Não se aplica"),0,"")))
+IF(OR(H42="Sim",H42="Parcialmente"),Tabela1[[#This Row],[Pont. Resdist.]],0)</f>
        <v>9</v>
      </c>
      <c r="K42" s="126" t="s">
        <v>221</v>
      </c>
      <c r="L42" s="89"/>
      <c r="M42" s="90"/>
    </row>
    <row r="43" spans="1:13" s="125" customFormat="1" ht="15.75" x14ac:dyDescent="0.25">
      <c r="B43" s="122" t="s">
        <v>222</v>
      </c>
      <c r="C43" s="122" t="s">
        <v>131</v>
      </c>
      <c r="D43" s="121" t="s">
        <v>223</v>
      </c>
      <c r="E43" s="123"/>
      <c r="F43" s="123"/>
      <c r="G43" s="123"/>
      <c r="H43" s="123"/>
      <c r="I43" s="123"/>
      <c r="J43" s="123"/>
      <c r="K43" s="131"/>
      <c r="L43" s="124"/>
      <c r="M43" s="123"/>
    </row>
    <row r="44" spans="1:13" s="86" customFormat="1" x14ac:dyDescent="0.25">
      <c r="B44" s="102" t="s">
        <v>222</v>
      </c>
      <c r="C44" s="102" t="s">
        <v>146</v>
      </c>
      <c r="D44" s="107" t="s">
        <v>224</v>
      </c>
      <c r="E44" s="107"/>
      <c r="F44" s="107"/>
      <c r="G44" s="107"/>
      <c r="H44" s="107"/>
      <c r="I44" s="107"/>
      <c r="J44" s="107"/>
      <c r="K44" s="129"/>
      <c r="L44" s="87"/>
      <c r="M44" s="88"/>
    </row>
    <row r="45" spans="1:13" s="86" customFormat="1" ht="25.5" x14ac:dyDescent="0.25">
      <c r="A45" s="95"/>
      <c r="B45" s="102" t="s">
        <v>222</v>
      </c>
      <c r="C45" s="102" t="s">
        <v>148</v>
      </c>
      <c r="D45" s="106" t="s">
        <v>225</v>
      </c>
      <c r="E45" s="105" t="s">
        <v>150</v>
      </c>
      <c r="F45" s="105" t="s">
        <v>164</v>
      </c>
      <c r="G45" s="105">
        <v>20</v>
      </c>
      <c r="H45" s="105" t="s">
        <v>47</v>
      </c>
      <c r="I45" s="105"/>
      <c r="J45" s="105">
        <f>IF(H45="Sim",G45,
IF(H45="Parcialmente",G45/2,
IF(OR(H45="Não",H45="Não se aplica"),0,"")))
+IF(OR(H45="Sim",H45="Parcialmente"),Tabela1[[#This Row],[Pont. Resdist.]],0)</f>
        <v>20</v>
      </c>
      <c r="K45" s="126" t="s">
        <v>226</v>
      </c>
      <c r="L45" s="89"/>
      <c r="M45" s="90"/>
    </row>
    <row r="46" spans="1:13" s="86" customFormat="1" x14ac:dyDescent="0.25">
      <c r="B46" s="102" t="s">
        <v>222</v>
      </c>
      <c r="C46" s="102" t="s">
        <v>173</v>
      </c>
      <c r="D46" s="38" t="s">
        <v>227</v>
      </c>
      <c r="E46" s="105"/>
      <c r="F46" s="105" t="s">
        <v>175</v>
      </c>
      <c r="G46" s="105" t="s">
        <v>175</v>
      </c>
      <c r="H46" s="105"/>
      <c r="I46" s="105"/>
      <c r="J46" s="105"/>
      <c r="K46" s="126"/>
      <c r="L46" s="89"/>
      <c r="M46" s="90"/>
    </row>
    <row r="47" spans="1:13" s="86" customFormat="1" ht="63.75" x14ac:dyDescent="0.25">
      <c r="B47" s="102" t="s">
        <v>222</v>
      </c>
      <c r="C47" s="102" t="s">
        <v>148</v>
      </c>
      <c r="D47" s="38" t="s">
        <v>228</v>
      </c>
      <c r="E47" s="105" t="s">
        <v>150</v>
      </c>
      <c r="F47" s="105" t="s">
        <v>177</v>
      </c>
      <c r="G47" s="105">
        <v>5</v>
      </c>
      <c r="H47" s="105" t="s">
        <v>47</v>
      </c>
      <c r="I47" s="105"/>
      <c r="J47" s="105">
        <f>IF(H47="Sim",G47,
IF(H47="Parcialmente",G47/2,
IF(OR(H47="Não",H47="Não se aplica"),0,"")))
+IF(OR(H47="Sim",H47="Parcialmente"),Tabela1[[#This Row],[Pont. Resdist.]],0)</f>
        <v>5</v>
      </c>
      <c r="K47" s="126" t="s">
        <v>229</v>
      </c>
      <c r="L47" s="89"/>
      <c r="M47" s="90"/>
    </row>
    <row r="48" spans="1:13" s="86" customFormat="1" ht="140.25" customHeight="1" x14ac:dyDescent="0.25">
      <c r="B48" s="109" t="s">
        <v>222</v>
      </c>
      <c r="C48" s="109" t="s">
        <v>148</v>
      </c>
      <c r="D48" s="110" t="s">
        <v>230</v>
      </c>
      <c r="E48" s="111" t="s">
        <v>150</v>
      </c>
      <c r="F48" s="105" t="s">
        <v>177</v>
      </c>
      <c r="G48" s="111">
        <v>5</v>
      </c>
      <c r="H48" s="167" t="s">
        <v>47</v>
      </c>
      <c r="I48" s="111"/>
      <c r="J48" s="105">
        <f>IF(H48="Sim",G48,
IF(H48="Parcialmente",G48/2,
IF(OR(H48="Não",H48="Não se aplica"),0,"")))
+IF(OR(H48="Sim",H48="Parcialmente"),Tabela1[[#This Row],[Pont. Resdist.]],0)</f>
        <v>5</v>
      </c>
      <c r="K48" s="150" t="s">
        <v>231</v>
      </c>
      <c r="L48" s="89"/>
      <c r="M48" s="90"/>
    </row>
    <row r="49" spans="2:13" s="86" customFormat="1" ht="192" customHeight="1" x14ac:dyDescent="0.25">
      <c r="B49" s="102" t="s">
        <v>222</v>
      </c>
      <c r="C49" s="102" t="s">
        <v>148</v>
      </c>
      <c r="D49" s="38" t="s">
        <v>232</v>
      </c>
      <c r="E49" s="105" t="s">
        <v>169</v>
      </c>
      <c r="F49" s="105" t="s">
        <v>177</v>
      </c>
      <c r="G49" s="105">
        <v>5</v>
      </c>
      <c r="H49" s="105" t="s">
        <v>47</v>
      </c>
      <c r="I49" s="105"/>
      <c r="J49" s="105">
        <f>IF(H49="Sim",G49,
IF(H49="Parcialmente",G49/2,
IF(OR(H49="Não",H49="Não se aplica"),0,"")))
+IF(OR(H49="Sim",H49="Parcialmente"),Tabela1[[#This Row],[Pont. Resdist.]],0)</f>
        <v>5</v>
      </c>
      <c r="K49" s="150" t="s">
        <v>233</v>
      </c>
      <c r="L49" s="89"/>
      <c r="M49" s="90"/>
    </row>
    <row r="50" spans="2:13" s="86" customFormat="1" ht="127.5" x14ac:dyDescent="0.25">
      <c r="B50" s="102" t="s">
        <v>222</v>
      </c>
      <c r="C50" s="102" t="s">
        <v>148</v>
      </c>
      <c r="D50" s="38" t="s">
        <v>234</v>
      </c>
      <c r="E50" s="105" t="s">
        <v>169</v>
      </c>
      <c r="F50" s="105" t="s">
        <v>177</v>
      </c>
      <c r="G50" s="105">
        <v>5</v>
      </c>
      <c r="H50" s="105" t="s">
        <v>47</v>
      </c>
      <c r="I50" s="105"/>
      <c r="J50" s="105">
        <f>IF(H50="Sim",G50,
IF(H50="Parcialmente",G50/2,
IF(OR(H50="Não",H50="Não se aplica"),0,"")))
+IF(OR(H50="Sim",H50="Parcialmente"),Tabela1[[#This Row],[Pont. Resdist.]],0)</f>
        <v>5</v>
      </c>
      <c r="K50" s="150" t="s">
        <v>235</v>
      </c>
      <c r="L50" s="89"/>
      <c r="M50" s="90"/>
    </row>
    <row r="51" spans="2:13" s="86" customFormat="1" ht="219" customHeight="1" x14ac:dyDescent="0.25">
      <c r="B51" s="102" t="s">
        <v>222</v>
      </c>
      <c r="C51" s="102" t="s">
        <v>148</v>
      </c>
      <c r="D51" s="38" t="s">
        <v>236</v>
      </c>
      <c r="E51" s="105" t="s">
        <v>150</v>
      </c>
      <c r="F51" s="105" t="s">
        <v>177</v>
      </c>
      <c r="G51" s="105">
        <v>5</v>
      </c>
      <c r="H51" s="105" t="s">
        <v>47</v>
      </c>
      <c r="I51" s="105"/>
      <c r="J51" s="105">
        <f>IF(H51="Sim",G51,
IF(H51="Parcialmente",G51/2,
IF(OR(H51="Não",H51="Não se aplica"),0,"")))
+IF(OR(H51="Sim",H51="Parcialmente"),Tabela1[[#This Row],[Pont. Resdist.]],0)</f>
        <v>5</v>
      </c>
      <c r="K51" s="150" t="s">
        <v>237</v>
      </c>
      <c r="L51" s="89"/>
      <c r="M51" s="90"/>
    </row>
    <row r="52" spans="2:13" s="86" customFormat="1" ht="242.25" x14ac:dyDescent="0.25">
      <c r="B52" s="102" t="s">
        <v>222</v>
      </c>
      <c r="C52" s="102" t="s">
        <v>148</v>
      </c>
      <c r="D52" s="38" t="s">
        <v>238</v>
      </c>
      <c r="E52" s="105" t="s">
        <v>169</v>
      </c>
      <c r="F52" s="105" t="s">
        <v>177</v>
      </c>
      <c r="G52" s="105">
        <v>5</v>
      </c>
      <c r="H52" s="105" t="s">
        <v>47</v>
      </c>
      <c r="I52" s="105"/>
      <c r="J52" s="105">
        <f>IF(H52="Sim",G52,
IF(H52="Parcialmente",G52/2,
IF(OR(H52="Não",H52="Não se aplica"),0,"")))
+IF(OR(H52="Sim",H52="Parcialmente"),Tabela1[[#This Row],[Pont. Resdist.]],0)</f>
        <v>5</v>
      </c>
      <c r="K52" s="150" t="s">
        <v>239</v>
      </c>
      <c r="L52" s="89"/>
      <c r="M52" s="90"/>
    </row>
    <row r="53" spans="2:13" s="86" customFormat="1" ht="76.5" x14ac:dyDescent="0.25">
      <c r="B53" s="102" t="s">
        <v>222</v>
      </c>
      <c r="C53" s="102" t="s">
        <v>148</v>
      </c>
      <c r="D53" s="38" t="s">
        <v>240</v>
      </c>
      <c r="E53" s="105" t="s">
        <v>150</v>
      </c>
      <c r="F53" s="105" t="s">
        <v>155</v>
      </c>
      <c r="G53" s="105">
        <v>18</v>
      </c>
      <c r="H53" s="105" t="s">
        <v>47</v>
      </c>
      <c r="I53" s="105"/>
      <c r="J53" s="105">
        <f>IF(H53="Sim",G53,
IF(H53="Parcialmente",G53/2,
IF(OR(H53="Não",H53="Não se aplica"),0,"")))
+IF(OR(H53="Sim",H53="Parcialmente"),Tabela1[[#This Row],[Pont. Resdist.]],0)</f>
        <v>18</v>
      </c>
      <c r="K53" s="126" t="s">
        <v>241</v>
      </c>
      <c r="L53" s="89"/>
      <c r="M53" s="90"/>
    </row>
    <row r="54" spans="2:13" s="86" customFormat="1" ht="216.75" x14ac:dyDescent="0.25">
      <c r="B54" s="102" t="s">
        <v>222</v>
      </c>
      <c r="C54" s="102" t="s">
        <v>148</v>
      </c>
      <c r="D54" s="38" t="s">
        <v>242</v>
      </c>
      <c r="E54" s="105" t="s">
        <v>150</v>
      </c>
      <c r="F54" s="105" t="s">
        <v>177</v>
      </c>
      <c r="G54" s="105">
        <v>5</v>
      </c>
      <c r="H54" s="105" t="s">
        <v>47</v>
      </c>
      <c r="I54" s="105"/>
      <c r="J54" s="105">
        <f>IF(H54="Sim",G54,
IF(H54="Parcialmente",G54/2,
IF(OR(H54="Não",H54="Não se aplica"),0,"")))
+IF(OR(H54="Sim",H54="Parcialmente"),Tabela1[[#This Row],[Pont. Resdist.]],0)</f>
        <v>5</v>
      </c>
      <c r="K54" s="150" t="s">
        <v>685</v>
      </c>
      <c r="L54" s="89"/>
      <c r="M54" s="90"/>
    </row>
    <row r="55" spans="2:13" s="86" customFormat="1" ht="409.5" x14ac:dyDescent="0.25">
      <c r="B55" s="102" t="s">
        <v>222</v>
      </c>
      <c r="C55" s="102" t="s">
        <v>148</v>
      </c>
      <c r="D55" s="38" t="s">
        <v>243</v>
      </c>
      <c r="E55" s="105" t="s">
        <v>150</v>
      </c>
      <c r="F55" s="105" t="s">
        <v>155</v>
      </c>
      <c r="G55" s="105">
        <v>18</v>
      </c>
      <c r="H55" s="105" t="s">
        <v>47</v>
      </c>
      <c r="I55" s="105"/>
      <c r="J55" s="105">
        <f>IF(H55="Sim",G55,
IF(H55="Parcialmente",G55/2,
IF(OR(H55="Não",H55="Não se aplica"),0,"")))
+IF(OR(H55="Sim",H55="Parcialmente"),Tabela1[[#This Row],[Pont. Resdist.]],0)</f>
        <v>18</v>
      </c>
      <c r="K55" s="168" t="s">
        <v>697</v>
      </c>
      <c r="L55" s="89"/>
      <c r="M55" s="90"/>
    </row>
    <row r="56" spans="2:13" s="125" customFormat="1" ht="31.5" x14ac:dyDescent="0.25">
      <c r="B56" s="122" t="s">
        <v>244</v>
      </c>
      <c r="C56" s="122" t="s">
        <v>131</v>
      </c>
      <c r="D56" s="121" t="s">
        <v>245</v>
      </c>
      <c r="E56" s="123"/>
      <c r="F56" s="123"/>
      <c r="G56" s="123"/>
      <c r="H56" s="123"/>
      <c r="I56" s="123"/>
      <c r="J56" s="123"/>
      <c r="K56" s="131"/>
      <c r="L56" s="124"/>
      <c r="M56" s="123"/>
    </row>
    <row r="57" spans="2:13" s="86" customFormat="1" x14ac:dyDescent="0.25">
      <c r="B57" s="102" t="s">
        <v>244</v>
      </c>
      <c r="C57" s="102" t="s">
        <v>146</v>
      </c>
      <c r="D57" s="107" t="s">
        <v>246</v>
      </c>
      <c r="E57" s="107"/>
      <c r="F57" s="107"/>
      <c r="G57" s="107"/>
      <c r="H57" s="107"/>
      <c r="I57" s="107"/>
      <c r="J57" s="107"/>
      <c r="K57" s="129"/>
      <c r="L57" s="87"/>
      <c r="M57" s="88"/>
    </row>
    <row r="58" spans="2:13" s="86" customFormat="1" x14ac:dyDescent="0.25">
      <c r="B58" s="102" t="s">
        <v>244</v>
      </c>
      <c r="C58" s="102" t="s">
        <v>173</v>
      </c>
      <c r="D58" s="38" t="s">
        <v>247</v>
      </c>
      <c r="E58" s="105"/>
      <c r="F58" s="111"/>
      <c r="G58" s="105"/>
      <c r="H58" s="105"/>
      <c r="I58" s="105"/>
      <c r="J58" s="105"/>
      <c r="K58" s="126"/>
      <c r="L58" s="89"/>
      <c r="M58" s="90"/>
    </row>
    <row r="59" spans="2:13" s="86" customFormat="1" ht="292.5" customHeight="1" x14ac:dyDescent="0.25">
      <c r="B59" s="102" t="s">
        <v>244</v>
      </c>
      <c r="C59" s="102" t="s">
        <v>148</v>
      </c>
      <c r="D59" s="106" t="s">
        <v>248</v>
      </c>
      <c r="E59" s="105" t="s">
        <v>150</v>
      </c>
      <c r="F59" s="105" t="s">
        <v>164</v>
      </c>
      <c r="G59" s="105">
        <v>20</v>
      </c>
      <c r="H59" s="105" t="s">
        <v>47</v>
      </c>
      <c r="I59" s="105"/>
      <c r="J59" s="105">
        <f>IF(H59="Sim",G59,
IF(H59="Parcialmente",G59/2,
IF(OR(H59="Não",H59="Não se aplica"),0,"")))
+IF(OR(H59="Sim",H59="Parcialmente"),Tabela1[[#This Row],[Pont. Resdist.]],0)</f>
        <v>20</v>
      </c>
      <c r="K59" s="150" t="s">
        <v>686</v>
      </c>
      <c r="L59" s="89"/>
      <c r="M59" s="90"/>
    </row>
    <row r="60" spans="2:13" s="86" customFormat="1" ht="335.45" customHeight="1" x14ac:dyDescent="0.25">
      <c r="B60" s="102" t="s">
        <v>244</v>
      </c>
      <c r="C60" s="102" t="s">
        <v>148</v>
      </c>
      <c r="D60" s="38" t="s">
        <v>249</v>
      </c>
      <c r="E60" s="105" t="s">
        <v>150</v>
      </c>
      <c r="F60" s="105" t="s">
        <v>177</v>
      </c>
      <c r="G60" s="105">
        <v>5</v>
      </c>
      <c r="H60" s="105" t="s">
        <v>47</v>
      </c>
      <c r="I60" s="105"/>
      <c r="J60" s="105">
        <f>IF(H60="Sim",G60,
IF(H60="Parcialmente",G60/2,
IF(OR(H60="Não",H60="Não se aplica"),0,"")))
+IF(OR(H60="Sim",H60="Parcialmente"),Tabela1[[#This Row],[Pont. Resdist.]],0)</f>
        <v>5</v>
      </c>
      <c r="K60" s="163" t="s">
        <v>687</v>
      </c>
      <c r="L60" s="89"/>
      <c r="M60" s="90"/>
    </row>
    <row r="61" spans="2:13" s="86" customFormat="1" ht="369.75" x14ac:dyDescent="0.25">
      <c r="B61" s="102" t="s">
        <v>244</v>
      </c>
      <c r="C61" s="102" t="s">
        <v>148</v>
      </c>
      <c r="D61" s="38" t="s">
        <v>250</v>
      </c>
      <c r="E61" s="105" t="s">
        <v>169</v>
      </c>
      <c r="F61" s="105" t="s">
        <v>177</v>
      </c>
      <c r="G61" s="105">
        <v>5</v>
      </c>
      <c r="H61" s="105" t="s">
        <v>47</v>
      </c>
      <c r="I61" s="105"/>
      <c r="J61" s="105">
        <f>IF(H61="Sim",G61,
IF(H61="Parcialmente",G61/2,
IF(OR(H61="Não",H61="Não se aplica"),0,"")))
+IF(OR(H61="Sim",H61="Parcialmente"),Tabela1[[#This Row],[Pont. Resdist.]],0)</f>
        <v>5</v>
      </c>
      <c r="K61" s="150" t="s">
        <v>251</v>
      </c>
      <c r="L61" s="89"/>
      <c r="M61" s="90"/>
    </row>
    <row r="62" spans="2:13" s="86" customFormat="1" ht="409.5" x14ac:dyDescent="0.25">
      <c r="B62" s="102" t="s">
        <v>244</v>
      </c>
      <c r="C62" s="102" t="s">
        <v>148</v>
      </c>
      <c r="D62" s="38" t="s">
        <v>252</v>
      </c>
      <c r="E62" s="105" t="s">
        <v>169</v>
      </c>
      <c r="F62" s="105" t="s">
        <v>177</v>
      </c>
      <c r="G62" s="113">
        <v>5</v>
      </c>
      <c r="H62" s="167" t="s">
        <v>47</v>
      </c>
      <c r="I62" s="113"/>
      <c r="J62" s="105">
        <f>IF(H62="Sim",G62,
IF(H62="Parcialmente",G62/2,
IF(OR(H62="Não",H62="Não se aplica"),0,"")))
+IF(OR(H62="Sim",H62="Parcialmente"),Tabela1[[#This Row],[Pont. Resdist.]],0)</f>
        <v>5</v>
      </c>
      <c r="K62" s="132" t="s">
        <v>688</v>
      </c>
      <c r="L62" s="94"/>
      <c r="M62" s="96"/>
    </row>
    <row r="63" spans="2:13" s="86" customFormat="1" ht="38.25" customHeight="1" x14ac:dyDescent="0.25">
      <c r="B63" s="102" t="s">
        <v>244</v>
      </c>
      <c r="C63" s="102" t="s">
        <v>148</v>
      </c>
      <c r="D63" s="38" t="s">
        <v>253</v>
      </c>
      <c r="E63" s="105" t="s">
        <v>150</v>
      </c>
      <c r="F63" s="105" t="s">
        <v>177</v>
      </c>
      <c r="G63" s="105">
        <v>5</v>
      </c>
      <c r="H63" s="167" t="s">
        <v>47</v>
      </c>
      <c r="I63" s="113"/>
      <c r="J63" s="105">
        <f>IF(H63="Sim",G63,
IF(H63="Parcialmente",G63/2,
IF(OR(H63="Não",H63="Não se aplica"),0,"")))
+IF(OR(H63="Sim",H63="Parcialmente"),Tabela1[[#This Row],[Pont. Resdist.]],0)</f>
        <v>5</v>
      </c>
      <c r="K63" s="132" t="s">
        <v>254</v>
      </c>
      <c r="L63" s="89"/>
      <c r="M63" s="90"/>
    </row>
    <row r="64" spans="2:13" s="86" customFormat="1" ht="178.5" x14ac:dyDescent="0.25">
      <c r="B64" s="102" t="s">
        <v>244</v>
      </c>
      <c r="C64" s="102" t="s">
        <v>148</v>
      </c>
      <c r="D64" s="106" t="s">
        <v>255</v>
      </c>
      <c r="E64" s="105" t="s">
        <v>169</v>
      </c>
      <c r="F64" s="105" t="s">
        <v>198</v>
      </c>
      <c r="G64" s="105">
        <v>25</v>
      </c>
      <c r="H64" s="105" t="s">
        <v>47</v>
      </c>
      <c r="I64" s="105"/>
      <c r="J64" s="105">
        <f>IF(H64="Sim",G64,
IF(H64="Parcialmente",G64/2,
IF(OR(H64="Não",H64="Não se aplica"),0,"")))
+IF(OR(H64="Sim",H64="Parcialmente"),Tabela1[[#This Row],[Pont. Resdist.]],0)</f>
        <v>25</v>
      </c>
      <c r="K64" s="126" t="s">
        <v>256</v>
      </c>
      <c r="L64" s="89"/>
      <c r="M64" s="90"/>
    </row>
    <row r="65" spans="2:13" s="86" customFormat="1" ht="25.5" customHeight="1" x14ac:dyDescent="0.25">
      <c r="B65" s="102" t="s">
        <v>244</v>
      </c>
      <c r="C65" s="102" t="s">
        <v>146</v>
      </c>
      <c r="D65" s="107" t="s">
        <v>257</v>
      </c>
      <c r="E65" s="107"/>
      <c r="F65" s="107"/>
      <c r="G65" s="107"/>
      <c r="H65" s="107"/>
      <c r="I65" s="107"/>
      <c r="J65" s="107"/>
      <c r="K65" s="129"/>
      <c r="L65" s="87"/>
      <c r="M65" s="88"/>
    </row>
    <row r="66" spans="2:13" s="86" customFormat="1" ht="369.75" x14ac:dyDescent="0.25">
      <c r="B66" s="109" t="s">
        <v>244</v>
      </c>
      <c r="C66" s="109" t="s">
        <v>148</v>
      </c>
      <c r="D66" s="114" t="s">
        <v>258</v>
      </c>
      <c r="E66" s="111" t="s">
        <v>150</v>
      </c>
      <c r="F66" s="111" t="s">
        <v>164</v>
      </c>
      <c r="G66" s="111">
        <v>20</v>
      </c>
      <c r="H66" s="167" t="s">
        <v>47</v>
      </c>
      <c r="I66" s="111"/>
      <c r="J66" s="105">
        <f>IF(H66="Sim",G66,
IF(H66="Parcialmente",G66/2,
IF(OR(H66="Não",H66="Não se aplica"),0,"")))
+IF(OR(H66="Sim",H66="Parcialmente"),Tabela1[[#This Row],[Pont. Resdist.]],0)</f>
        <v>20</v>
      </c>
      <c r="K66" s="151" t="s">
        <v>259</v>
      </c>
      <c r="L66" s="89"/>
      <c r="M66" s="90"/>
    </row>
    <row r="67" spans="2:13" s="86" customFormat="1" ht="15" customHeight="1" x14ac:dyDescent="0.25">
      <c r="B67" s="102" t="s">
        <v>244</v>
      </c>
      <c r="C67" s="102" t="s">
        <v>173</v>
      </c>
      <c r="D67" s="38" t="s">
        <v>260</v>
      </c>
      <c r="E67" s="105"/>
      <c r="F67" s="105" t="s">
        <v>175</v>
      </c>
      <c r="G67" s="105" t="s">
        <v>175</v>
      </c>
      <c r="H67" s="105"/>
      <c r="I67" s="105"/>
      <c r="J67" s="105"/>
      <c r="K67" s="126"/>
      <c r="L67" s="89"/>
      <c r="M67" s="90"/>
    </row>
    <row r="68" spans="2:13" s="86" customFormat="1" ht="51" x14ac:dyDescent="0.25">
      <c r="B68" s="102" t="s">
        <v>244</v>
      </c>
      <c r="C68" s="102" t="s">
        <v>148</v>
      </c>
      <c r="D68" s="38" t="s">
        <v>261</v>
      </c>
      <c r="E68" s="105" t="s">
        <v>169</v>
      </c>
      <c r="F68" s="105" t="s">
        <v>177</v>
      </c>
      <c r="G68" s="105">
        <v>5</v>
      </c>
      <c r="H68" s="105" t="s">
        <v>47</v>
      </c>
      <c r="I68" s="111"/>
      <c r="J68" s="105">
        <f>IF(H68="Sim",G68,
IF(H68="Parcialmente",G68/2,
IF(OR(H68="Não",H68="Não se aplica"),0,"")))
+IF(OR(H68="Sim",H68="Parcialmente"),Tabela1[[#This Row],[Pont. Resdist.]],0)</f>
        <v>5</v>
      </c>
      <c r="K68" s="130" t="s">
        <v>262</v>
      </c>
      <c r="L68" s="89"/>
      <c r="M68" s="90"/>
    </row>
    <row r="69" spans="2:13" s="86" customFormat="1" ht="86.25" customHeight="1" x14ac:dyDescent="0.25">
      <c r="B69" s="102" t="s">
        <v>244</v>
      </c>
      <c r="C69" s="102" t="s">
        <v>148</v>
      </c>
      <c r="D69" s="38" t="s">
        <v>263</v>
      </c>
      <c r="E69" s="105" t="s">
        <v>169</v>
      </c>
      <c r="F69" s="105" t="s">
        <v>177</v>
      </c>
      <c r="G69" s="105">
        <v>5</v>
      </c>
      <c r="H69" s="105" t="s">
        <v>124</v>
      </c>
      <c r="I69" s="105"/>
      <c r="J69" s="105">
        <f>IF(H69="Sim",G69,
IF(H69="Parcialmente",G69/2,
IF(OR(H69="Não",H69="Não se aplica"),0,"")))
+IF(OR(H69="Sim",H69="Parcialmente"),Tabela1[[#This Row],[Pont. Resdist.]],0)</f>
        <v>0</v>
      </c>
      <c r="K69" s="126"/>
      <c r="L69" s="89"/>
      <c r="M69" s="90"/>
    </row>
    <row r="70" spans="2:13" s="86" customFormat="1" ht="38.25" customHeight="1" x14ac:dyDescent="0.25">
      <c r="B70" s="102" t="s">
        <v>244</v>
      </c>
      <c r="C70" s="102" t="s">
        <v>148</v>
      </c>
      <c r="D70" s="38" t="s">
        <v>264</v>
      </c>
      <c r="E70" s="105" t="s">
        <v>150</v>
      </c>
      <c r="F70" s="111" t="s">
        <v>177</v>
      </c>
      <c r="G70" s="105">
        <v>5</v>
      </c>
      <c r="H70" s="105" t="s">
        <v>209</v>
      </c>
      <c r="I70" s="105"/>
      <c r="J70" s="105">
        <f>IF(H70="Sim",G70,
IF(H70="Parcialmente",G70/2,
IF(OR(H70="Não",H70="Não se aplica"),0,"")))
+IF(OR(H70="Sim",H70="Parcialmente"),Tabela1[[#This Row],[Pont. Resdist.]],0)</f>
        <v>5</v>
      </c>
      <c r="K70" s="126" t="s">
        <v>689</v>
      </c>
      <c r="L70" s="89"/>
      <c r="M70" s="90"/>
    </row>
    <row r="71" spans="2:13" s="86" customFormat="1" ht="200.25" customHeight="1" x14ac:dyDescent="0.25">
      <c r="B71" s="102" t="s">
        <v>244</v>
      </c>
      <c r="C71" s="102" t="s">
        <v>148</v>
      </c>
      <c r="D71" s="38" t="s">
        <v>265</v>
      </c>
      <c r="E71" s="105" t="s">
        <v>150</v>
      </c>
      <c r="F71" s="105" t="s">
        <v>177</v>
      </c>
      <c r="G71" s="105">
        <v>5</v>
      </c>
      <c r="H71" s="105" t="s">
        <v>266</v>
      </c>
      <c r="I71" s="105"/>
      <c r="J71" s="105">
        <f>IF(H71="Sim",G71,
IF(H71="Parcialmente",G71/2,
IF(OR(H71="Não",H71="Não se aplica"),0,"")))
+IF(OR(H71="Sim",H71="Parcialmente"),Tabela1[[#This Row],[Pont. Resdist.]],0)</f>
        <v>5</v>
      </c>
      <c r="K71" s="136" t="s">
        <v>267</v>
      </c>
      <c r="L71" s="89"/>
      <c r="M71" s="90"/>
    </row>
    <row r="72" spans="2:13" s="86" customFormat="1" ht="216" customHeight="1" x14ac:dyDescent="0.25">
      <c r="B72" s="102" t="s">
        <v>244</v>
      </c>
      <c r="C72" s="102" t="s">
        <v>148</v>
      </c>
      <c r="D72" s="114" t="s">
        <v>268</v>
      </c>
      <c r="E72" s="105" t="s">
        <v>169</v>
      </c>
      <c r="F72" s="105" t="s">
        <v>198</v>
      </c>
      <c r="G72" s="105">
        <v>25</v>
      </c>
      <c r="H72" s="167" t="s">
        <v>266</v>
      </c>
      <c r="I72" s="105"/>
      <c r="J72" s="105">
        <f>IF(H72="Sim",G72,
IF(H72="Parcialmente",G72/2,
IF(OR(H72="Não",H72="Não se aplica"),0,"")))
+IF(OR(H72="Sim",H72="Parcialmente"),Tabela1[[#This Row],[Pont. Resdist.]],0)</f>
        <v>25</v>
      </c>
      <c r="K72" s="136" t="s">
        <v>269</v>
      </c>
      <c r="L72" s="89"/>
      <c r="M72" s="90"/>
    </row>
    <row r="73" spans="2:13" s="125" customFormat="1" ht="31.5" x14ac:dyDescent="0.25">
      <c r="B73" s="122" t="s">
        <v>270</v>
      </c>
      <c r="C73" s="122" t="s">
        <v>131</v>
      </c>
      <c r="D73" s="121" t="s">
        <v>271</v>
      </c>
      <c r="E73" s="123"/>
      <c r="F73" s="123"/>
      <c r="G73" s="123"/>
      <c r="H73" s="123"/>
      <c r="I73" s="123"/>
      <c r="J73" s="123"/>
      <c r="K73" s="131"/>
      <c r="L73" s="124"/>
      <c r="M73" s="123"/>
    </row>
    <row r="74" spans="2:13" s="86" customFormat="1" ht="15" customHeight="1" x14ac:dyDescent="0.25">
      <c r="B74" s="102" t="s">
        <v>270</v>
      </c>
      <c r="C74" s="102" t="s">
        <v>146</v>
      </c>
      <c r="D74" s="107" t="s">
        <v>272</v>
      </c>
      <c r="E74" s="107"/>
      <c r="F74" s="107"/>
      <c r="G74" s="107"/>
      <c r="H74" s="107"/>
      <c r="I74" s="107"/>
      <c r="J74" s="107"/>
      <c r="K74" s="129"/>
      <c r="L74" s="87"/>
      <c r="M74" s="88"/>
    </row>
    <row r="75" spans="2:13" s="86" customFormat="1" ht="89.25" x14ac:dyDescent="0.25">
      <c r="B75" s="102" t="s">
        <v>270</v>
      </c>
      <c r="C75" s="102" t="s">
        <v>148</v>
      </c>
      <c r="D75" s="106" t="s">
        <v>273</v>
      </c>
      <c r="E75" s="113" t="s">
        <v>150</v>
      </c>
      <c r="F75" s="105" t="s">
        <v>164</v>
      </c>
      <c r="G75" s="105">
        <v>20</v>
      </c>
      <c r="H75" s="105" t="s">
        <v>266</v>
      </c>
      <c r="I75" s="105"/>
      <c r="J75" s="105">
        <f>IF(H75="Sim",G75,
IF(H75="Parcialmente",G75/2,
IF(OR(H75="Não",H75="Não se aplica"),0,"")))
+IF(OR(H75="Sim",H75="Parcialmente"),Tabela1[[#This Row],[Pont. Resdist.]],0)</f>
        <v>20</v>
      </c>
      <c r="K75" s="126" t="s">
        <v>274</v>
      </c>
      <c r="L75" s="89"/>
      <c r="M75" s="90"/>
    </row>
    <row r="76" spans="2:13" s="86" customFormat="1" ht="255" x14ac:dyDescent="0.25">
      <c r="B76" s="102" t="s">
        <v>270</v>
      </c>
      <c r="C76" s="102" t="s">
        <v>148</v>
      </c>
      <c r="D76" s="106" t="s">
        <v>275</v>
      </c>
      <c r="E76" s="113" t="s">
        <v>169</v>
      </c>
      <c r="F76" s="111" t="s">
        <v>198</v>
      </c>
      <c r="G76" s="113">
        <v>25</v>
      </c>
      <c r="H76" s="167" t="s">
        <v>266</v>
      </c>
      <c r="I76" s="113"/>
      <c r="J76" s="105">
        <f>IF(H76="Sim",G76,
IF(H76="Parcialmente",G76/2,
IF(OR(H76="Não",H76="Não se aplica"),0,"")))
+IF(OR(H76="Sim",H76="Parcialmente"),Tabela1[[#This Row],[Pont. Resdist.]],0)</f>
        <v>25</v>
      </c>
      <c r="K76" s="132" t="s">
        <v>276</v>
      </c>
      <c r="L76" s="94"/>
      <c r="M76" s="96"/>
    </row>
    <row r="77" spans="2:13" s="86" customFormat="1" ht="63.75" x14ac:dyDescent="0.25">
      <c r="B77" s="109" t="s">
        <v>270</v>
      </c>
      <c r="C77" s="109" t="s">
        <v>148</v>
      </c>
      <c r="D77" s="110" t="s">
        <v>277</v>
      </c>
      <c r="E77" s="116" t="s">
        <v>169</v>
      </c>
      <c r="F77" s="105" t="s">
        <v>155</v>
      </c>
      <c r="G77" s="116">
        <v>18</v>
      </c>
      <c r="H77" s="167" t="s">
        <v>266</v>
      </c>
      <c r="I77" s="116"/>
      <c r="J77" s="105">
        <f>IF(H77="Sim",G77,
IF(H77="Parcialmente",G77/2,
IF(OR(H77="Não",H77="Não se aplica"),0,"")))
+IF(OR(H77="Sim",H77="Parcialmente"),Tabela1[[#This Row],[Pont. Resdist.]],0)</f>
        <v>18</v>
      </c>
      <c r="K77" s="133" t="s">
        <v>278</v>
      </c>
      <c r="L77" s="94"/>
      <c r="M77" s="96"/>
    </row>
    <row r="78" spans="2:13" s="86" customFormat="1" ht="76.5" x14ac:dyDescent="0.25">
      <c r="B78" s="102" t="s">
        <v>270</v>
      </c>
      <c r="C78" s="102" t="s">
        <v>148</v>
      </c>
      <c r="D78" s="112" t="s">
        <v>279</v>
      </c>
      <c r="E78" s="113" t="s">
        <v>150</v>
      </c>
      <c r="F78" s="105" t="s">
        <v>177</v>
      </c>
      <c r="G78" s="113">
        <v>5</v>
      </c>
      <c r="H78" s="113" t="s">
        <v>209</v>
      </c>
      <c r="I78" s="113"/>
      <c r="J78" s="105">
        <f>IF(H78="Sim",G78,
IF(H78="Parcialmente",G78/2,
IF(OR(H78="Não",H78="Não se aplica"),0,"")))
+IF(OR(H78="Sim",H78="Parcialmente"),Tabela1[[#This Row],[Pont. Resdist.]],0)</f>
        <v>5</v>
      </c>
      <c r="K78" s="132" t="s">
        <v>690</v>
      </c>
      <c r="L78" s="94"/>
      <c r="M78" s="96"/>
    </row>
    <row r="79" spans="2:13" s="86" customFormat="1" x14ac:dyDescent="0.25">
      <c r="B79" s="102" t="s">
        <v>270</v>
      </c>
      <c r="C79" s="102" t="s">
        <v>146</v>
      </c>
      <c r="D79" s="107" t="s">
        <v>280</v>
      </c>
      <c r="E79" s="107"/>
      <c r="F79" s="107"/>
      <c r="G79" s="107"/>
      <c r="H79" s="107"/>
      <c r="I79" s="107"/>
      <c r="J79" s="107"/>
      <c r="K79" s="129"/>
      <c r="L79" s="87"/>
      <c r="M79" s="88"/>
    </row>
    <row r="80" spans="2:13" s="86" customFormat="1" ht="51" x14ac:dyDescent="0.25">
      <c r="B80" s="102" t="s">
        <v>270</v>
      </c>
      <c r="C80" s="102" t="s">
        <v>148</v>
      </c>
      <c r="D80" s="106" t="s">
        <v>281</v>
      </c>
      <c r="E80" s="113" t="s">
        <v>150</v>
      </c>
      <c r="F80" s="105" t="s">
        <v>164</v>
      </c>
      <c r="G80" s="105">
        <v>20</v>
      </c>
      <c r="H80" s="105" t="s">
        <v>266</v>
      </c>
      <c r="I80" s="105"/>
      <c r="J80" s="105">
        <f>IF(H80="Sim",G80,
IF(H80="Parcialmente",G80/2,
IF(OR(H80="Não",H80="Não se aplica"),0,"")))
+IF(OR(H80="Sim",H80="Parcialmente"),Tabela1[[#This Row],[Pont. Resdist.]],0)</f>
        <v>20</v>
      </c>
      <c r="K80" s="126" t="s">
        <v>282</v>
      </c>
      <c r="L80" s="89"/>
      <c r="M80" s="90"/>
    </row>
    <row r="81" spans="1:13" s="86" customFormat="1" ht="51" x14ac:dyDescent="0.25">
      <c r="B81" s="102" t="s">
        <v>270</v>
      </c>
      <c r="C81" s="102" t="s">
        <v>148</v>
      </c>
      <c r="D81" s="106" t="s">
        <v>283</v>
      </c>
      <c r="E81" s="105" t="s">
        <v>169</v>
      </c>
      <c r="F81" s="105" t="s">
        <v>198</v>
      </c>
      <c r="G81" s="105">
        <v>25</v>
      </c>
      <c r="H81" s="105" t="s">
        <v>266</v>
      </c>
      <c r="I81" s="105"/>
      <c r="J81" s="105">
        <f>IF(H81="Sim",G81,
IF(H81="Parcialmente",G81/2,
IF(OR(H81="Não",H81="Não se aplica"),0,"")))
+IF(OR(H81="Sim",H81="Parcialmente"),Tabela1[[#This Row],[Pont. Resdist.]],0)</f>
        <v>25</v>
      </c>
      <c r="K81" s="150" t="s">
        <v>691</v>
      </c>
      <c r="L81" s="89"/>
      <c r="M81" s="90"/>
    </row>
    <row r="82" spans="1:13" s="86" customFormat="1" ht="51" x14ac:dyDescent="0.25">
      <c r="B82" s="102" t="s">
        <v>270</v>
      </c>
      <c r="C82" s="102" t="s">
        <v>148</v>
      </c>
      <c r="D82" s="38" t="s">
        <v>284</v>
      </c>
      <c r="E82" s="105" t="s">
        <v>150</v>
      </c>
      <c r="F82" s="105" t="s">
        <v>177</v>
      </c>
      <c r="G82" s="105">
        <v>5</v>
      </c>
      <c r="H82" s="105" t="s">
        <v>266</v>
      </c>
      <c r="I82" s="105"/>
      <c r="J82" s="105">
        <f>IF(H82="Sim",G82,
IF(H82="Parcialmente",G82/2,
IF(OR(H82="Não",H82="Não se aplica"),0,"")))
+IF(OR(H82="Sim",H82="Parcialmente"),Tabela1[[#This Row],[Pont. Resdist.]],0)</f>
        <v>5</v>
      </c>
      <c r="K82" s="126" t="s">
        <v>285</v>
      </c>
      <c r="L82" s="89"/>
      <c r="M82" s="90"/>
    </row>
    <row r="83" spans="1:13" s="125" customFormat="1" ht="15.75" customHeight="1" x14ac:dyDescent="0.25">
      <c r="B83" s="122" t="s">
        <v>286</v>
      </c>
      <c r="C83" s="122" t="s">
        <v>131</v>
      </c>
      <c r="D83" s="121" t="s">
        <v>287</v>
      </c>
      <c r="E83" s="123"/>
      <c r="F83" s="123"/>
      <c r="G83" s="123"/>
      <c r="H83" s="123"/>
      <c r="I83" s="123"/>
      <c r="J83" s="123"/>
      <c r="K83" s="131"/>
      <c r="L83" s="124"/>
      <c r="M83" s="123"/>
    </row>
    <row r="84" spans="1:13" s="86" customFormat="1" ht="15" customHeight="1" x14ac:dyDescent="0.25">
      <c r="B84" s="102" t="s">
        <v>286</v>
      </c>
      <c r="C84" s="102" t="s">
        <v>146</v>
      </c>
      <c r="D84" s="107" t="s">
        <v>288</v>
      </c>
      <c r="E84" s="107"/>
      <c r="F84" s="107"/>
      <c r="G84" s="107"/>
      <c r="H84" s="107"/>
      <c r="I84" s="107"/>
      <c r="J84" s="107"/>
      <c r="K84" s="129"/>
      <c r="L84" s="87"/>
      <c r="M84" s="88"/>
    </row>
    <row r="85" spans="1:13" s="86" customFormat="1" ht="140.25" x14ac:dyDescent="0.25">
      <c r="B85" s="102" t="s">
        <v>286</v>
      </c>
      <c r="C85" s="102" t="s">
        <v>148</v>
      </c>
      <c r="D85" s="106" t="s">
        <v>289</v>
      </c>
      <c r="E85" s="105" t="s">
        <v>150</v>
      </c>
      <c r="F85" s="105" t="s">
        <v>164</v>
      </c>
      <c r="G85" s="105">
        <v>20</v>
      </c>
      <c r="H85" s="105" t="s">
        <v>266</v>
      </c>
      <c r="I85" s="105"/>
      <c r="J85" s="105">
        <f>IF(H85="Sim",G85,
IF(H85="Parcialmente",G85/2,
IF(OR(H85="Não",H85="Não se aplica"),0,"")))
+IF(OR(H85="Sim",H85="Parcialmente"),Tabela1[[#This Row],[Pont. Resdist.]],0)</f>
        <v>20</v>
      </c>
      <c r="K85" s="126" t="s">
        <v>700</v>
      </c>
      <c r="L85" s="89"/>
      <c r="M85" s="90"/>
    </row>
    <row r="86" spans="1:13" s="86" customFormat="1" ht="51" x14ac:dyDescent="0.25">
      <c r="B86" s="102" t="s">
        <v>286</v>
      </c>
      <c r="C86" s="102" t="s">
        <v>148</v>
      </c>
      <c r="D86" s="38" t="s">
        <v>290</v>
      </c>
      <c r="E86" s="105" t="s">
        <v>150</v>
      </c>
      <c r="F86" s="105" t="s">
        <v>177</v>
      </c>
      <c r="G86" s="105">
        <v>5</v>
      </c>
      <c r="H86" s="105" t="s">
        <v>266</v>
      </c>
      <c r="I86" s="105"/>
      <c r="J86" s="105">
        <f>IF(H86="Sim",G86,
IF(H86="Parcialmente",G86/2,
IF(OR(H86="Não",H86="Não se aplica"),0,"")))
+IF(OR(H86="Sim",H86="Parcialmente"),Tabela1[[#This Row],[Pont. Resdist.]],0)</f>
        <v>5</v>
      </c>
      <c r="K86" s="126" t="s">
        <v>291</v>
      </c>
      <c r="L86" s="89"/>
      <c r="M86" s="90"/>
    </row>
    <row r="87" spans="1:13" s="86" customFormat="1" ht="38.25" x14ac:dyDescent="0.25">
      <c r="B87" s="102" t="s">
        <v>286</v>
      </c>
      <c r="C87" s="102" t="s">
        <v>148</v>
      </c>
      <c r="D87" s="38" t="s">
        <v>292</v>
      </c>
      <c r="E87" s="105" t="s">
        <v>150</v>
      </c>
      <c r="F87" s="105" t="s">
        <v>177</v>
      </c>
      <c r="G87" s="105">
        <v>5</v>
      </c>
      <c r="H87" s="105" t="s">
        <v>266</v>
      </c>
      <c r="I87" s="105"/>
      <c r="J87" s="105">
        <f>IF(H87="Sim",G87,
IF(H87="Parcialmente",G87/2,
IF(OR(H87="Não",H87="Não se aplica"),0,"")))
+IF(OR(H87="Sim",H87="Parcialmente"),Tabela1[[#This Row],[Pont. Resdist.]],0)</f>
        <v>5</v>
      </c>
      <c r="K87" s="126" t="s">
        <v>293</v>
      </c>
      <c r="L87" s="89"/>
      <c r="M87" s="90"/>
    </row>
    <row r="88" spans="1:13" s="86" customFormat="1" ht="89.25" x14ac:dyDescent="0.25">
      <c r="B88" s="102" t="s">
        <v>286</v>
      </c>
      <c r="C88" s="102" t="s">
        <v>148</v>
      </c>
      <c r="D88" s="38" t="s">
        <v>294</v>
      </c>
      <c r="E88" s="105" t="s">
        <v>150</v>
      </c>
      <c r="F88" s="105" t="s">
        <v>151</v>
      </c>
      <c r="G88" s="105">
        <v>15</v>
      </c>
      <c r="H88" s="105" t="s">
        <v>266</v>
      </c>
      <c r="I88" s="105"/>
      <c r="J88" s="105">
        <f>IF(H88="Sim",G88,
IF(H88="Parcialmente",G88/2,
IF(OR(H88="Não",H88="Não se aplica"),0,"")))
+IF(OR(H88="Sim",H88="Parcialmente"),Tabela1[[#This Row],[Pont. Resdist.]],0)</f>
        <v>15</v>
      </c>
      <c r="K88" s="126" t="s">
        <v>295</v>
      </c>
      <c r="L88" s="89"/>
      <c r="M88" s="90"/>
    </row>
    <row r="89" spans="1:13" s="86" customFormat="1" x14ac:dyDescent="0.25">
      <c r="A89" s="97"/>
      <c r="B89" s="102" t="s">
        <v>286</v>
      </c>
      <c r="C89" s="102" t="s">
        <v>146</v>
      </c>
      <c r="D89" s="107" t="s">
        <v>296</v>
      </c>
      <c r="E89" s="107"/>
      <c r="F89" s="107"/>
      <c r="G89" s="107"/>
      <c r="H89" s="107"/>
      <c r="I89" s="107"/>
      <c r="J89" s="107"/>
      <c r="K89" s="129"/>
      <c r="L89" s="87"/>
      <c r="M89" s="88"/>
    </row>
    <row r="90" spans="1:13" s="86" customFormat="1" ht="115.5" customHeight="1" x14ac:dyDescent="0.25">
      <c r="B90" s="109" t="s">
        <v>286</v>
      </c>
      <c r="C90" s="109" t="s">
        <v>148</v>
      </c>
      <c r="D90" s="110" t="s">
        <v>297</v>
      </c>
      <c r="E90" s="111" t="s">
        <v>154</v>
      </c>
      <c r="F90" s="105" t="s">
        <v>151</v>
      </c>
      <c r="G90" s="111">
        <v>15</v>
      </c>
      <c r="H90" s="167" t="s">
        <v>266</v>
      </c>
      <c r="I90" s="111"/>
      <c r="J90" s="105">
        <f>IF(H90="Sim",G90,
IF(H90="Parcialmente",G90/2,
IF(OR(H90="Não",H90="Não se aplica"),0,"")))
+IF(OR(H90="Sim",H90="Parcialmente"),Tabela1[[#This Row],[Pont. Resdist.]],0)</f>
        <v>15</v>
      </c>
      <c r="K90" s="126" t="s">
        <v>298</v>
      </c>
      <c r="L90" s="89"/>
      <c r="M90" s="90"/>
    </row>
    <row r="91" spans="1:13" s="86" customFormat="1" ht="40.5" customHeight="1" x14ac:dyDescent="0.25">
      <c r="B91" s="102" t="s">
        <v>286</v>
      </c>
      <c r="C91" s="102" t="s">
        <v>148</v>
      </c>
      <c r="D91" s="38" t="s">
        <v>299</v>
      </c>
      <c r="E91" s="105" t="s">
        <v>154</v>
      </c>
      <c r="F91" s="105" t="s">
        <v>177</v>
      </c>
      <c r="G91" s="105">
        <v>5</v>
      </c>
      <c r="H91" s="111" t="s">
        <v>209</v>
      </c>
      <c r="I91" s="111"/>
      <c r="J91" s="105">
        <f>IF(H91="Sim",G91,
IF(H91="Parcialmente",G91/2,
IF(OR(H91="Não",H91="Não se aplica"),0,"")))
+IF(OR(H91="Sim",H91="Parcialmente"),Tabela1[[#This Row],[Pont. Resdist.]],0)</f>
        <v>5</v>
      </c>
      <c r="K91" s="126" t="s">
        <v>300</v>
      </c>
      <c r="L91" s="89" t="s">
        <v>157</v>
      </c>
      <c r="M91" s="92" t="s">
        <v>301</v>
      </c>
    </row>
    <row r="92" spans="1:13" s="86" customFormat="1" ht="94.5" customHeight="1" x14ac:dyDescent="0.25">
      <c r="B92" s="102" t="s">
        <v>286</v>
      </c>
      <c r="C92" s="102" t="s">
        <v>148</v>
      </c>
      <c r="D92" s="38" t="s">
        <v>302</v>
      </c>
      <c r="E92" s="105" t="s">
        <v>303</v>
      </c>
      <c r="F92" s="105" t="s">
        <v>177</v>
      </c>
      <c r="G92" s="105">
        <v>5</v>
      </c>
      <c r="H92" s="167" t="s">
        <v>266</v>
      </c>
      <c r="I92" s="111"/>
      <c r="J92" s="105">
        <f>IF(H92="Sim",G92,
IF(H92="Parcialmente",G92/2,
IF(OR(H92="Não",H92="Não se aplica"),0,"")))
+IF(OR(H92="Sim",H92="Parcialmente"),Tabela1[[#This Row],[Pont. Resdist.]],0)</f>
        <v>5</v>
      </c>
      <c r="K92" s="126" t="s">
        <v>304</v>
      </c>
      <c r="L92" s="89" t="s">
        <v>157</v>
      </c>
      <c r="M92" s="92" t="s">
        <v>301</v>
      </c>
    </row>
    <row r="93" spans="1:13" s="86" customFormat="1" ht="27.75" customHeight="1" x14ac:dyDescent="0.25">
      <c r="B93" s="102" t="s">
        <v>286</v>
      </c>
      <c r="C93" s="102" t="s">
        <v>148</v>
      </c>
      <c r="D93" s="38" t="s">
        <v>305</v>
      </c>
      <c r="E93" s="105" t="s">
        <v>154</v>
      </c>
      <c r="F93" s="105" t="s">
        <v>155</v>
      </c>
      <c r="G93" s="105">
        <v>18</v>
      </c>
      <c r="H93" s="105" t="s">
        <v>266</v>
      </c>
      <c r="I93" s="105"/>
      <c r="J93" s="105">
        <f>IF(H93="Sim",G93,
IF(H93="Parcialmente",G93/2,
IF(OR(H93="Não",H93="Não se aplica"),0,"")))
+IF(OR(H93="Sim",H93="Parcialmente"),Tabela1[[#This Row],[Pont. Resdist.]],0)</f>
        <v>18</v>
      </c>
      <c r="K93" s="126" t="s">
        <v>306</v>
      </c>
      <c r="L93" s="89" t="s">
        <v>157</v>
      </c>
      <c r="M93" s="92" t="s">
        <v>307</v>
      </c>
    </row>
    <row r="94" spans="1:13" s="86" customFormat="1" ht="51.75" customHeight="1" x14ac:dyDescent="0.25">
      <c r="B94" s="102" t="s">
        <v>286</v>
      </c>
      <c r="C94" s="102" t="s">
        <v>148</v>
      </c>
      <c r="D94" s="38" t="s">
        <v>308</v>
      </c>
      <c r="E94" s="105" t="s">
        <v>303</v>
      </c>
      <c r="F94" s="105" t="s">
        <v>155</v>
      </c>
      <c r="G94" s="105">
        <v>18</v>
      </c>
      <c r="H94" s="105" t="s">
        <v>266</v>
      </c>
      <c r="I94" s="105"/>
      <c r="J94" s="105">
        <f>IF(H94="Sim",G94,
IF(H94="Parcialmente",G94/2,
IF(OR(H94="Não",H94="Não se aplica"),0,"")))
+IF(OR(H94="Sim",H94="Parcialmente"),Tabela1[[#This Row],[Pont. Resdist.]],0)</f>
        <v>18</v>
      </c>
      <c r="K94" s="126" t="s">
        <v>309</v>
      </c>
      <c r="L94" s="89" t="s">
        <v>157</v>
      </c>
      <c r="M94" s="92" t="s">
        <v>307</v>
      </c>
    </row>
    <row r="95" spans="1:13" s="125" customFormat="1" ht="31.5" x14ac:dyDescent="0.25">
      <c r="B95" s="122" t="s">
        <v>310</v>
      </c>
      <c r="C95" s="122" t="s">
        <v>131</v>
      </c>
      <c r="D95" s="121" t="s">
        <v>311</v>
      </c>
      <c r="E95" s="123"/>
      <c r="F95" s="123"/>
      <c r="G95" s="123"/>
      <c r="H95" s="123"/>
      <c r="I95" s="123"/>
      <c r="J95" s="123"/>
      <c r="K95" s="131"/>
      <c r="L95" s="124"/>
      <c r="M95" s="123"/>
    </row>
    <row r="96" spans="1:13" s="86" customFormat="1" x14ac:dyDescent="0.25">
      <c r="B96" s="102" t="s">
        <v>310</v>
      </c>
      <c r="C96" s="102" t="s">
        <v>146</v>
      </c>
      <c r="D96" s="107" t="s">
        <v>312</v>
      </c>
      <c r="E96" s="107"/>
      <c r="F96" s="107"/>
      <c r="G96" s="107"/>
      <c r="H96" s="107"/>
      <c r="I96" s="107"/>
      <c r="J96" s="107"/>
      <c r="K96" s="129"/>
      <c r="L96" s="87"/>
      <c r="M96" s="88"/>
    </row>
    <row r="97" spans="2:13" s="86" customFormat="1" ht="25.5" x14ac:dyDescent="0.25">
      <c r="B97" s="102" t="s">
        <v>310</v>
      </c>
      <c r="C97" s="102" t="s">
        <v>173</v>
      </c>
      <c r="D97" s="38" t="s">
        <v>313</v>
      </c>
      <c r="E97" s="105" t="s">
        <v>175</v>
      </c>
      <c r="F97" s="105" t="s">
        <v>175</v>
      </c>
      <c r="G97" s="105" t="s">
        <v>175</v>
      </c>
      <c r="H97" s="105"/>
      <c r="I97" s="105"/>
      <c r="J97" s="105"/>
      <c r="K97" s="126"/>
      <c r="L97" s="89"/>
      <c r="M97" s="90"/>
    </row>
    <row r="98" spans="2:13" s="86" customFormat="1" ht="38.25" x14ac:dyDescent="0.25">
      <c r="B98" s="102" t="s">
        <v>310</v>
      </c>
      <c r="C98" s="102" t="s">
        <v>148</v>
      </c>
      <c r="D98" s="106" t="s">
        <v>314</v>
      </c>
      <c r="E98" s="105" t="s">
        <v>150</v>
      </c>
      <c r="F98" s="105" t="s">
        <v>164</v>
      </c>
      <c r="G98" s="105">
        <v>20</v>
      </c>
      <c r="H98" s="105" t="s">
        <v>266</v>
      </c>
      <c r="I98" s="105"/>
      <c r="J98" s="105">
        <f>IF(H98="Sim",G98,
IF(H98="Parcialmente",G98/2,
IF(OR(H98="Não",H98="Não se aplica"),0,"")))
+IF(OR(H98="Sim",H98="Parcialmente"),Tabela1[[#This Row],[Pont. Resdist.]],0)</f>
        <v>20</v>
      </c>
      <c r="K98" s="126" t="s">
        <v>315</v>
      </c>
      <c r="L98" s="89"/>
      <c r="M98" s="90"/>
    </row>
    <row r="99" spans="2:13" s="86" customFormat="1" ht="38.25" x14ac:dyDescent="0.25">
      <c r="B99" s="102" t="s">
        <v>310</v>
      </c>
      <c r="C99" s="102" t="s">
        <v>148</v>
      </c>
      <c r="D99" s="38" t="s">
        <v>316</v>
      </c>
      <c r="E99" s="105" t="s">
        <v>150</v>
      </c>
      <c r="F99" s="105" t="s">
        <v>177</v>
      </c>
      <c r="G99" s="105">
        <v>5</v>
      </c>
      <c r="H99" s="105" t="s">
        <v>266</v>
      </c>
      <c r="I99" s="105"/>
      <c r="J99" s="105">
        <f>IF(H99="Sim",G99,
IF(H99="Parcialmente",G99/2,
IF(OR(H99="Não",H99="Não se aplica"),0,"")))
+IF(OR(H99="Sim",H99="Parcialmente"),Tabela1[[#This Row],[Pont. Resdist.]],0)</f>
        <v>5</v>
      </c>
      <c r="K99" s="126" t="s">
        <v>317</v>
      </c>
      <c r="L99" s="89"/>
      <c r="M99" s="90"/>
    </row>
    <row r="100" spans="2:13" s="86" customFormat="1" ht="42.75" customHeight="1" x14ac:dyDescent="0.25">
      <c r="B100" s="102" t="s">
        <v>310</v>
      </c>
      <c r="C100" s="102" t="s">
        <v>148</v>
      </c>
      <c r="D100" s="38" t="s">
        <v>318</v>
      </c>
      <c r="E100" s="105" t="s">
        <v>154</v>
      </c>
      <c r="F100" s="105" t="s">
        <v>177</v>
      </c>
      <c r="G100" s="105">
        <v>5</v>
      </c>
      <c r="H100" s="105" t="s">
        <v>124</v>
      </c>
      <c r="I100" s="105"/>
      <c r="J100" s="105">
        <f>IF(H100="Sim",G100,
IF(H100="Parcialmente",G100/2,
IF(OR(H100="Não",H100="Não se aplica"),0,"")))
+IF(OR(H100="Sim",H100="Parcialmente"),Tabela1[[#This Row],[Pont. Resdist.]],0)</f>
        <v>0</v>
      </c>
      <c r="K100" s="126"/>
      <c r="L100" s="89" t="s">
        <v>319</v>
      </c>
      <c r="M100" s="92" t="s">
        <v>320</v>
      </c>
    </row>
    <row r="101" spans="2:13" s="86" customFormat="1" ht="409.5" x14ac:dyDescent="0.25">
      <c r="B101" s="102" t="s">
        <v>310</v>
      </c>
      <c r="C101" s="102" t="s">
        <v>148</v>
      </c>
      <c r="D101" s="38" t="s">
        <v>321</v>
      </c>
      <c r="E101" s="105" t="s">
        <v>150</v>
      </c>
      <c r="F101" s="105" t="s">
        <v>177</v>
      </c>
      <c r="G101" s="105">
        <v>5</v>
      </c>
      <c r="H101" s="105" t="s">
        <v>266</v>
      </c>
      <c r="I101" s="105"/>
      <c r="J101" s="105">
        <f>IF(H101="Sim",G101,
IF(H101="Parcialmente",G101/2,
IF(OR(H101="Não",H101="Não se aplica"),0,"")))
+IF(OR(H101="Sim",H101="Parcialmente"),Tabela1[[#This Row],[Pont. Resdist.]],0)</f>
        <v>5</v>
      </c>
      <c r="K101" s="126" t="s">
        <v>322</v>
      </c>
      <c r="L101" s="89"/>
      <c r="M101" s="90"/>
    </row>
    <row r="102" spans="2:13" s="86" customFormat="1" ht="114.75" x14ac:dyDescent="0.25">
      <c r="B102" s="102" t="s">
        <v>310</v>
      </c>
      <c r="C102" s="102" t="s">
        <v>148</v>
      </c>
      <c r="D102" s="38" t="s">
        <v>323</v>
      </c>
      <c r="E102" s="105" t="s">
        <v>150</v>
      </c>
      <c r="F102" s="105" t="s">
        <v>155</v>
      </c>
      <c r="G102" s="105">
        <v>18</v>
      </c>
      <c r="H102" s="105" t="s">
        <v>266</v>
      </c>
      <c r="I102" s="105"/>
      <c r="J102" s="105">
        <f>IF(H102="Sim",G102,
IF(H102="Parcialmente",G102/2,
IF(OR(H102="Não",H102="Não se aplica"),0,"")))
+IF(OR(H102="Sim",H102="Parcialmente"),Tabela1[[#This Row],[Pont. Resdist.]],0)</f>
        <v>18</v>
      </c>
      <c r="K102" s="126" t="s">
        <v>696</v>
      </c>
      <c r="L102" s="89"/>
      <c r="M102" s="90"/>
    </row>
    <row r="103" spans="2:13" s="86" customFormat="1" x14ac:dyDescent="0.25">
      <c r="B103" s="102" t="s">
        <v>310</v>
      </c>
      <c r="C103" s="102" t="s">
        <v>146</v>
      </c>
      <c r="D103" s="107" t="s">
        <v>324</v>
      </c>
      <c r="E103" s="107"/>
      <c r="F103" s="107"/>
      <c r="G103" s="107"/>
      <c r="H103" s="107"/>
      <c r="I103" s="107"/>
      <c r="J103" s="107"/>
      <c r="K103" s="129"/>
      <c r="L103" s="87"/>
      <c r="M103" s="88"/>
    </row>
    <row r="104" spans="2:13" s="86" customFormat="1" ht="25.5" x14ac:dyDescent="0.25">
      <c r="B104" s="102" t="s">
        <v>310</v>
      </c>
      <c r="C104" s="102" t="s">
        <v>173</v>
      </c>
      <c r="D104" s="112" t="s">
        <v>325</v>
      </c>
      <c r="E104" s="117" t="s">
        <v>175</v>
      </c>
      <c r="F104" s="117" t="s">
        <v>175</v>
      </c>
      <c r="G104" s="117" t="s">
        <v>175</v>
      </c>
      <c r="H104" s="117"/>
      <c r="I104" s="117"/>
      <c r="J104" s="117"/>
      <c r="K104" s="126"/>
      <c r="L104" s="89"/>
      <c r="M104" s="90"/>
    </row>
    <row r="105" spans="2:13" s="86" customFormat="1" ht="165.75" x14ac:dyDescent="0.25">
      <c r="B105" s="102" t="s">
        <v>310</v>
      </c>
      <c r="C105" s="102" t="s">
        <v>148</v>
      </c>
      <c r="D105" s="38" t="s">
        <v>326</v>
      </c>
      <c r="E105" s="105" t="s">
        <v>150</v>
      </c>
      <c r="F105" s="105" t="s">
        <v>177</v>
      </c>
      <c r="G105" s="105">
        <v>5</v>
      </c>
      <c r="H105" s="105" t="s">
        <v>266</v>
      </c>
      <c r="I105" s="105"/>
      <c r="J105" s="105">
        <f>IF(H105="Sim",G105,
IF(H105="Parcialmente",G105/2,
IF(OR(H105="Não",H105="Não se aplica"),0,"")))
+IF(OR(H105="Sim",H105="Parcialmente"),Tabela1[[#This Row],[Pont. Resdist.]],0)</f>
        <v>5</v>
      </c>
      <c r="K105" s="126" t="s">
        <v>327</v>
      </c>
      <c r="L105" s="89"/>
      <c r="M105" s="90"/>
    </row>
    <row r="106" spans="2:13" s="86" customFormat="1" ht="51" x14ac:dyDescent="0.25">
      <c r="B106" s="102" t="s">
        <v>310</v>
      </c>
      <c r="C106" s="102" t="s">
        <v>148</v>
      </c>
      <c r="D106" s="38" t="s">
        <v>328</v>
      </c>
      <c r="E106" s="105" t="s">
        <v>150</v>
      </c>
      <c r="F106" s="105" t="s">
        <v>177</v>
      </c>
      <c r="G106" s="105">
        <v>5</v>
      </c>
      <c r="H106" s="105" t="s">
        <v>266</v>
      </c>
      <c r="I106" s="105"/>
      <c r="J106" s="105">
        <f>IF(H106="Sim",G106,
IF(H106="Parcialmente",G106/2,
IF(OR(H106="Não",H106="Não se aplica"),0,"")))
+IF(OR(H106="Sim",H106="Parcialmente"),Tabela1[[#This Row],[Pont. Resdist.]],0)</f>
        <v>5</v>
      </c>
      <c r="K106" s="126" t="s">
        <v>329</v>
      </c>
      <c r="L106" s="89"/>
      <c r="M106" s="90"/>
    </row>
    <row r="107" spans="2:13" s="86" customFormat="1" ht="51" x14ac:dyDescent="0.25">
      <c r="B107" s="109" t="s">
        <v>310</v>
      </c>
      <c r="C107" s="109" t="s">
        <v>148</v>
      </c>
      <c r="D107" s="110" t="s">
        <v>330</v>
      </c>
      <c r="E107" s="111" t="s">
        <v>169</v>
      </c>
      <c r="F107" s="105" t="s">
        <v>155</v>
      </c>
      <c r="G107" s="111">
        <v>18</v>
      </c>
      <c r="H107" s="167" t="s">
        <v>266</v>
      </c>
      <c r="I107" s="111"/>
      <c r="J107" s="105">
        <f>IF(H107="Sim",G107,
IF(H107="Parcialmente",G107/2,
IF(OR(H107="Não",H107="Não se aplica"),0,"")))
+IF(OR(H107="Sim",H107="Parcialmente"),Tabela1[[#This Row],[Pont. Resdist.]],0)</f>
        <v>18</v>
      </c>
      <c r="K107" s="130" t="s">
        <v>331</v>
      </c>
      <c r="L107" s="89"/>
      <c r="M107" s="90"/>
    </row>
    <row r="108" spans="2:13" s="86" customFormat="1" x14ac:dyDescent="0.25">
      <c r="B108" s="102" t="s">
        <v>310</v>
      </c>
      <c r="C108" s="102" t="s">
        <v>146</v>
      </c>
      <c r="D108" s="107" t="s">
        <v>332</v>
      </c>
      <c r="E108" s="107"/>
      <c r="F108" s="107"/>
      <c r="G108" s="107"/>
      <c r="H108" s="107"/>
      <c r="I108" s="107"/>
      <c r="J108" s="107"/>
      <c r="K108" s="129"/>
      <c r="L108" s="87"/>
      <c r="M108" s="88"/>
    </row>
    <row r="109" spans="2:13" s="86" customFormat="1" ht="66" customHeight="1" x14ac:dyDescent="0.25">
      <c r="B109" s="102" t="s">
        <v>310</v>
      </c>
      <c r="C109" s="102" t="s">
        <v>148</v>
      </c>
      <c r="D109" s="38" t="s">
        <v>333</v>
      </c>
      <c r="E109" s="105" t="s">
        <v>303</v>
      </c>
      <c r="F109" s="105" t="s">
        <v>151</v>
      </c>
      <c r="G109" s="105">
        <v>15</v>
      </c>
      <c r="H109" s="115" t="s">
        <v>127</v>
      </c>
      <c r="I109" s="105"/>
      <c r="J109" s="105">
        <f>IF(H109="Sim",G109,
IF(H109="Parcialmente",G109/2,
IF(OR(H109="Não",H109="Não se aplica"),0,"")))
+IF(OR(H109="Sim",H109="Parcialmente"),Tabela1[[#This Row],[Pont. Resdist.]],0)</f>
        <v>0</v>
      </c>
      <c r="K109" s="126" t="s">
        <v>334</v>
      </c>
      <c r="L109" s="89" t="s">
        <v>335</v>
      </c>
      <c r="M109" s="92" t="s">
        <v>336</v>
      </c>
    </row>
    <row r="110" spans="2:13" s="86" customFormat="1" ht="39.75" customHeight="1" x14ac:dyDescent="0.25">
      <c r="B110" s="102" t="s">
        <v>310</v>
      </c>
      <c r="C110" s="102" t="s">
        <v>148</v>
      </c>
      <c r="D110" s="38" t="s">
        <v>337</v>
      </c>
      <c r="E110" s="105" t="s">
        <v>303</v>
      </c>
      <c r="F110" s="105" t="s">
        <v>155</v>
      </c>
      <c r="G110" s="105">
        <v>18</v>
      </c>
      <c r="H110" s="115" t="s">
        <v>127</v>
      </c>
      <c r="I110" s="105"/>
      <c r="J110" s="105">
        <f>IF(H110="Sim",G110,
IF(H110="Parcialmente",G110/2,
IF(OR(H110="Não",H110="Não se aplica"),0,"")))
+IF(OR(H110="Sim",H110="Parcialmente"),Tabela1[[#This Row],[Pont. Resdist.]],0)</f>
        <v>0</v>
      </c>
      <c r="K110" s="126" t="s">
        <v>338</v>
      </c>
      <c r="L110" s="89" t="s">
        <v>335</v>
      </c>
      <c r="M110" s="92" t="s">
        <v>339</v>
      </c>
    </row>
    <row r="111" spans="2:13" s="125" customFormat="1" ht="15.75" x14ac:dyDescent="0.25">
      <c r="B111" s="122" t="s">
        <v>340</v>
      </c>
      <c r="C111" s="122" t="s">
        <v>131</v>
      </c>
      <c r="D111" s="121" t="s">
        <v>341</v>
      </c>
      <c r="E111" s="123"/>
      <c r="F111" s="123"/>
      <c r="G111" s="123"/>
      <c r="H111" s="123"/>
      <c r="I111" s="123"/>
      <c r="J111" s="123"/>
      <c r="K111" s="131"/>
      <c r="L111" s="124"/>
      <c r="M111" s="123"/>
    </row>
    <row r="112" spans="2:13" s="86" customFormat="1" x14ac:dyDescent="0.25">
      <c r="B112" s="102" t="s">
        <v>340</v>
      </c>
      <c r="C112" s="102" t="s">
        <v>146</v>
      </c>
      <c r="D112" s="107" t="s">
        <v>342</v>
      </c>
      <c r="E112" s="107"/>
      <c r="F112" s="107"/>
      <c r="G112" s="107"/>
      <c r="H112" s="107"/>
      <c r="I112" s="107"/>
      <c r="J112" s="107"/>
      <c r="K112" s="129"/>
      <c r="L112" s="87"/>
      <c r="M112" s="88"/>
    </row>
    <row r="113" spans="2:13" s="86" customFormat="1" ht="76.5" x14ac:dyDescent="0.25">
      <c r="B113" s="102" t="s">
        <v>340</v>
      </c>
      <c r="C113" s="102" t="s">
        <v>148</v>
      </c>
      <c r="D113" s="106" t="s">
        <v>343</v>
      </c>
      <c r="E113" s="105" t="s">
        <v>150</v>
      </c>
      <c r="F113" s="105" t="s">
        <v>164</v>
      </c>
      <c r="G113" s="105">
        <v>20</v>
      </c>
      <c r="H113" s="105" t="s">
        <v>266</v>
      </c>
      <c r="I113" s="105"/>
      <c r="J113" s="105">
        <f>IF(H113="Sim",G113,
IF(H113="Parcialmente",G113/2,
IF(OR(H113="Não",H113="Não se aplica"),0,"")))
+IF(OR(H113="Sim",H113="Parcialmente"),Tabela1[[#This Row],[Pont. Resdist.]],0)</f>
        <v>20</v>
      </c>
      <c r="K113" s="126" t="s">
        <v>344</v>
      </c>
      <c r="L113" s="89"/>
      <c r="M113" s="90"/>
    </row>
    <row r="114" spans="2:13" s="86" customFormat="1" x14ac:dyDescent="0.25">
      <c r="B114" s="102" t="s">
        <v>340</v>
      </c>
      <c r="C114" s="102" t="s">
        <v>173</v>
      </c>
      <c r="D114" s="38" t="s">
        <v>345</v>
      </c>
      <c r="E114" s="105" t="s">
        <v>175</v>
      </c>
      <c r="F114" s="105"/>
      <c r="G114" s="105"/>
      <c r="H114" s="105"/>
      <c r="I114" s="105"/>
      <c r="J114" s="105"/>
      <c r="K114" s="126"/>
      <c r="L114" s="89"/>
      <c r="M114" s="90"/>
    </row>
    <row r="115" spans="2:13" s="86" customFormat="1" ht="38.25" x14ac:dyDescent="0.25">
      <c r="B115" s="102" t="s">
        <v>340</v>
      </c>
      <c r="C115" s="102" t="s">
        <v>148</v>
      </c>
      <c r="D115" s="38" t="s">
        <v>346</v>
      </c>
      <c r="E115" s="105" t="s">
        <v>150</v>
      </c>
      <c r="F115" s="105" t="s">
        <v>177</v>
      </c>
      <c r="G115" s="105">
        <v>5</v>
      </c>
      <c r="H115" s="105" t="s">
        <v>266</v>
      </c>
      <c r="I115" s="105"/>
      <c r="J115" s="105">
        <f>IF(H115="Sim",G115,
IF(H115="Parcialmente",G115/2,
IF(OR(H115="Não",H115="Não se aplica"),0,"")))
+IF(OR(H115="Sim",H115="Parcialmente"),Tabela1[[#This Row],[Pont. Resdist.]],0)</f>
        <v>5</v>
      </c>
      <c r="K115" s="126" t="s">
        <v>347</v>
      </c>
      <c r="L115" s="89"/>
      <c r="M115" s="90"/>
    </row>
    <row r="116" spans="2:13" s="86" customFormat="1" ht="63.75" x14ac:dyDescent="0.25">
      <c r="B116" s="102" t="s">
        <v>340</v>
      </c>
      <c r="C116" s="102" t="s">
        <v>148</v>
      </c>
      <c r="D116" s="38" t="s">
        <v>348</v>
      </c>
      <c r="E116" s="105" t="s">
        <v>150</v>
      </c>
      <c r="F116" s="111" t="s">
        <v>177</v>
      </c>
      <c r="G116" s="105">
        <v>5</v>
      </c>
      <c r="H116" s="105" t="s">
        <v>266</v>
      </c>
      <c r="I116" s="105"/>
      <c r="J116" s="105">
        <f>IF(H116="Sim",G116,
IF(H116="Parcialmente",G116/2,
IF(OR(H116="Não",H116="Não se aplica"),0,"")))
+IF(OR(H116="Sim",H116="Parcialmente"),Tabela1[[#This Row],[Pont. Resdist.]],0)</f>
        <v>5</v>
      </c>
      <c r="K116" s="126" t="s">
        <v>349</v>
      </c>
      <c r="L116" s="89"/>
      <c r="M116" s="90"/>
    </row>
    <row r="117" spans="2:13" s="86" customFormat="1" ht="72" x14ac:dyDescent="0.25">
      <c r="B117" s="102" t="s">
        <v>340</v>
      </c>
      <c r="C117" s="102" t="s">
        <v>148</v>
      </c>
      <c r="D117" s="38" t="s">
        <v>350</v>
      </c>
      <c r="E117" s="105" t="s">
        <v>150</v>
      </c>
      <c r="F117" s="105" t="s">
        <v>177</v>
      </c>
      <c r="G117" s="105">
        <v>5</v>
      </c>
      <c r="H117" s="105" t="s">
        <v>266</v>
      </c>
      <c r="I117" s="105"/>
      <c r="J117" s="105">
        <f>IF(H117="Sim",G117,
IF(H117="Parcialmente",G117/2,
IF(OR(H117="Não",H117="Não se aplica"),0,"")))
+IF(OR(H117="Sim",H117="Parcialmente"),Tabela1[[#This Row],[Pont. Resdist.]],0)</f>
        <v>5</v>
      </c>
      <c r="K117" s="135" t="s">
        <v>351</v>
      </c>
      <c r="L117" s="89"/>
      <c r="M117" s="90"/>
    </row>
    <row r="118" spans="2:13" s="86" customFormat="1" x14ac:dyDescent="0.25">
      <c r="B118" s="102" t="s">
        <v>340</v>
      </c>
      <c r="C118" s="102" t="s">
        <v>148</v>
      </c>
      <c r="D118" s="106" t="s">
        <v>352</v>
      </c>
      <c r="E118" s="105" t="s">
        <v>150</v>
      </c>
      <c r="F118" s="105" t="s">
        <v>198</v>
      </c>
      <c r="G118" s="105">
        <v>25</v>
      </c>
      <c r="H118" s="105" t="s">
        <v>266</v>
      </c>
      <c r="I118" s="105"/>
      <c r="J118" s="105">
        <f>IF(H118="Sim",G118,
IF(H118="Parcialmente",G118/2,
IF(OR(H118="Não",H118="Não se aplica"),0,"")))
+IF(OR(H118="Sim",H118="Parcialmente"),Tabela1[[#This Row],[Pont. Resdist.]],0)</f>
        <v>25</v>
      </c>
      <c r="K118" s="126"/>
      <c r="L118" s="89"/>
      <c r="M118" s="90"/>
    </row>
    <row r="119" spans="2:13" s="86" customFormat="1" x14ac:dyDescent="0.25">
      <c r="B119" s="102" t="s">
        <v>340</v>
      </c>
      <c r="C119" s="102" t="s">
        <v>146</v>
      </c>
      <c r="D119" s="107" t="s">
        <v>353</v>
      </c>
      <c r="E119" s="107"/>
      <c r="F119" s="107"/>
      <c r="G119" s="107"/>
      <c r="H119" s="107"/>
      <c r="I119" s="107"/>
      <c r="J119" s="107"/>
      <c r="K119" s="129"/>
      <c r="L119" s="87"/>
      <c r="M119" s="88"/>
    </row>
    <row r="120" spans="2:13" s="86" customFormat="1" ht="51" x14ac:dyDescent="0.25">
      <c r="B120" s="102" t="s">
        <v>340</v>
      </c>
      <c r="C120" s="102" t="s">
        <v>148</v>
      </c>
      <c r="D120" s="38" t="s">
        <v>354</v>
      </c>
      <c r="E120" s="105" t="s">
        <v>169</v>
      </c>
      <c r="F120" s="105" t="s">
        <v>151</v>
      </c>
      <c r="G120" s="105">
        <v>15</v>
      </c>
      <c r="H120" s="105" t="s">
        <v>266</v>
      </c>
      <c r="I120" s="105"/>
      <c r="J120" s="105">
        <f>IF(H120="Sim",G120,
IF(H120="Parcialmente",G120/2,
IF(OR(H120="Não",H120="Não se aplica"),0,"")))
+IF(OR(H120="Sim",H120="Parcialmente"),Tabela1[[#This Row],[Pont. Resdist.]],0)</f>
        <v>15</v>
      </c>
      <c r="K120" s="126" t="s">
        <v>355</v>
      </c>
      <c r="L120" s="89"/>
      <c r="M120" s="90"/>
    </row>
    <row r="121" spans="2:13" s="86" customFormat="1" x14ac:dyDescent="0.25">
      <c r="B121" s="102" t="s">
        <v>340</v>
      </c>
      <c r="C121" s="102" t="s">
        <v>173</v>
      </c>
      <c r="D121" s="38" t="s">
        <v>356</v>
      </c>
      <c r="E121" s="105" t="s">
        <v>175</v>
      </c>
      <c r="F121" s="105" t="s">
        <v>175</v>
      </c>
      <c r="G121" s="105" t="s">
        <v>175</v>
      </c>
      <c r="H121" s="105"/>
      <c r="I121" s="105"/>
      <c r="J121" s="105"/>
      <c r="K121" s="126"/>
      <c r="L121" s="89"/>
      <c r="M121" s="90"/>
    </row>
    <row r="122" spans="2:13" s="86" customFormat="1" ht="38.25" x14ac:dyDescent="0.25">
      <c r="B122" s="102" t="s">
        <v>340</v>
      </c>
      <c r="C122" s="102" t="s">
        <v>148</v>
      </c>
      <c r="D122" s="38" t="s">
        <v>357</v>
      </c>
      <c r="E122" s="105" t="s">
        <v>169</v>
      </c>
      <c r="F122" s="105" t="s">
        <v>177</v>
      </c>
      <c r="G122" s="105">
        <v>5</v>
      </c>
      <c r="H122" s="105" t="s">
        <v>266</v>
      </c>
      <c r="I122" s="105"/>
      <c r="J122" s="105">
        <f>IF(H122="Sim",G122,
IF(H122="Parcialmente",G122/2,
IF(OR(H122="Não",H122="Não se aplica"),0,"")))
+IF(OR(H122="Sim",H122="Parcialmente"),Tabela1[[#This Row],[Pont. Resdist.]],0)</f>
        <v>5</v>
      </c>
      <c r="K122" s="126" t="s">
        <v>358</v>
      </c>
      <c r="L122" s="89"/>
      <c r="M122" s="90"/>
    </row>
    <row r="123" spans="2:13" s="86" customFormat="1" ht="102" x14ac:dyDescent="0.25">
      <c r="B123" s="102" t="s">
        <v>340</v>
      </c>
      <c r="C123" s="102" t="s">
        <v>148</v>
      </c>
      <c r="D123" s="38" t="s">
        <v>359</v>
      </c>
      <c r="E123" s="105" t="s">
        <v>150</v>
      </c>
      <c r="F123" s="105" t="s">
        <v>177</v>
      </c>
      <c r="G123" s="105">
        <v>5</v>
      </c>
      <c r="H123" s="105" t="s">
        <v>266</v>
      </c>
      <c r="I123" s="105"/>
      <c r="J123" s="105">
        <f>IF(H123="Sim",G123,
IF(H123="Parcialmente",G123/2,
IF(OR(H123="Não",H123="Não se aplica"),0,"")))
+IF(OR(H123="Sim",H123="Parcialmente"),Tabela1[[#This Row],[Pont. Resdist.]],0)</f>
        <v>5</v>
      </c>
      <c r="K123" s="126" t="s">
        <v>360</v>
      </c>
      <c r="L123" s="89"/>
      <c r="M123" s="90"/>
    </row>
    <row r="124" spans="2:13" s="86" customFormat="1" ht="69.75" customHeight="1" x14ac:dyDescent="0.25">
      <c r="B124" s="102" t="s">
        <v>340</v>
      </c>
      <c r="C124" s="102" t="s">
        <v>148</v>
      </c>
      <c r="D124" s="112" t="s">
        <v>361</v>
      </c>
      <c r="E124" s="113" t="s">
        <v>154</v>
      </c>
      <c r="F124" s="105" t="s">
        <v>155</v>
      </c>
      <c r="G124" s="105">
        <v>18</v>
      </c>
      <c r="H124" s="105" t="s">
        <v>266</v>
      </c>
      <c r="I124" s="105"/>
      <c r="J124" s="105">
        <f>IF(H124="Sim",G124,
IF(H124="Parcialmente",G124/2,
IF(OR(H124="Não",H124="Não se aplica"),0,"")))
+IF(OR(H124="Sim",H124="Parcialmente"),Tabela1[[#This Row],[Pont. Resdist.]],0)</f>
        <v>18</v>
      </c>
      <c r="K124" s="126" t="s">
        <v>362</v>
      </c>
      <c r="L124" s="89" t="s">
        <v>363</v>
      </c>
      <c r="M124" s="92" t="s">
        <v>364</v>
      </c>
    </row>
    <row r="125" spans="2:13" s="86" customFormat="1" ht="25.5" x14ac:dyDescent="0.25">
      <c r="B125" s="102" t="s">
        <v>340</v>
      </c>
      <c r="C125" s="102" t="s">
        <v>146</v>
      </c>
      <c r="D125" s="107" t="s">
        <v>365</v>
      </c>
      <c r="E125" s="107"/>
      <c r="F125" s="107"/>
      <c r="G125" s="107"/>
      <c r="H125" s="107"/>
      <c r="I125" s="107"/>
      <c r="J125" s="107"/>
      <c r="K125" s="129"/>
      <c r="L125" s="87"/>
      <c r="M125" s="88"/>
    </row>
    <row r="126" spans="2:13" s="86" customFormat="1" ht="25.5" x14ac:dyDescent="0.25">
      <c r="B126" s="102" t="s">
        <v>340</v>
      </c>
      <c r="C126" s="102" t="s">
        <v>173</v>
      </c>
      <c r="D126" s="38" t="s">
        <v>366</v>
      </c>
      <c r="E126" s="105" t="s">
        <v>175</v>
      </c>
      <c r="F126" s="105" t="s">
        <v>175</v>
      </c>
      <c r="G126" s="105" t="s">
        <v>175</v>
      </c>
      <c r="H126" s="105"/>
      <c r="I126" s="105"/>
      <c r="J126" s="105"/>
      <c r="K126" s="126"/>
      <c r="L126" s="89"/>
      <c r="M126" s="90"/>
    </row>
    <row r="127" spans="2:13" s="86" customFormat="1" ht="76.5" x14ac:dyDescent="0.25">
      <c r="B127" s="102" t="s">
        <v>340</v>
      </c>
      <c r="C127" s="102" t="s">
        <v>148</v>
      </c>
      <c r="D127" s="38" t="s">
        <v>367</v>
      </c>
      <c r="E127" s="105" t="s">
        <v>150</v>
      </c>
      <c r="F127" s="105" t="s">
        <v>177</v>
      </c>
      <c r="G127" s="105">
        <v>5</v>
      </c>
      <c r="H127" s="105" t="s">
        <v>266</v>
      </c>
      <c r="I127" s="105"/>
      <c r="J127" s="105">
        <f>IF(H127="Sim",G127,
IF(H127="Parcialmente",G127/2,
IF(OR(H127="Não",H127="Não se aplica"),0,"")))
+IF(OR(H127="Sim",H127="Parcialmente"),Tabela1[[#This Row],[Pont. Resdist.]],0)</f>
        <v>5</v>
      </c>
      <c r="K127" s="126" t="s">
        <v>692</v>
      </c>
      <c r="L127" s="89"/>
      <c r="M127" s="90"/>
    </row>
    <row r="128" spans="2:13" s="86" customFormat="1" ht="38.25" x14ac:dyDescent="0.25">
      <c r="B128" s="102" t="s">
        <v>340</v>
      </c>
      <c r="C128" s="102" t="s">
        <v>148</v>
      </c>
      <c r="D128" s="38" t="s">
        <v>368</v>
      </c>
      <c r="E128" s="105" t="s">
        <v>150</v>
      </c>
      <c r="F128" s="105" t="s">
        <v>177</v>
      </c>
      <c r="G128" s="105">
        <v>5</v>
      </c>
      <c r="H128" s="105" t="s">
        <v>124</v>
      </c>
      <c r="I128" s="105"/>
      <c r="J128" s="105">
        <f>IF(H128="Sim",G128,
IF(H128="Parcialmente",G128/2,
IF(OR(H128="Não",H128="Não se aplica"),0,"")))
+IF(OR(H128="Sim",H128="Parcialmente"),Tabela1[[#This Row],[Pont. Resdist.]],0)</f>
        <v>0</v>
      </c>
      <c r="K128" s="126"/>
      <c r="L128" s="89"/>
      <c r="M128" s="90"/>
    </row>
    <row r="129" spans="2:13" s="86" customFormat="1" ht="51" x14ac:dyDescent="0.25">
      <c r="B129" s="102" t="s">
        <v>340</v>
      </c>
      <c r="C129" s="102" t="s">
        <v>148</v>
      </c>
      <c r="D129" s="38" t="s">
        <v>369</v>
      </c>
      <c r="E129" s="105" t="s">
        <v>150</v>
      </c>
      <c r="F129" s="105" t="s">
        <v>177</v>
      </c>
      <c r="G129" s="105">
        <v>5</v>
      </c>
      <c r="H129" s="105" t="s">
        <v>124</v>
      </c>
      <c r="I129" s="105"/>
      <c r="J129" s="105">
        <f>IF(H129="Sim",G129,
IF(H129="Parcialmente",G129/2,
IF(OR(H129="Não",H129="Não se aplica"),0,"")))
+IF(OR(H129="Sim",H129="Parcialmente"),Tabela1[[#This Row],[Pont. Resdist.]],0)</f>
        <v>0</v>
      </c>
      <c r="K129" s="126"/>
      <c r="L129" s="89"/>
      <c r="M129" s="90"/>
    </row>
    <row r="130" spans="2:13" s="86" customFormat="1" ht="38.25" x14ac:dyDescent="0.25">
      <c r="B130" s="102" t="s">
        <v>340</v>
      </c>
      <c r="C130" s="102" t="s">
        <v>148</v>
      </c>
      <c r="D130" s="38" t="s">
        <v>370</v>
      </c>
      <c r="E130" s="105" t="s">
        <v>150</v>
      </c>
      <c r="F130" s="105" t="s">
        <v>177</v>
      </c>
      <c r="G130" s="105">
        <v>5</v>
      </c>
      <c r="H130" s="105" t="s">
        <v>124</v>
      </c>
      <c r="I130" s="105"/>
      <c r="J130" s="105">
        <f>IF(H130="Sim",G130,
IF(H130="Parcialmente",G130/2,
IF(OR(H130="Não",H130="Não se aplica"),0,"")))
+IF(OR(H130="Sim",H130="Parcialmente"),Tabela1[[#This Row],[Pont. Resdist.]],0)</f>
        <v>0</v>
      </c>
      <c r="K130" s="126"/>
      <c r="L130" s="89"/>
      <c r="M130" s="90"/>
    </row>
    <row r="131" spans="2:13" s="86" customFormat="1" ht="199.5" customHeight="1" x14ac:dyDescent="0.25">
      <c r="B131" s="102" t="s">
        <v>340</v>
      </c>
      <c r="C131" s="102" t="s">
        <v>148</v>
      </c>
      <c r="D131" s="38" t="s">
        <v>371</v>
      </c>
      <c r="E131" s="105" t="s">
        <v>154</v>
      </c>
      <c r="F131" s="105" t="s">
        <v>155</v>
      </c>
      <c r="G131" s="105">
        <v>18</v>
      </c>
      <c r="H131" s="105" t="s">
        <v>47</v>
      </c>
      <c r="I131" s="105"/>
      <c r="J131" s="105">
        <f>IF(H131="Sim",G131,
IF(H131="Parcialmente",G131/2,
IF(OR(H131="Não",H131="Não se aplica"),0,"")))
+IF(OR(H131="Sim",H131="Parcialmente"),Tabela1[[#This Row],[Pont. Resdist.]],0)</f>
        <v>18</v>
      </c>
      <c r="K131" s="126" t="s">
        <v>372</v>
      </c>
      <c r="L131" s="89" t="s">
        <v>363</v>
      </c>
      <c r="M131" s="92" t="s">
        <v>364</v>
      </c>
    </row>
    <row r="132" spans="2:13" s="125" customFormat="1" ht="15.75" x14ac:dyDescent="0.25">
      <c r="B132" s="122" t="s">
        <v>373</v>
      </c>
      <c r="C132" s="122" t="s">
        <v>131</v>
      </c>
      <c r="D132" s="121" t="s">
        <v>374</v>
      </c>
      <c r="E132" s="123"/>
      <c r="F132" s="123"/>
      <c r="G132" s="123"/>
      <c r="H132" s="123"/>
      <c r="I132" s="123"/>
      <c r="J132" s="123"/>
      <c r="K132" s="131"/>
      <c r="L132" s="124"/>
      <c r="M132" s="123"/>
    </row>
    <row r="133" spans="2:13" s="86" customFormat="1" x14ac:dyDescent="0.25">
      <c r="B133" s="102" t="s">
        <v>373</v>
      </c>
      <c r="C133" s="102" t="s">
        <v>146</v>
      </c>
      <c r="D133" s="107" t="s">
        <v>375</v>
      </c>
      <c r="E133" s="107"/>
      <c r="F133" s="107"/>
      <c r="G133" s="107"/>
      <c r="H133" s="107"/>
      <c r="I133" s="107"/>
      <c r="J133" s="107"/>
      <c r="K133" s="129"/>
      <c r="L133" s="87"/>
      <c r="M133" s="88"/>
    </row>
    <row r="134" spans="2:13" s="86" customFormat="1" ht="204" x14ac:dyDescent="0.25">
      <c r="B134" s="102" t="s">
        <v>373</v>
      </c>
      <c r="C134" s="102" t="s">
        <v>148</v>
      </c>
      <c r="D134" s="106" t="s">
        <v>376</v>
      </c>
      <c r="E134" s="105" t="s">
        <v>150</v>
      </c>
      <c r="F134" s="105" t="s">
        <v>164</v>
      </c>
      <c r="G134" s="105">
        <v>20</v>
      </c>
      <c r="H134" s="105" t="s">
        <v>47</v>
      </c>
      <c r="I134" s="105"/>
      <c r="J134" s="105">
        <f>IF(H134="Sim",G134,
IF(H134="Parcialmente",G134/2,
IF(OR(H134="Não",H134="Não se aplica"),0,"")))
+IF(OR(H134="Sim",H134="Parcialmente"),Tabela1[[#This Row],[Pont. Resdist.]],0)</f>
        <v>20</v>
      </c>
      <c r="K134" s="126" t="s">
        <v>377</v>
      </c>
      <c r="L134" s="89"/>
      <c r="M134" s="90"/>
    </row>
    <row r="135" spans="2:13" s="86" customFormat="1" ht="25.5" x14ac:dyDescent="0.25">
      <c r="B135" s="102" t="s">
        <v>373</v>
      </c>
      <c r="C135" s="102" t="s">
        <v>173</v>
      </c>
      <c r="D135" s="38" t="s">
        <v>378</v>
      </c>
      <c r="E135" s="105" t="s">
        <v>175</v>
      </c>
      <c r="F135" s="105" t="s">
        <v>175</v>
      </c>
      <c r="G135" s="105" t="s">
        <v>175</v>
      </c>
      <c r="H135" s="105"/>
      <c r="I135" s="105"/>
      <c r="J135" s="105"/>
      <c r="K135" s="126"/>
      <c r="L135" s="89"/>
      <c r="M135" s="90"/>
    </row>
    <row r="136" spans="2:13" s="86" customFormat="1" ht="76.5" x14ac:dyDescent="0.25">
      <c r="B136" s="102" t="s">
        <v>373</v>
      </c>
      <c r="C136" s="102" t="s">
        <v>148</v>
      </c>
      <c r="D136" s="38" t="s">
        <v>379</v>
      </c>
      <c r="E136" s="105" t="s">
        <v>150</v>
      </c>
      <c r="F136" s="105" t="s">
        <v>177</v>
      </c>
      <c r="G136" s="105">
        <v>5</v>
      </c>
      <c r="H136" s="105" t="s">
        <v>47</v>
      </c>
      <c r="I136" s="105"/>
      <c r="J136" s="105">
        <f>IF(H136="Sim",G136,
IF(H136="Parcialmente",G136/2,
IF(OR(H136="Não",H136="Não se aplica"),0,"")))
+IF(OR(H136="Sim",H136="Parcialmente"),Tabela1[[#This Row],[Pont. Resdist.]],0)</f>
        <v>5</v>
      </c>
      <c r="K136" s="126" t="s">
        <v>380</v>
      </c>
      <c r="L136" s="89"/>
      <c r="M136" s="90"/>
    </row>
    <row r="137" spans="2:13" s="86" customFormat="1" ht="76.5" x14ac:dyDescent="0.25">
      <c r="B137" s="102" t="s">
        <v>373</v>
      </c>
      <c r="C137" s="102" t="s">
        <v>148</v>
      </c>
      <c r="D137" s="38" t="s">
        <v>381</v>
      </c>
      <c r="E137" s="105" t="s">
        <v>150</v>
      </c>
      <c r="F137" s="105" t="s">
        <v>177</v>
      </c>
      <c r="G137" s="105">
        <v>5</v>
      </c>
      <c r="H137" s="105" t="s">
        <v>47</v>
      </c>
      <c r="I137" s="105"/>
      <c r="J137" s="105">
        <f>IF(H137="Sim",G137,
IF(H137="Parcialmente",G137/2,
IF(OR(H137="Não",H137="Não se aplica"),0,"")))
+IF(OR(H137="Sim",H137="Parcialmente"),Tabela1[[#This Row],[Pont. Resdist.]],0)</f>
        <v>5</v>
      </c>
      <c r="K137" s="126" t="s">
        <v>380</v>
      </c>
      <c r="L137" s="89"/>
      <c r="M137" s="90"/>
    </row>
    <row r="138" spans="2:13" s="86" customFormat="1" ht="51" x14ac:dyDescent="0.25">
      <c r="B138" s="102" t="s">
        <v>373</v>
      </c>
      <c r="C138" s="102" t="s">
        <v>148</v>
      </c>
      <c r="D138" s="38" t="s">
        <v>382</v>
      </c>
      <c r="E138" s="105" t="s">
        <v>150</v>
      </c>
      <c r="F138" s="105" t="s">
        <v>177</v>
      </c>
      <c r="G138" s="105">
        <v>5</v>
      </c>
      <c r="H138" s="105" t="s">
        <v>47</v>
      </c>
      <c r="I138" s="105"/>
      <c r="J138" s="105">
        <f>IF(H138="Sim",G138,
IF(H138="Parcialmente",G138/2,
IF(OR(H138="Não",H138="Não se aplica"),0,"")))
+IF(OR(H138="Sim",H138="Parcialmente"),Tabela1[[#This Row],[Pont. Resdist.]],0)</f>
        <v>5</v>
      </c>
      <c r="K138" s="126" t="s">
        <v>383</v>
      </c>
      <c r="L138" s="89"/>
      <c r="M138" s="90"/>
    </row>
    <row r="139" spans="2:13" s="86" customFormat="1" ht="25.5" x14ac:dyDescent="0.25">
      <c r="B139" s="102" t="s">
        <v>373</v>
      </c>
      <c r="C139" s="102" t="s">
        <v>173</v>
      </c>
      <c r="D139" s="38" t="s">
        <v>384</v>
      </c>
      <c r="E139" s="105" t="s">
        <v>175</v>
      </c>
      <c r="F139" s="105" t="s">
        <v>175</v>
      </c>
      <c r="G139" s="105" t="s">
        <v>175</v>
      </c>
      <c r="H139" s="105"/>
      <c r="I139" s="105"/>
      <c r="J139" s="105"/>
      <c r="K139" s="126"/>
      <c r="L139" s="89"/>
      <c r="M139" s="90"/>
    </row>
    <row r="140" spans="2:13" s="86" customFormat="1" ht="102" x14ac:dyDescent="0.25">
      <c r="B140" s="102" t="s">
        <v>373</v>
      </c>
      <c r="C140" s="102" t="s">
        <v>148</v>
      </c>
      <c r="D140" s="38" t="s">
        <v>385</v>
      </c>
      <c r="E140" s="105" t="s">
        <v>150</v>
      </c>
      <c r="F140" s="105" t="s">
        <v>151</v>
      </c>
      <c r="G140" s="105">
        <v>15</v>
      </c>
      <c r="H140" s="105" t="s">
        <v>47</v>
      </c>
      <c r="I140" s="105"/>
      <c r="J140" s="105">
        <f>IF(H140="Sim",G140,
IF(H140="Parcialmente",G140/2,
IF(OR(H140="Não",H140="Não se aplica"),0,"")))
+IF(OR(H140="Sim",H140="Parcialmente"),Tabela1[[#This Row],[Pont. Resdist.]],0)</f>
        <v>15</v>
      </c>
      <c r="K140" s="126" t="s">
        <v>386</v>
      </c>
      <c r="L140" s="89"/>
      <c r="M140" s="90"/>
    </row>
    <row r="141" spans="2:13" s="86" customFormat="1" ht="63.75" x14ac:dyDescent="0.25">
      <c r="B141" s="109" t="s">
        <v>373</v>
      </c>
      <c r="C141" s="109" t="s">
        <v>148</v>
      </c>
      <c r="D141" s="110" t="s">
        <v>387</v>
      </c>
      <c r="E141" s="111" t="s">
        <v>150</v>
      </c>
      <c r="F141" s="105" t="s">
        <v>151</v>
      </c>
      <c r="G141" s="111">
        <v>15</v>
      </c>
      <c r="H141" s="167" t="s">
        <v>47</v>
      </c>
      <c r="I141" s="111"/>
      <c r="J141" s="105">
        <f>IF(H141="Sim",G141,
IF(H141="Parcialmente",G141/2,
IF(OR(H141="Não",H141="Não se aplica"),0,"")))
+IF(OR(H141="Sim",H141="Parcialmente"),Tabela1[[#This Row],[Pont. Resdist.]],0)</f>
        <v>15</v>
      </c>
      <c r="K141" s="130" t="s">
        <v>388</v>
      </c>
      <c r="L141" s="89"/>
      <c r="M141" s="90"/>
    </row>
    <row r="142" spans="2:13" s="86" customFormat="1" ht="237.75" customHeight="1" x14ac:dyDescent="0.25">
      <c r="B142" s="102" t="s">
        <v>373</v>
      </c>
      <c r="C142" s="102" t="s">
        <v>148</v>
      </c>
      <c r="D142" s="38" t="s">
        <v>389</v>
      </c>
      <c r="E142" s="105" t="s">
        <v>154</v>
      </c>
      <c r="F142" s="105" t="s">
        <v>155</v>
      </c>
      <c r="G142" s="105">
        <v>18</v>
      </c>
      <c r="H142" s="105" t="s">
        <v>47</v>
      </c>
      <c r="I142" s="105"/>
      <c r="J142" s="105">
        <f>IF(H142="Sim",G142,
IF(H142="Parcialmente",G142/2,
IF(OR(H142="Não",H142="Não se aplica"),0,"")))
+IF(OR(H142="Sim",H142="Parcialmente"),Tabela1[[#This Row],[Pont. Resdist.]],0)</f>
        <v>18</v>
      </c>
      <c r="K142" s="126" t="s">
        <v>390</v>
      </c>
      <c r="L142" s="91" t="s">
        <v>391</v>
      </c>
      <c r="M142" s="92" t="s">
        <v>392</v>
      </c>
    </row>
    <row r="143" spans="2:13" s="125" customFormat="1" ht="15.75" x14ac:dyDescent="0.25">
      <c r="B143" s="122" t="s">
        <v>393</v>
      </c>
      <c r="C143" s="122" t="s">
        <v>131</v>
      </c>
      <c r="D143" s="121" t="s">
        <v>394</v>
      </c>
      <c r="E143" s="123"/>
      <c r="F143" s="123"/>
      <c r="G143" s="123"/>
      <c r="H143" s="123"/>
      <c r="I143" s="123"/>
      <c r="J143" s="123"/>
      <c r="K143" s="131"/>
      <c r="L143" s="124"/>
      <c r="M143" s="123"/>
    </row>
    <row r="144" spans="2:13" s="86" customFormat="1" x14ac:dyDescent="0.25">
      <c r="B144" s="102" t="s">
        <v>393</v>
      </c>
      <c r="C144" s="102" t="s">
        <v>146</v>
      </c>
      <c r="D144" s="118" t="s">
        <v>395</v>
      </c>
      <c r="E144" s="119"/>
      <c r="F144" s="119"/>
      <c r="G144" s="119"/>
      <c r="H144" s="119"/>
      <c r="I144" s="119"/>
      <c r="J144" s="119"/>
      <c r="K144" s="134"/>
      <c r="L144" s="87"/>
      <c r="M144" s="88"/>
    </row>
    <row r="145" spans="2:13" s="86" customFormat="1" ht="234" customHeight="1" x14ac:dyDescent="0.25">
      <c r="B145" s="102" t="s">
        <v>393</v>
      </c>
      <c r="C145" s="102" t="s">
        <v>148</v>
      </c>
      <c r="D145" s="38" t="s">
        <v>396</v>
      </c>
      <c r="E145" s="105" t="s">
        <v>303</v>
      </c>
      <c r="F145" s="105" t="s">
        <v>177</v>
      </c>
      <c r="G145" s="105">
        <v>5</v>
      </c>
      <c r="H145" s="105" t="s">
        <v>47</v>
      </c>
      <c r="I145" s="105"/>
      <c r="J145" s="105">
        <f>IF(H145="Sim",G145,
IF(H145="Parcialmente",G145/2,
IF(OR(H145="Não",H145="Não se aplica"),0,"")))
+IF(OR(H145="Sim",H145="Parcialmente"),Tabela1[[#This Row],[Pont. Resdist.]],0)</f>
        <v>5</v>
      </c>
      <c r="K145" s="126" t="s">
        <v>397</v>
      </c>
      <c r="L145" s="89" t="s">
        <v>319</v>
      </c>
      <c r="M145" s="92" t="s">
        <v>398</v>
      </c>
    </row>
    <row r="146" spans="2:13" s="86" customFormat="1" ht="68.25" customHeight="1" x14ac:dyDescent="0.25">
      <c r="B146" s="102" t="s">
        <v>393</v>
      </c>
      <c r="C146" s="102" t="s">
        <v>148</v>
      </c>
      <c r="D146" s="38" t="s">
        <v>399</v>
      </c>
      <c r="E146" s="105" t="s">
        <v>303</v>
      </c>
      <c r="F146" s="105" t="s">
        <v>177</v>
      </c>
      <c r="G146" s="105">
        <v>5</v>
      </c>
      <c r="H146" s="105" t="s">
        <v>47</v>
      </c>
      <c r="I146" s="105"/>
      <c r="J146" s="105">
        <f>IF(H146="Sim",G146,
IF(H146="Parcialmente",G146/2,
IF(OR(H146="Não",H146="Não se aplica"),0,"")))
+IF(OR(H146="Sim",H146="Parcialmente"),Tabela1[[#This Row],[Pont. Resdist.]],0)</f>
        <v>5</v>
      </c>
      <c r="K146" s="126" t="s">
        <v>400</v>
      </c>
      <c r="L146" s="89" t="s">
        <v>319</v>
      </c>
      <c r="M146" s="92" t="s">
        <v>401</v>
      </c>
    </row>
    <row r="147" spans="2:13" s="86" customFormat="1" x14ac:dyDescent="0.25">
      <c r="B147" s="102" t="s">
        <v>393</v>
      </c>
      <c r="C147" s="102" t="s">
        <v>146</v>
      </c>
      <c r="D147" s="118" t="s">
        <v>402</v>
      </c>
      <c r="E147" s="119"/>
      <c r="F147" s="119"/>
      <c r="G147" s="119"/>
      <c r="H147" s="119"/>
      <c r="I147" s="119"/>
      <c r="J147" s="119"/>
      <c r="K147" s="134"/>
      <c r="L147" s="87"/>
      <c r="M147" s="88"/>
    </row>
    <row r="148" spans="2:13" s="86" customFormat="1" ht="140.25" x14ac:dyDescent="0.25">
      <c r="B148" s="102" t="s">
        <v>393</v>
      </c>
      <c r="C148" s="102" t="s">
        <v>148</v>
      </c>
      <c r="D148" s="38" t="s">
        <v>403</v>
      </c>
      <c r="E148" s="105" t="s">
        <v>169</v>
      </c>
      <c r="F148" s="105" t="s">
        <v>177</v>
      </c>
      <c r="G148" s="105">
        <v>5</v>
      </c>
      <c r="H148" s="105" t="s">
        <v>47</v>
      </c>
      <c r="I148" s="105"/>
      <c r="J148" s="105">
        <f>IF(H148="Sim",G148,
IF(H148="Parcialmente",G148/2,
IF(OR(H148="Não",H148="Não se aplica"),0,"")))
+IF(OR(H148="Sim",H148="Parcialmente"),Tabela1[[#This Row],[Pont. Resdist.]],0)</f>
        <v>5</v>
      </c>
      <c r="K148" s="126" t="s">
        <v>404</v>
      </c>
      <c r="L148" s="89"/>
      <c r="M148" s="90"/>
    </row>
    <row r="149" spans="2:13" s="86" customFormat="1" ht="114.75" x14ac:dyDescent="0.25">
      <c r="B149" s="102" t="s">
        <v>393</v>
      </c>
      <c r="C149" s="102" t="s">
        <v>148</v>
      </c>
      <c r="D149" s="38" t="s">
        <v>405</v>
      </c>
      <c r="E149" s="105" t="s">
        <v>169</v>
      </c>
      <c r="F149" s="105" t="s">
        <v>177</v>
      </c>
      <c r="G149" s="105">
        <v>5</v>
      </c>
      <c r="H149" s="105" t="s">
        <v>47</v>
      </c>
      <c r="I149" s="105"/>
      <c r="J149" s="105">
        <f>IF(H149="Sim",G149,
IF(H149="Parcialmente",G149/2,
IF(OR(H149="Não",H149="Não se aplica"),0,"")))
+IF(OR(H149="Sim",H149="Parcialmente"),Tabela1[[#This Row],[Pont. Resdist.]],0)</f>
        <v>5</v>
      </c>
      <c r="K149" s="126" t="s">
        <v>406</v>
      </c>
      <c r="L149" s="89"/>
      <c r="M149" s="90"/>
    </row>
    <row r="150" spans="2:13" s="86" customFormat="1" x14ac:dyDescent="0.25">
      <c r="B150" s="102" t="s">
        <v>393</v>
      </c>
      <c r="C150" s="102" t="s">
        <v>146</v>
      </c>
      <c r="D150" s="107" t="s">
        <v>407</v>
      </c>
      <c r="E150" s="120"/>
      <c r="F150" s="120"/>
      <c r="G150" s="120"/>
      <c r="H150" s="120"/>
      <c r="I150" s="120"/>
      <c r="J150" s="120"/>
      <c r="K150" s="129"/>
      <c r="L150" s="87"/>
      <c r="M150" s="88"/>
    </row>
    <row r="151" spans="2:13" s="86" customFormat="1" ht="46.5" customHeight="1" x14ac:dyDescent="0.25">
      <c r="B151" s="102" t="s">
        <v>393</v>
      </c>
      <c r="C151" s="102" t="s">
        <v>148</v>
      </c>
      <c r="D151" s="106" t="s">
        <v>408</v>
      </c>
      <c r="E151" s="105" t="s">
        <v>150</v>
      </c>
      <c r="F151" s="105" t="s">
        <v>164</v>
      </c>
      <c r="G151" s="105">
        <v>20</v>
      </c>
      <c r="H151" s="105" t="s">
        <v>47</v>
      </c>
      <c r="I151" s="105"/>
      <c r="J151" s="105">
        <f>IF(H151="Sim",G151,
IF(H151="Parcialmente",G151/2,
IF(OR(H151="Não",H151="Não se aplica"),0,"")))
+IF(OR(H151="Sim",H151="Parcialmente"),Tabela1[[#This Row],[Pont. Resdist.]],0)</f>
        <v>20</v>
      </c>
      <c r="K151" s="126" t="s">
        <v>409</v>
      </c>
      <c r="L151" s="89"/>
      <c r="M151" s="90"/>
    </row>
    <row r="152" spans="2:13" s="86" customFormat="1" ht="25.5" x14ac:dyDescent="0.25">
      <c r="B152" s="102" t="s">
        <v>393</v>
      </c>
      <c r="C152" s="102" t="s">
        <v>173</v>
      </c>
      <c r="D152" s="38" t="s">
        <v>410</v>
      </c>
      <c r="E152" s="105" t="s">
        <v>175</v>
      </c>
      <c r="F152" s="105" t="s">
        <v>175</v>
      </c>
      <c r="G152" s="105" t="s">
        <v>175</v>
      </c>
      <c r="H152" s="105"/>
      <c r="I152" s="105"/>
      <c r="J152" s="105"/>
      <c r="K152" s="126"/>
      <c r="L152" s="89"/>
      <c r="M152" s="90"/>
    </row>
    <row r="153" spans="2:13" s="86" customFormat="1" ht="25.5" x14ac:dyDescent="0.25">
      <c r="B153" s="102" t="s">
        <v>393</v>
      </c>
      <c r="C153" s="102" t="s">
        <v>148</v>
      </c>
      <c r="D153" s="38" t="s">
        <v>411</v>
      </c>
      <c r="E153" s="105" t="s">
        <v>150</v>
      </c>
      <c r="F153" s="105" t="s">
        <v>177</v>
      </c>
      <c r="G153" s="105">
        <v>5</v>
      </c>
      <c r="H153" s="105" t="s">
        <v>47</v>
      </c>
      <c r="I153" s="105"/>
      <c r="J153" s="105">
        <f>IF(H153="Sim",G153,
IF(H153="Parcialmente",G153/2,
IF(OR(H153="Não",H153="Não se aplica"),0,"")))
+IF(OR(H153="Sim",H153="Parcialmente"),Tabela1[[#This Row],[Pont. Resdist.]],0)</f>
        <v>5</v>
      </c>
      <c r="K153" s="126" t="s">
        <v>412</v>
      </c>
      <c r="L153" s="89"/>
      <c r="M153" s="90"/>
    </row>
    <row r="154" spans="2:13" s="86" customFormat="1" ht="25.5" x14ac:dyDescent="0.25">
      <c r="B154" s="102" t="s">
        <v>393</v>
      </c>
      <c r="C154" s="102" t="s">
        <v>148</v>
      </c>
      <c r="D154" s="38" t="s">
        <v>413</v>
      </c>
      <c r="E154" s="105" t="s">
        <v>150</v>
      </c>
      <c r="F154" s="105" t="s">
        <v>177</v>
      </c>
      <c r="G154" s="105">
        <v>5</v>
      </c>
      <c r="H154" s="105" t="s">
        <v>47</v>
      </c>
      <c r="I154" s="105"/>
      <c r="J154" s="105">
        <f>IF(H154="Sim",G154,
IF(H154="Parcialmente",G154/2,
IF(OR(H154="Não",H154="Não se aplica"),0,"")))
+IF(OR(H154="Sim",H154="Parcialmente"),Tabela1[[#This Row],[Pont. Resdist.]],0)</f>
        <v>5</v>
      </c>
      <c r="K154" s="126" t="s">
        <v>414</v>
      </c>
      <c r="L154" s="89"/>
      <c r="M154" s="90"/>
    </row>
    <row r="155" spans="2:13" s="86" customFormat="1" ht="51" x14ac:dyDescent="0.25">
      <c r="B155" s="102" t="s">
        <v>393</v>
      </c>
      <c r="C155" s="102" t="s">
        <v>148</v>
      </c>
      <c r="D155" s="38" t="s">
        <v>415</v>
      </c>
      <c r="E155" s="105" t="s">
        <v>150</v>
      </c>
      <c r="F155" s="105" t="s">
        <v>177</v>
      </c>
      <c r="G155" s="105">
        <v>5</v>
      </c>
      <c r="H155" s="105" t="s">
        <v>209</v>
      </c>
      <c r="I155" s="105"/>
      <c r="J155" s="105">
        <f>IF(H155="Sim",G155,
IF(H155="Parcialmente",G155/2,
IF(OR(H155="Não",H155="Não se aplica"),0,"")))
+IF(OR(H155="Sim",H155="Parcialmente"),Tabela1[[#This Row],[Pont. Resdist.]],0)</f>
        <v>5</v>
      </c>
      <c r="K155" s="126" t="s">
        <v>693</v>
      </c>
      <c r="L155" s="89"/>
      <c r="M155" s="90"/>
    </row>
    <row r="156" spans="2:13" s="86" customFormat="1" ht="61.5" customHeight="1" x14ac:dyDescent="0.25">
      <c r="B156" s="102" t="s">
        <v>393</v>
      </c>
      <c r="C156" s="102" t="s">
        <v>148</v>
      </c>
      <c r="D156" s="38" t="s">
        <v>416</v>
      </c>
      <c r="E156" s="105" t="s">
        <v>150</v>
      </c>
      <c r="F156" s="105" t="s">
        <v>177</v>
      </c>
      <c r="G156" s="105">
        <v>5</v>
      </c>
      <c r="H156" s="105" t="s">
        <v>47</v>
      </c>
      <c r="I156" s="105"/>
      <c r="J156" s="105">
        <f>IF(H156="Sim",G156,
IF(H156="Parcialmente",G156/2,
IF(OR(H156="Não",H156="Não se aplica"),0,"")))
+IF(OR(H156="Sim",H156="Parcialmente"),Tabela1[[#This Row],[Pont. Resdist.]],0)</f>
        <v>5</v>
      </c>
      <c r="K156" s="126" t="s">
        <v>417</v>
      </c>
      <c r="L156" s="89"/>
      <c r="M156" s="90"/>
    </row>
    <row r="157" spans="2:13" s="86" customFormat="1" ht="38.25" x14ac:dyDescent="0.25">
      <c r="B157" s="102" t="s">
        <v>393</v>
      </c>
      <c r="C157" s="102" t="s">
        <v>148</v>
      </c>
      <c r="D157" s="108" t="s">
        <v>418</v>
      </c>
      <c r="E157" s="105" t="s">
        <v>150</v>
      </c>
      <c r="F157" s="105" t="s">
        <v>177</v>
      </c>
      <c r="G157" s="105">
        <v>5</v>
      </c>
      <c r="H157" s="167" t="s">
        <v>209</v>
      </c>
      <c r="I157" s="105"/>
      <c r="J157" s="105">
        <f>IF(H157="Sim",G157,
IF(H157="Parcialmente",G157/2,
IF(OR(H157="Não",H157="Não se aplica"),0,"")))
+IF(OR(H157="Sim",H157="Parcialmente"),Tabela1[[#This Row],[Pont. Resdist.]],0)</f>
        <v>5</v>
      </c>
      <c r="K157" s="126" t="s">
        <v>694</v>
      </c>
      <c r="L157" s="89"/>
      <c r="M157" s="90"/>
    </row>
    <row r="158" spans="2:13" s="86" customFormat="1" ht="38.25" x14ac:dyDescent="0.25">
      <c r="B158" s="109" t="s">
        <v>393</v>
      </c>
      <c r="C158" s="109" t="s">
        <v>148</v>
      </c>
      <c r="D158" s="110" t="s">
        <v>419</v>
      </c>
      <c r="E158" s="111" t="s">
        <v>150</v>
      </c>
      <c r="F158" s="105" t="s">
        <v>155</v>
      </c>
      <c r="G158" s="111">
        <v>18</v>
      </c>
      <c r="H158" s="167" t="s">
        <v>47</v>
      </c>
      <c r="I158" s="111"/>
      <c r="J158" s="105">
        <f>IF(H158="Sim",G158,
IF(H158="Parcialmente",G158/2,
IF(OR(H158="Não",H158="Não se aplica"),0,"")))
+IF(OR(H158="Sim",H158="Parcialmente"),Tabela1[[#This Row],[Pont. Resdist.]],0)</f>
        <v>18</v>
      </c>
      <c r="K158" s="130" t="s">
        <v>420</v>
      </c>
      <c r="L158" s="89"/>
      <c r="M158" s="90"/>
    </row>
    <row r="159" spans="2:13" s="125" customFormat="1" ht="31.5" x14ac:dyDescent="0.25">
      <c r="B159" s="122" t="s">
        <v>421</v>
      </c>
      <c r="C159" s="122" t="s">
        <v>131</v>
      </c>
      <c r="D159" s="121" t="s">
        <v>422</v>
      </c>
      <c r="E159" s="123"/>
      <c r="F159" s="123"/>
      <c r="G159" s="123"/>
      <c r="H159" s="123"/>
      <c r="I159" s="123"/>
      <c r="J159" s="123"/>
      <c r="K159" s="131"/>
      <c r="L159" s="124"/>
      <c r="M159" s="123"/>
    </row>
    <row r="160" spans="2:13" s="86" customFormat="1" x14ac:dyDescent="0.25">
      <c r="B160" s="102" t="s">
        <v>421</v>
      </c>
      <c r="C160" s="102" t="s">
        <v>146</v>
      </c>
      <c r="D160" s="118" t="s">
        <v>423</v>
      </c>
      <c r="E160" s="119"/>
      <c r="F160" s="119"/>
      <c r="G160" s="119"/>
      <c r="H160" s="119"/>
      <c r="I160" s="119"/>
      <c r="J160" s="119"/>
      <c r="K160" s="134"/>
      <c r="L160" s="87"/>
      <c r="M160" s="88"/>
    </row>
    <row r="161" spans="2:13" s="86" customFormat="1" ht="51" x14ac:dyDescent="0.25">
      <c r="B161" s="102" t="s">
        <v>421</v>
      </c>
      <c r="C161" s="102" t="s">
        <v>148</v>
      </c>
      <c r="D161" s="106" t="s">
        <v>424</v>
      </c>
      <c r="E161" s="105" t="s">
        <v>150</v>
      </c>
      <c r="F161" s="111" t="s">
        <v>198</v>
      </c>
      <c r="G161" s="105">
        <v>25</v>
      </c>
      <c r="H161" s="167" t="s">
        <v>47</v>
      </c>
      <c r="I161" s="105"/>
      <c r="J161" s="105">
        <f>IF(H161="Sim",G161,
IF(H161="Parcialmente",G161/2,
IF(OR(H161="Não",H161="Não se aplica"),0,"")))
+IF(OR(H161="Sim",H161="Parcialmente"),Tabela1[[#This Row],[Pont. Resdist.]],0)</f>
        <v>25</v>
      </c>
      <c r="K161" s="126" t="s">
        <v>425</v>
      </c>
      <c r="L161" s="89"/>
      <c r="M161" s="90"/>
    </row>
    <row r="162" spans="2:13" s="86" customFormat="1" x14ac:dyDescent="0.25">
      <c r="B162" s="102" t="s">
        <v>421</v>
      </c>
      <c r="C162" s="102" t="s">
        <v>173</v>
      </c>
      <c r="D162" s="38" t="s">
        <v>426</v>
      </c>
      <c r="E162" s="105" t="s">
        <v>175</v>
      </c>
      <c r="F162" s="102" t="s">
        <v>175</v>
      </c>
      <c r="G162" s="105" t="s">
        <v>175</v>
      </c>
      <c r="H162" s="105"/>
      <c r="I162" s="105"/>
      <c r="J162" s="105"/>
      <c r="K162" s="126"/>
      <c r="L162" s="89"/>
      <c r="M162" s="90"/>
    </row>
    <row r="163" spans="2:13" s="86" customFormat="1" ht="38.25" x14ac:dyDescent="0.25">
      <c r="B163" s="102" t="s">
        <v>421</v>
      </c>
      <c r="C163" s="102" t="s">
        <v>148</v>
      </c>
      <c r="D163" s="38" t="s">
        <v>427</v>
      </c>
      <c r="E163" s="105" t="s">
        <v>150</v>
      </c>
      <c r="F163" s="105" t="s">
        <v>177</v>
      </c>
      <c r="G163" s="105">
        <v>5</v>
      </c>
      <c r="H163" s="167" t="s">
        <v>47</v>
      </c>
      <c r="I163" s="105"/>
      <c r="J163" s="105">
        <f>IF(H163="Sim",G163,
IF(H163="Parcialmente",G163/2,
IF(OR(H163="Não",H163="Não se aplica"),0,"")))
+IF(OR(H163="Sim",H163="Parcialmente"),Tabela1[[#This Row],[Pont. Resdist.]],0)</f>
        <v>5</v>
      </c>
      <c r="K163" s="126" t="s">
        <v>428</v>
      </c>
      <c r="L163" s="89"/>
      <c r="M163" s="90"/>
    </row>
    <row r="164" spans="2:13" s="86" customFormat="1" ht="165.75" x14ac:dyDescent="0.25">
      <c r="B164" s="102" t="s">
        <v>421</v>
      </c>
      <c r="C164" s="102" t="s">
        <v>148</v>
      </c>
      <c r="D164" s="38" t="s">
        <v>429</v>
      </c>
      <c r="E164" s="105" t="s">
        <v>150</v>
      </c>
      <c r="F164" s="105" t="s">
        <v>177</v>
      </c>
      <c r="G164" s="105">
        <v>5</v>
      </c>
      <c r="H164" s="105" t="s">
        <v>47</v>
      </c>
      <c r="I164" s="105"/>
      <c r="J164" s="105">
        <f>IF(H164="Sim",G164,
IF(H164="Parcialmente",G164/2,
IF(OR(H164="Não",H164="Não se aplica"),0,"")))
+IF(OR(H164="Sim",H164="Parcialmente"),Tabela1[[#This Row],[Pont. Resdist.]],0)</f>
        <v>5</v>
      </c>
      <c r="K164" s="126" t="s">
        <v>430</v>
      </c>
      <c r="L164" s="89"/>
      <c r="M164" s="90"/>
    </row>
    <row r="165" spans="2:13" x14ac:dyDescent="0.25">
      <c r="B165" s="102" t="s">
        <v>421</v>
      </c>
      <c r="C165" s="102" t="s">
        <v>146</v>
      </c>
      <c r="D165" s="107" t="s">
        <v>431</v>
      </c>
      <c r="E165" s="120"/>
      <c r="F165" s="120"/>
      <c r="G165" s="120"/>
      <c r="H165" s="120"/>
      <c r="I165" s="120"/>
      <c r="J165" s="120"/>
      <c r="K165" s="129"/>
      <c r="L165" s="35"/>
      <c r="M165" s="33"/>
    </row>
    <row r="166" spans="2:13" s="79" customFormat="1" ht="191.25" x14ac:dyDescent="0.25">
      <c r="B166" s="102" t="s">
        <v>421</v>
      </c>
      <c r="C166" s="102" t="s">
        <v>148</v>
      </c>
      <c r="D166" s="106" t="s">
        <v>432</v>
      </c>
      <c r="E166" s="105" t="s">
        <v>150</v>
      </c>
      <c r="F166" s="105" t="s">
        <v>164</v>
      </c>
      <c r="G166" s="105">
        <v>20</v>
      </c>
      <c r="H166" s="105" t="s">
        <v>47</v>
      </c>
      <c r="I166" s="105"/>
      <c r="J166" s="105">
        <f>IF(H166="Sim",G166,
IF(H166="Parcialmente",G166/2,
IF(OR(H166="Não",H166="Não se aplica"),0,"")))
+IF(OR(H166="Sim",H166="Parcialmente"),Tabela1[[#This Row],[Pont. Resdist.]],0)</f>
        <v>20</v>
      </c>
      <c r="K166" s="126" t="s">
        <v>433</v>
      </c>
      <c r="L166" s="82"/>
      <c r="M166" s="83"/>
    </row>
    <row r="167" spans="2:13" s="79" customFormat="1" x14ac:dyDescent="0.25">
      <c r="B167" s="102" t="s">
        <v>421</v>
      </c>
      <c r="C167" s="102" t="s">
        <v>173</v>
      </c>
      <c r="D167" s="38" t="s">
        <v>434</v>
      </c>
      <c r="E167" s="105" t="s">
        <v>175</v>
      </c>
      <c r="F167" s="102" t="s">
        <v>175</v>
      </c>
      <c r="G167" s="105" t="s">
        <v>175</v>
      </c>
      <c r="H167" s="105"/>
      <c r="I167" s="105"/>
      <c r="J167" s="105"/>
      <c r="K167" s="126"/>
      <c r="L167" s="82"/>
      <c r="M167" s="83"/>
    </row>
    <row r="168" spans="2:13" s="79" customFormat="1" ht="153" x14ac:dyDescent="0.25">
      <c r="B168" s="102" t="s">
        <v>421</v>
      </c>
      <c r="C168" s="102" t="s">
        <v>148</v>
      </c>
      <c r="D168" s="38" t="s">
        <v>435</v>
      </c>
      <c r="E168" s="105" t="s">
        <v>169</v>
      </c>
      <c r="F168" s="105" t="s">
        <v>177</v>
      </c>
      <c r="G168" s="105">
        <v>5</v>
      </c>
      <c r="H168" s="105" t="s">
        <v>47</v>
      </c>
      <c r="I168" s="105"/>
      <c r="J168" s="105">
        <f>IF(H168="Sim",G168,
IF(H168="Parcialmente",G168/2,
IF(OR(H168="Não",H168="Não se aplica"),0,"")))
+IF(OR(H168="Sim",H168="Parcialmente"),Tabela1[[#This Row],[Pont. Resdist.]],0)</f>
        <v>5</v>
      </c>
      <c r="K168" s="126" t="s">
        <v>436</v>
      </c>
      <c r="L168" s="82"/>
      <c r="M168" s="83"/>
    </row>
    <row r="169" spans="2:13" s="79" customFormat="1" ht="51" x14ac:dyDescent="0.25">
      <c r="B169" s="102" t="s">
        <v>421</v>
      </c>
      <c r="C169" s="102" t="s">
        <v>148</v>
      </c>
      <c r="D169" s="38" t="s">
        <v>437</v>
      </c>
      <c r="E169" s="105" t="s">
        <v>169</v>
      </c>
      <c r="F169" s="105" t="s">
        <v>177</v>
      </c>
      <c r="G169" s="105">
        <v>5</v>
      </c>
      <c r="H169" s="105" t="s">
        <v>47</v>
      </c>
      <c r="I169" s="105"/>
      <c r="J169" s="105">
        <f>IF(H169="Sim",G169,
IF(H169="Parcialmente",G169/2,
IF(OR(H169="Não",H169="Não se aplica"),0,"")))
+IF(OR(H169="Sim",H169="Parcialmente"),Tabela1[[#This Row],[Pont. Resdist.]],0)</f>
        <v>5</v>
      </c>
      <c r="K169" s="126" t="s">
        <v>438</v>
      </c>
      <c r="L169" s="82"/>
      <c r="M169" s="83"/>
    </row>
    <row r="170" spans="2:13" s="79" customFormat="1" ht="191.25" x14ac:dyDescent="0.25">
      <c r="B170" s="102" t="s">
        <v>421</v>
      </c>
      <c r="C170" s="102" t="s">
        <v>148</v>
      </c>
      <c r="D170" s="38" t="s">
        <v>439</v>
      </c>
      <c r="E170" s="105" t="s">
        <v>169</v>
      </c>
      <c r="F170" s="105" t="s">
        <v>177</v>
      </c>
      <c r="G170" s="105">
        <v>5</v>
      </c>
      <c r="H170" s="105" t="s">
        <v>47</v>
      </c>
      <c r="I170" s="105"/>
      <c r="J170" s="105">
        <f>IF(H170="Sim",G170,
IF(H170="Parcialmente",G170/2,
IF(OR(H170="Não",H170="Não se aplica"),0,"")))
+IF(OR(H170="Sim",H170="Parcialmente"),Tabela1[[#This Row],[Pont. Resdist.]],0)</f>
        <v>5</v>
      </c>
      <c r="K170" s="126" t="s">
        <v>440</v>
      </c>
      <c r="L170" s="82"/>
      <c r="M170" s="83"/>
    </row>
    <row r="171" spans="2:13" s="79" customFormat="1" ht="140.25" x14ac:dyDescent="0.25">
      <c r="B171" s="109" t="s">
        <v>421</v>
      </c>
      <c r="C171" s="109" t="s">
        <v>148</v>
      </c>
      <c r="D171" s="106" t="s">
        <v>441</v>
      </c>
      <c r="E171" s="111" t="s">
        <v>169</v>
      </c>
      <c r="F171" s="111" t="s">
        <v>198</v>
      </c>
      <c r="G171" s="111">
        <v>25</v>
      </c>
      <c r="H171" s="105" t="s">
        <v>47</v>
      </c>
      <c r="I171" s="111"/>
      <c r="J171" s="105">
        <f>IF(H171="Sim",G171,
IF(H171="Parcialmente",G171/2,
IF(OR(H171="Não",H171="Não se aplica"),0,"")))
+IF(OR(H171="Sim",H171="Parcialmente"),Tabela1[[#This Row],[Pont. Resdist.]],0)</f>
        <v>25</v>
      </c>
      <c r="K171" s="130" t="s">
        <v>695</v>
      </c>
      <c r="L171" s="84"/>
      <c r="M171" s="85"/>
    </row>
  </sheetData>
  <mergeCells count="2">
    <mergeCell ref="B1:G1"/>
    <mergeCell ref="B2:K2"/>
  </mergeCells>
  <phoneticPr fontId="19" type="noConversion"/>
  <conditionalFormatting sqref="H1 H5:H1048576">
    <cfRule type="cellIs" dxfId="8" priority="4" operator="equal">
      <formula>"Parcialmente"</formula>
    </cfRule>
    <cfRule type="cellIs" dxfId="7" priority="5" operator="equal">
      <formula>"Não"</formula>
    </cfRule>
    <cfRule type="cellIs" dxfId="6" priority="6" operator="equal">
      <formula>"Sim"</formula>
    </cfRule>
  </conditionalFormatting>
  <conditionalFormatting sqref="H7:H171">
    <cfRule type="cellIs" dxfId="5" priority="3" operator="equal">
      <formula>"Não se aplica"</formula>
    </cfRule>
  </conditionalFormatting>
  <conditionalFormatting sqref="I1:J1 I5:J1048576">
    <cfRule type="cellIs" dxfId="4" priority="8" operator="equal">
      <formula>"Não"</formula>
    </cfRule>
    <cfRule type="cellIs" dxfId="3" priority="9" operator="equal">
      <formula>"Sim"</formula>
    </cfRule>
  </conditionalFormatting>
  <conditionalFormatting sqref="I7:J171">
    <cfRule type="cellIs" dxfId="2" priority="7" operator="equal">
      <formula>"Parcialmente"</formula>
    </cfRule>
  </conditionalFormatting>
  <dataValidations count="4">
    <dataValidation type="list" allowBlank="1" showInputMessage="1" showErrorMessage="1" sqref="E6:E1048576" xr:uid="{19C67F39-16E3-49F0-9A3B-0DC0009F8517}"/>
    <dataValidation type="list" allowBlank="1" showInputMessage="1" showErrorMessage="1" sqref="C172:C1048576 C5:C6" xr:uid="{92B03618-308C-436E-9F72-42B3CC36BAB0}">
      <formula1>"Questão, Agrupadora, Grupo"</formula1>
    </dataValidation>
    <dataValidation type="list" allowBlank="1" showInputMessage="1" showErrorMessage="1" sqref="C7:C171" xr:uid="{6230EC56-BE0A-46A7-893B-1DC42F37B044}">
      <formula1>"Questão, Agrupadora, Grupo, Área"</formula1>
    </dataValidation>
    <dataValidation type="list" allowBlank="1" showInputMessage="1" showErrorMessage="1" sqref="B5:B1048576" xr:uid="{0CECCD87-3FD4-4793-A423-42B210E633C0}">
      <formula1>"I, II, III, IV, V, VI, VII, VIII, IX, X, XI, XII"</formula1>
    </dataValidation>
  </dataValidations>
  <pageMargins left="0.25" right="0.25" top="0.75" bottom="0.75" header="0.3" footer="0.3"/>
  <pageSetup paperSize="9" scale="39"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1195-A84D-421D-B16B-820379AD3B75}">
  <dimension ref="A1:V9"/>
  <sheetViews>
    <sheetView workbookViewId="0">
      <selection activeCell="N6" sqref="N6"/>
    </sheetView>
  </sheetViews>
  <sheetFormatPr defaultRowHeight="15" x14ac:dyDescent="0.25"/>
  <cols>
    <col min="2" max="2" width="29.28515625" customWidth="1"/>
    <col min="3" max="13" width="10.7109375" customWidth="1"/>
    <col min="14" max="14" width="11.7109375" customWidth="1"/>
    <col min="20" max="20" width="12.28515625" customWidth="1"/>
    <col min="21" max="21" width="11.42578125" customWidth="1"/>
    <col min="22" max="22" width="11" customWidth="1"/>
  </cols>
  <sheetData>
    <row r="1" spans="1:22" ht="39.75" customHeight="1" x14ac:dyDescent="0.25">
      <c r="B1" s="174" t="s">
        <v>442</v>
      </c>
      <c r="C1" s="174"/>
      <c r="D1" s="174"/>
      <c r="E1" s="174"/>
      <c r="F1" s="174"/>
      <c r="G1" s="174"/>
      <c r="H1" s="174"/>
      <c r="I1" s="174"/>
      <c r="J1" s="174"/>
      <c r="K1" s="174"/>
      <c r="L1" s="174"/>
      <c r="M1" s="174"/>
      <c r="N1" s="174"/>
      <c r="O1" s="174"/>
    </row>
    <row r="2" spans="1:22" ht="15.75" thickBot="1" x14ac:dyDescent="0.3"/>
    <row r="3" spans="1:22" ht="27.75" customHeight="1" x14ac:dyDescent="0.25">
      <c r="A3" s="15"/>
      <c r="B3" s="20" t="s">
        <v>443</v>
      </c>
      <c r="C3" s="20" t="s">
        <v>144</v>
      </c>
      <c r="D3" s="20" t="s">
        <v>183</v>
      </c>
      <c r="E3" s="20" t="s">
        <v>200</v>
      </c>
      <c r="F3" s="20" t="s">
        <v>222</v>
      </c>
      <c r="G3" s="20" t="s">
        <v>244</v>
      </c>
      <c r="H3" s="20" t="s">
        <v>270</v>
      </c>
      <c r="I3" s="20" t="s">
        <v>286</v>
      </c>
      <c r="J3" s="20" t="s">
        <v>310</v>
      </c>
      <c r="K3" s="20" t="s">
        <v>340</v>
      </c>
      <c r="L3" s="20" t="s">
        <v>373</v>
      </c>
      <c r="M3" s="20" t="s">
        <v>393</v>
      </c>
      <c r="N3" s="20" t="s">
        <v>444</v>
      </c>
      <c r="O3" s="20" t="s">
        <v>421</v>
      </c>
      <c r="R3" s="22" t="s">
        <v>132</v>
      </c>
      <c r="S3" s="23" t="s">
        <v>445</v>
      </c>
      <c r="T3" s="22" t="s">
        <v>446</v>
      </c>
      <c r="U3" s="28" t="s">
        <v>447</v>
      </c>
      <c r="V3" s="23" t="s">
        <v>448</v>
      </c>
    </row>
    <row r="4" spans="1:22" ht="27.75" customHeight="1" x14ac:dyDescent="0.25">
      <c r="A4" s="15"/>
      <c r="B4" s="18" t="s">
        <v>449</v>
      </c>
      <c r="C4" s="6">
        <f>COUNTIFS('Formulário de Conformidade'!$C:$C,"Grupo",'Formulário de Conformidade'!$B:$B,C3)</f>
        <v>3</v>
      </c>
      <c r="D4" s="6">
        <f>COUNTIFS('Formulário de Conformidade'!$C:$C,"Grupo",'Formulário de Conformidade'!$B:$B,D3)</f>
        <v>2</v>
      </c>
      <c r="E4" s="6">
        <f>COUNTIFS('Formulário de Conformidade'!$C:$C,"Grupo",'Formulário de Conformidade'!$B:$B,E3)</f>
        <v>1</v>
      </c>
      <c r="F4" s="6">
        <f>COUNTIFS('Formulário de Conformidade'!$C:$C,"Grupo",'Formulário de Conformidade'!$B:$B,F3)</f>
        <v>1</v>
      </c>
      <c r="G4" s="6">
        <f>COUNTIFS('Formulário de Conformidade'!$C:$C,"Grupo",'Formulário de Conformidade'!$B:$B,G3)</f>
        <v>2</v>
      </c>
      <c r="H4" s="6">
        <f>COUNTIFS('Formulário de Conformidade'!$C:$C,"Grupo",'Formulário de Conformidade'!$B:$B,H3)</f>
        <v>2</v>
      </c>
      <c r="I4" s="6">
        <f>COUNTIFS('Formulário de Conformidade'!$C:$C,"Grupo",'Formulário de Conformidade'!$B:$B,I3)</f>
        <v>2</v>
      </c>
      <c r="J4" s="6">
        <f>COUNTIFS('Formulário de Conformidade'!$C:$C,"Grupo",'Formulário de Conformidade'!$B:$B,J3)</f>
        <v>3</v>
      </c>
      <c r="K4" s="6">
        <f>COUNTIFS('Formulário de Conformidade'!$C:$C,"Grupo",'Formulário de Conformidade'!$B:$B,K3)</f>
        <v>3</v>
      </c>
      <c r="L4" s="6">
        <f>COUNTIFS('Formulário de Conformidade'!$C:$C,"Grupo",'Formulário de Conformidade'!$B:$B,L3)</f>
        <v>1</v>
      </c>
      <c r="M4" s="6">
        <f>COUNTIFS('Formulário de Conformidade'!$C:$C,"Grupo",'Formulário de Conformidade'!$B:$B,M3)</f>
        <v>3</v>
      </c>
      <c r="N4" s="20">
        <f>SUM(C4:M4)</f>
        <v>23</v>
      </c>
      <c r="O4" s="6">
        <f>COUNTIFS('Formulário de Conformidade'!$C:$C,"Grupo",'Formulário de Conformidade'!$B:$B,O3)</f>
        <v>2</v>
      </c>
      <c r="R4" s="24" t="s">
        <v>164</v>
      </c>
      <c r="S4" s="25">
        <v>20</v>
      </c>
      <c r="T4" s="24">
        <f>COUNTIF('Formulário de Conformidade'!F1:F158, R4)</f>
        <v>14</v>
      </c>
      <c r="U4" s="16">
        <f>T4/N5</f>
        <v>0.13333333333333333</v>
      </c>
      <c r="V4" s="25">
        <f>S4*T4</f>
        <v>280</v>
      </c>
    </row>
    <row r="5" spans="1:22" ht="27.75" customHeight="1" x14ac:dyDescent="0.25">
      <c r="A5" s="15"/>
      <c r="B5" s="18" t="s">
        <v>450</v>
      </c>
      <c r="C5" s="6">
        <f>COUNTIFS('Formulário de Conformidade'!$C:$C,"Questão",'Formulário de Conformidade'!$B:$B,C3)</f>
        <v>11</v>
      </c>
      <c r="D5" s="6">
        <f>COUNTIFS('Formulário de Conformidade'!$C:$C,"Questão",'Formulário de Conformidade'!$B:$B,D3)</f>
        <v>6</v>
      </c>
      <c r="E5" s="6">
        <f>COUNTIFS('Formulário de Conformidade'!$C:$C,"Questão",'Formulário de Conformidade'!$B:$B,E3)</f>
        <v>8</v>
      </c>
      <c r="F5" s="6">
        <f>COUNTIFS('Formulário de Conformidade'!$C:$C,"Questão",'Formulário de Conformidade'!$B:$B,F3)</f>
        <v>10</v>
      </c>
      <c r="G5" s="6">
        <f>COUNTIFS('Formulário de Conformidade'!$C:$C,"Questão",'Formulário de Conformidade'!$B:$B,G3)</f>
        <v>12</v>
      </c>
      <c r="H5" s="6">
        <f>COUNTIFS('Formulário de Conformidade'!$C:$C,"Questão",'Formulário de Conformidade'!$B:$B,H3)</f>
        <v>7</v>
      </c>
      <c r="I5" s="6">
        <f>COUNTIFS('Formulário de Conformidade'!$C:$C,"Questão",'Formulário de Conformidade'!$B:$B,I3)</f>
        <v>9</v>
      </c>
      <c r="J5" s="6">
        <f>COUNTIFS('Formulário de Conformidade'!$C:$C,"Questão",'Formulário de Conformidade'!$B:$B,J3)</f>
        <v>10</v>
      </c>
      <c r="K5" s="6">
        <f>COUNTIFS('Formulário de Conformidade'!$C:$C,"Questão",'Formulário de Conformidade'!$B:$B,K3)</f>
        <v>14</v>
      </c>
      <c r="L5" s="6">
        <f>COUNTIFS('Formulário de Conformidade'!$C:$C,"Questão",'Formulário de Conformidade'!$B:$B,L3)</f>
        <v>7</v>
      </c>
      <c r="M5" s="6">
        <f>COUNTIFS('Formulário de Conformidade'!$C:$C,"Questão",'Formulário de Conformidade'!$B:$B,M3)</f>
        <v>11</v>
      </c>
      <c r="N5" s="20">
        <f>SUM(C5:M5)</f>
        <v>105</v>
      </c>
      <c r="O5" s="6">
        <f>COUNTIFS('Formulário de Conformidade'!$C:$C,"Questão",'Formulário de Conformidade'!$B:$B,O3)</f>
        <v>8</v>
      </c>
      <c r="R5" s="24" t="s">
        <v>151</v>
      </c>
      <c r="S5" s="25">
        <v>15</v>
      </c>
      <c r="T5" s="24">
        <f>COUNTIF('Formulário de Conformidade'!F1:F158, R5)</f>
        <v>13</v>
      </c>
      <c r="U5" s="16">
        <f>T5/$N5</f>
        <v>0.12380952380952381</v>
      </c>
      <c r="V5" s="25">
        <f t="shared" ref="V5:V8" si="0">S5*T5</f>
        <v>195</v>
      </c>
    </row>
    <row r="6" spans="1:22" ht="27.75" customHeight="1" x14ac:dyDescent="0.25">
      <c r="A6" s="15"/>
      <c r="B6" s="18" t="s">
        <v>139</v>
      </c>
      <c r="C6" s="6">
        <f>SUMIFS('Formulário de Conformidade'!$G:$G,'Formulário de Conformidade'!$C:$C,"Questão",'Formulário de Conformidade'!$B:$B,C3)</f>
        <v>154</v>
      </c>
      <c r="D6" s="6">
        <f>SUMIFS('Formulário de Conformidade'!$G:$G,'Formulário de Conformidade'!$C:$C,"Questão",'Formulário de Conformidade'!$B:$B,D3)</f>
        <v>108</v>
      </c>
      <c r="E6" s="6">
        <f>SUMIFS('Formulário de Conformidade'!$G:$G,'Formulário de Conformidade'!$C:$C,"Questão",'Formulário de Conformidade'!$B:$B,E3)</f>
        <v>78</v>
      </c>
      <c r="F6" s="6">
        <f>SUMIFS('Formulário de Conformidade'!$G:$G,'Formulário de Conformidade'!$C:$C,"Questão",'Formulário de Conformidade'!$B:$B,F3)</f>
        <v>91</v>
      </c>
      <c r="G6" s="6">
        <f>SUMIFS('Formulário de Conformidade'!$G:$G,'Formulário de Conformidade'!$C:$C,"Questão",'Formulário de Conformidade'!$B:$B,G3)</f>
        <v>130</v>
      </c>
      <c r="H6" s="6">
        <f>SUMIFS('Formulário de Conformidade'!$G:$G,'Formulário de Conformidade'!$C:$C,"Questão",'Formulário de Conformidade'!$B:$B,H3)</f>
        <v>118</v>
      </c>
      <c r="I6" s="6">
        <f>SUMIFS('Formulário de Conformidade'!$G:$G,'Formulário de Conformidade'!$C:$C,"Questão",'Formulário de Conformidade'!$B:$B,I3)</f>
        <v>106</v>
      </c>
      <c r="J6" s="6">
        <f>SUMIFS('Formulário de Conformidade'!$G:$G,'Formulário de Conformidade'!$C:$C,"Questão",'Formulário de Conformidade'!$B:$B,J3)</f>
        <v>114</v>
      </c>
      <c r="K6" s="6">
        <f>SUMIFS('Formulário de Conformidade'!$G:$G,'Formulário de Conformidade'!$C:$C,"Questão",'Formulário de Conformidade'!$B:$B,K3)</f>
        <v>141</v>
      </c>
      <c r="L6" s="6">
        <f>SUMIFS('Formulário de Conformidade'!$G:$G,'Formulário de Conformidade'!$C:$C,"Questão",'Formulário de Conformidade'!$B:$B,L3)</f>
        <v>83</v>
      </c>
      <c r="M6" s="6">
        <f>SUMIFS('Formulário de Conformidade'!$G:$G,'Formulário de Conformidade'!$C:$C,"Questão",'Formulário de Conformidade'!$B:$B,M3)</f>
        <v>83</v>
      </c>
      <c r="N6" s="20">
        <f>SUM(C6:M6)</f>
        <v>1206</v>
      </c>
      <c r="O6" s="6">
        <f>SUMIFS('Formulário de Conformidade'!$G:$G,'Formulário de Conformidade'!$C:$C,"Questão",'Formulário de Conformidade'!$B:$B,O3)</f>
        <v>95</v>
      </c>
      <c r="R6" s="24" t="s">
        <v>177</v>
      </c>
      <c r="S6" s="25">
        <v>5</v>
      </c>
      <c r="T6" s="24">
        <f>COUNTIF('Formulário de Conformidade'!F1:F158, R6)</f>
        <v>55</v>
      </c>
      <c r="U6" s="16">
        <f>T6/$N5</f>
        <v>0.52380952380952384</v>
      </c>
      <c r="V6" s="25">
        <f t="shared" si="0"/>
        <v>275</v>
      </c>
    </row>
    <row r="7" spans="1:22" ht="27.75" customHeight="1" x14ac:dyDescent="0.25">
      <c r="A7" s="15"/>
      <c r="B7" s="18" t="s">
        <v>451</v>
      </c>
      <c r="C7" s="16">
        <f>C6/$N6</f>
        <v>0.12769485903814262</v>
      </c>
      <c r="D7" s="16">
        <f t="shared" ref="D7:O7" si="1">D6/$N6</f>
        <v>8.9552238805970144E-2</v>
      </c>
      <c r="E7" s="16">
        <f t="shared" si="1"/>
        <v>6.4676616915422883E-2</v>
      </c>
      <c r="F7" s="16">
        <f t="shared" si="1"/>
        <v>7.545605306799337E-2</v>
      </c>
      <c r="G7" s="16">
        <f t="shared" si="1"/>
        <v>0.1077943615257048</v>
      </c>
      <c r="H7" s="16">
        <f t="shared" si="1"/>
        <v>9.7844112769485903E-2</v>
      </c>
      <c r="I7" s="16">
        <f t="shared" si="1"/>
        <v>8.7893864013267001E-2</v>
      </c>
      <c r="J7" s="16">
        <f t="shared" si="1"/>
        <v>9.4527363184079602E-2</v>
      </c>
      <c r="K7" s="16">
        <f t="shared" si="1"/>
        <v>0.11691542288557213</v>
      </c>
      <c r="L7" s="16">
        <f t="shared" si="1"/>
        <v>6.8822553897180769E-2</v>
      </c>
      <c r="M7" s="16">
        <f t="shared" si="1"/>
        <v>6.8822553897180769E-2</v>
      </c>
      <c r="N7" s="21">
        <f>SUM(C7:M7)</f>
        <v>0.99999999999999989</v>
      </c>
      <c r="O7" s="16">
        <f t="shared" si="1"/>
        <v>7.8772802653399671E-2</v>
      </c>
      <c r="R7" s="24" t="s">
        <v>198</v>
      </c>
      <c r="S7" s="25">
        <v>25</v>
      </c>
      <c r="T7" s="24">
        <f>COUNTIF('Formulário de Conformidade'!F1:F158, R7)</f>
        <v>6</v>
      </c>
      <c r="U7" s="16">
        <f>T7/$N5</f>
        <v>5.7142857142857141E-2</v>
      </c>
      <c r="V7" s="25">
        <f t="shared" si="0"/>
        <v>150</v>
      </c>
    </row>
    <row r="8" spans="1:22" ht="25.5" customHeight="1" thickBot="1" x14ac:dyDescent="0.3">
      <c r="A8" s="15"/>
      <c r="B8" s="19" t="s">
        <v>452</v>
      </c>
      <c r="C8" s="17">
        <v>0.12999999999999998</v>
      </c>
      <c r="D8" s="17">
        <v>0.13</v>
      </c>
      <c r="E8" s="17">
        <v>0.1</v>
      </c>
      <c r="F8" s="17">
        <v>4.9999999999999989E-2</v>
      </c>
      <c r="G8" s="17">
        <v>0.13</v>
      </c>
      <c r="H8" s="17">
        <v>0.11</v>
      </c>
      <c r="I8" s="17">
        <v>0.06</v>
      </c>
      <c r="J8" s="17">
        <v>0.09</v>
      </c>
      <c r="K8" s="17">
        <v>9.9999999999999978E-2</v>
      </c>
      <c r="L8" s="17">
        <v>4.9999999999999989E-2</v>
      </c>
      <c r="M8" s="17">
        <v>4.9999999999999989E-2</v>
      </c>
      <c r="N8" s="21">
        <f>SUM(C8:M8)</f>
        <v>1</v>
      </c>
      <c r="O8" s="6" t="s">
        <v>453</v>
      </c>
      <c r="R8" s="26" t="s">
        <v>155</v>
      </c>
      <c r="S8" s="27">
        <v>18</v>
      </c>
      <c r="T8" s="26">
        <f>COUNTIF('Formulário de Conformidade'!F1:F158, R8)</f>
        <v>17</v>
      </c>
      <c r="U8" s="29">
        <f>T8/$N5</f>
        <v>0.16190476190476191</v>
      </c>
      <c r="V8" s="27">
        <f t="shared" si="0"/>
        <v>306</v>
      </c>
    </row>
    <row r="9" spans="1:22" x14ac:dyDescent="0.25">
      <c r="A9" s="15"/>
      <c r="B9" s="15"/>
      <c r="C9" s="15"/>
      <c r="D9" s="15"/>
      <c r="E9" s="15"/>
      <c r="F9" s="15"/>
      <c r="G9" s="15"/>
      <c r="H9" s="15"/>
      <c r="I9" s="15"/>
      <c r="J9" s="15"/>
      <c r="K9" s="15"/>
      <c r="L9" s="15"/>
      <c r="M9" s="15"/>
      <c r="N9" s="15"/>
    </row>
  </sheetData>
  <mergeCells count="1">
    <mergeCell ref="B1:O1"/>
  </mergeCells>
  <pageMargins left="0.511811024" right="0.511811024" top="0.78740157499999996" bottom="0.78740157499999996" header="0.31496062000000002" footer="0.31496062000000002"/>
  <ignoredErrors>
    <ignoredError sqref="N4 N6:N7"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071A7-CD35-4B84-9049-C47123F5CEC9}">
  <sheetPr>
    <pageSetUpPr fitToPage="1"/>
  </sheetPr>
  <dimension ref="B2:H18"/>
  <sheetViews>
    <sheetView showGridLines="0" tabSelected="1" workbookViewId="0">
      <selection activeCell="I16" sqref="I16"/>
    </sheetView>
  </sheetViews>
  <sheetFormatPr defaultRowHeight="15" x14ac:dyDescent="0.25"/>
  <cols>
    <col min="2" max="2" width="106.7109375" customWidth="1"/>
    <col min="3" max="3" width="19.28515625" style="63" customWidth="1"/>
    <col min="4" max="4" width="18.28515625" style="63" hidden="1" customWidth="1"/>
    <col min="5" max="6" width="18.28515625" style="63" customWidth="1"/>
    <col min="7" max="7" width="11.5703125" hidden="1" customWidth="1"/>
    <col min="8" max="8" width="11" hidden="1" customWidth="1"/>
  </cols>
  <sheetData>
    <row r="2" spans="2:8" ht="88.5" customHeight="1" thickBot="1" x14ac:dyDescent="0.3"/>
    <row r="3" spans="2:8" ht="39" customHeight="1" x14ac:dyDescent="0.25">
      <c r="B3" s="77" t="s">
        <v>454</v>
      </c>
      <c r="C3" s="76" t="s">
        <v>455</v>
      </c>
      <c r="D3" s="71" t="s">
        <v>456</v>
      </c>
      <c r="E3" s="70" t="s">
        <v>457</v>
      </c>
      <c r="F3" s="72" t="s">
        <v>458</v>
      </c>
      <c r="G3" s="72" t="s">
        <v>459</v>
      </c>
      <c r="H3" s="140" t="s">
        <v>460</v>
      </c>
    </row>
    <row r="4" spans="2:8" ht="21.75" customHeight="1" x14ac:dyDescent="0.25">
      <c r="B4" s="78" t="s">
        <v>145</v>
      </c>
      <c r="C4" s="141">
        <v>154</v>
      </c>
      <c r="D4" s="142">
        <v>0.45</v>
      </c>
      <c r="E4" s="143">
        <f>SUM('Formulário de Conformidade'!J9:J22)</f>
        <v>136</v>
      </c>
      <c r="F4" s="144">
        <f t="shared" ref="F4:F16" si="0">E4/C4</f>
        <v>0.88311688311688308</v>
      </c>
      <c r="G4" s="69"/>
      <c r="H4" s="73"/>
    </row>
    <row r="5" spans="2:8" ht="21.75" customHeight="1" x14ac:dyDescent="0.25">
      <c r="B5" s="78" t="s">
        <v>184</v>
      </c>
      <c r="C5" s="141">
        <v>108</v>
      </c>
      <c r="D5" s="142">
        <v>0.45</v>
      </c>
      <c r="E5" s="143">
        <f>SUM('Formulário de Conformidade'!J25:J31)</f>
        <v>108</v>
      </c>
      <c r="F5" s="144">
        <f t="shared" si="0"/>
        <v>1</v>
      </c>
      <c r="G5" s="69"/>
      <c r="H5" s="73"/>
    </row>
    <row r="6" spans="2:8" ht="21.75" customHeight="1" x14ac:dyDescent="0.25">
      <c r="B6" s="78" t="s">
        <v>201</v>
      </c>
      <c r="C6" s="141">
        <v>78</v>
      </c>
      <c r="D6" s="142">
        <v>0.45</v>
      </c>
      <c r="E6" s="143">
        <f>SUM('Formulário de Conformidade'!J34:J42)</f>
        <v>69</v>
      </c>
      <c r="F6" s="144">
        <f t="shared" si="0"/>
        <v>0.88461538461538458</v>
      </c>
      <c r="G6" s="69"/>
      <c r="H6" s="73"/>
    </row>
    <row r="7" spans="2:8" ht="21.75" customHeight="1" x14ac:dyDescent="0.25">
      <c r="B7" s="78" t="s">
        <v>223</v>
      </c>
      <c r="C7" s="141">
        <v>91</v>
      </c>
      <c r="D7" s="142">
        <v>0.45</v>
      </c>
      <c r="E7" s="143">
        <f>SUM('Formulário de Conformidade'!J45:J55)</f>
        <v>91</v>
      </c>
      <c r="F7" s="144">
        <f t="shared" si="0"/>
        <v>1</v>
      </c>
      <c r="G7" s="69"/>
      <c r="H7" s="73"/>
    </row>
    <row r="8" spans="2:8" ht="21.75" customHeight="1" x14ac:dyDescent="0.25">
      <c r="B8" s="78" t="s">
        <v>245</v>
      </c>
      <c r="C8" s="141">
        <v>130</v>
      </c>
      <c r="D8" s="142">
        <v>0.45</v>
      </c>
      <c r="E8" s="143">
        <f>SUM('Formulário de Conformidade'!J59:J72)</f>
        <v>125</v>
      </c>
      <c r="F8" s="144">
        <f t="shared" si="0"/>
        <v>0.96153846153846156</v>
      </c>
      <c r="G8" s="69"/>
      <c r="H8" s="73"/>
    </row>
    <row r="9" spans="2:8" ht="21.75" customHeight="1" x14ac:dyDescent="0.25">
      <c r="B9" s="78" t="s">
        <v>271</v>
      </c>
      <c r="C9" s="141">
        <v>118</v>
      </c>
      <c r="D9" s="142">
        <v>0.45</v>
      </c>
      <c r="E9" s="143">
        <f>SUM('Formulário de Conformidade'!J75:J82)</f>
        <v>118</v>
      </c>
      <c r="F9" s="144">
        <f t="shared" si="0"/>
        <v>1</v>
      </c>
      <c r="G9" s="69"/>
      <c r="H9" s="73"/>
    </row>
    <row r="10" spans="2:8" ht="21.75" customHeight="1" x14ac:dyDescent="0.25">
      <c r="B10" s="78" t="s">
        <v>287</v>
      </c>
      <c r="C10" s="141">
        <v>106</v>
      </c>
      <c r="D10" s="142">
        <v>0.45</v>
      </c>
      <c r="E10" s="143">
        <f>SUM('Formulário de Conformidade'!J85:J94)</f>
        <v>106</v>
      </c>
      <c r="F10" s="144">
        <f t="shared" si="0"/>
        <v>1</v>
      </c>
      <c r="G10" s="69"/>
      <c r="H10" s="73"/>
    </row>
    <row r="11" spans="2:8" ht="21.75" customHeight="1" x14ac:dyDescent="0.25">
      <c r="B11" s="78" t="s">
        <v>311</v>
      </c>
      <c r="C11" s="141">
        <v>114</v>
      </c>
      <c r="D11" s="142">
        <v>0.45</v>
      </c>
      <c r="E11" s="143">
        <f>SUM('Formulário de Conformidade'!J97:J110)</f>
        <v>76</v>
      </c>
      <c r="F11" s="144">
        <f t="shared" si="0"/>
        <v>0.66666666666666663</v>
      </c>
      <c r="G11" s="69"/>
      <c r="H11" s="73"/>
    </row>
    <row r="12" spans="2:8" ht="21.75" customHeight="1" x14ac:dyDescent="0.25">
      <c r="B12" s="78" t="s">
        <v>341</v>
      </c>
      <c r="C12" s="141">
        <v>141</v>
      </c>
      <c r="D12" s="142">
        <v>0.45</v>
      </c>
      <c r="E12" s="143">
        <f>SUM('Formulário de Conformidade'!J113:J131)</f>
        <v>126</v>
      </c>
      <c r="F12" s="144">
        <f t="shared" si="0"/>
        <v>0.8936170212765957</v>
      </c>
      <c r="G12" s="69"/>
      <c r="H12" s="73"/>
    </row>
    <row r="13" spans="2:8" ht="21.75" customHeight="1" x14ac:dyDescent="0.25">
      <c r="B13" s="78" t="s">
        <v>374</v>
      </c>
      <c r="C13" s="141">
        <v>83</v>
      </c>
      <c r="D13" s="142">
        <v>0.45</v>
      </c>
      <c r="E13" s="143">
        <f>SUM('Formulário de Conformidade'!J134:J142)</f>
        <v>83</v>
      </c>
      <c r="F13" s="144">
        <f t="shared" si="0"/>
        <v>1</v>
      </c>
      <c r="G13" s="69"/>
      <c r="H13" s="73"/>
    </row>
    <row r="14" spans="2:8" ht="21.75" customHeight="1" x14ac:dyDescent="0.25">
      <c r="B14" s="78" t="s">
        <v>394</v>
      </c>
      <c r="C14" s="141">
        <v>83</v>
      </c>
      <c r="D14" s="142">
        <v>0.45</v>
      </c>
      <c r="E14" s="143">
        <f>SUM('Formulário de Conformidade'!J145:J158)</f>
        <v>83</v>
      </c>
      <c r="F14" s="144">
        <f t="shared" si="0"/>
        <v>1</v>
      </c>
      <c r="G14" s="69"/>
      <c r="H14" s="73"/>
    </row>
    <row r="15" spans="2:8" ht="21.75" customHeight="1" x14ac:dyDescent="0.25">
      <c r="B15" s="78" t="s">
        <v>422</v>
      </c>
      <c r="C15" s="141">
        <v>95</v>
      </c>
      <c r="D15" s="142">
        <v>0.7</v>
      </c>
      <c r="E15" s="143">
        <f>SUM('Formulário de Conformidade'!J161:J171)</f>
        <v>95</v>
      </c>
      <c r="F15" s="144">
        <f t="shared" si="0"/>
        <v>1</v>
      </c>
      <c r="G15" s="69"/>
      <c r="H15" s="73"/>
    </row>
    <row r="16" spans="2:8" ht="21.75" customHeight="1" thickBot="1" x14ac:dyDescent="0.3">
      <c r="B16" s="145" t="s">
        <v>444</v>
      </c>
      <c r="C16" s="146">
        <f>SUM(C4:C15)</f>
        <v>1301</v>
      </c>
      <c r="D16" s="147">
        <v>0.7</v>
      </c>
      <c r="E16" s="148">
        <f>SUM(E4:E15)</f>
        <v>1216</v>
      </c>
      <c r="F16" s="149">
        <f t="shared" si="0"/>
        <v>0.93466564181398926</v>
      </c>
      <c r="G16" s="74"/>
      <c r="H16" s="75"/>
    </row>
    <row r="18" spans="3:6" x14ac:dyDescent="0.25">
      <c r="C18" s="63">
        <f>SUM(C4:C14)</f>
        <v>1206</v>
      </c>
      <c r="E18" s="63">
        <f>SUM(E4:E14)</f>
        <v>1121</v>
      </c>
      <c r="F18" s="63">
        <f>E18/C18</f>
        <v>0.92951907131011613</v>
      </c>
    </row>
  </sheetData>
  <conditionalFormatting sqref="F4:F15">
    <cfRule type="cellIs" dxfId="1" priority="1" operator="greaterThan">
      <formula>0.4</formula>
    </cfRule>
    <cfRule type="cellIs" dxfId="0" priority="2" operator="lessThan">
      <formula>0.4</formula>
    </cfRule>
  </conditionalFormatting>
  <pageMargins left="0.25" right="0.25" top="0.75" bottom="0.75" header="0.3" footer="0.3"/>
  <pageSetup scale="77"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6D90-0FB1-42CA-A7FC-B31A4FDF08C2}">
  <dimension ref="A1"/>
  <sheetViews>
    <sheetView topLeftCell="D1" workbookViewId="0">
      <selection activeCell="H15" sqref="H15"/>
    </sheetView>
  </sheetViews>
  <sheetFormatPr defaultRowHeight="15" x14ac:dyDescent="0.25"/>
  <sheetData/>
  <pageMargins left="0.511811024" right="0.511811024" top="0.78740157499999996" bottom="0.78740157499999996" header="0.31496062000000002" footer="0.31496062000000002"/>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8B41-FB01-49F9-A33D-33F952AEE29F}">
  <dimension ref="A1:N119"/>
  <sheetViews>
    <sheetView workbookViewId="0">
      <selection activeCell="A112" sqref="A112"/>
    </sheetView>
  </sheetViews>
  <sheetFormatPr defaultRowHeight="15" x14ac:dyDescent="0.25"/>
  <cols>
    <col min="1" max="1" width="104.28515625" customWidth="1"/>
    <col min="2" max="2" width="32.7109375" bestFit="1" customWidth="1"/>
    <col min="3" max="3" width="25.42578125" hidden="1" customWidth="1"/>
    <col min="4" max="4" width="42.28515625" hidden="1" customWidth="1"/>
    <col min="5" max="5" width="33.7109375" hidden="1" customWidth="1"/>
    <col min="6" max="6" width="34.42578125" hidden="1" customWidth="1"/>
    <col min="7" max="7" width="29.42578125" hidden="1" customWidth="1"/>
    <col min="8" max="8" width="30.5703125" hidden="1" customWidth="1"/>
    <col min="9" max="9" width="13.7109375" bestFit="1" customWidth="1"/>
    <col min="10" max="10" width="23.7109375" bestFit="1" customWidth="1"/>
    <col min="11" max="11" width="25" bestFit="1" customWidth="1"/>
    <col min="12" max="12" width="45.42578125" bestFit="1" customWidth="1"/>
    <col min="13" max="13" width="26.7109375" bestFit="1" customWidth="1"/>
    <col min="14" max="14" width="67.28515625" customWidth="1"/>
  </cols>
  <sheetData>
    <row r="1" spans="1:14" s="57" customFormat="1" x14ac:dyDescent="0.25">
      <c r="A1" s="56" t="s">
        <v>461</v>
      </c>
      <c r="B1" s="57" t="s">
        <v>462</v>
      </c>
      <c r="C1" s="56" t="s">
        <v>463</v>
      </c>
      <c r="D1" s="57" t="s">
        <v>464</v>
      </c>
      <c r="E1" s="56" t="s">
        <v>465</v>
      </c>
      <c r="F1" s="56" t="s">
        <v>466</v>
      </c>
      <c r="G1" s="56" t="s">
        <v>467</v>
      </c>
      <c r="H1" s="56" t="s">
        <v>468</v>
      </c>
      <c r="I1" s="57" t="s">
        <v>469</v>
      </c>
      <c r="J1" s="56" t="s">
        <v>470</v>
      </c>
      <c r="K1" s="56" t="s">
        <v>471</v>
      </c>
      <c r="L1" s="56" t="s">
        <v>472</v>
      </c>
      <c r="M1" s="56" t="s">
        <v>473</v>
      </c>
      <c r="N1" s="56" t="s">
        <v>474</v>
      </c>
    </row>
    <row r="2" spans="1:14" hidden="1" x14ac:dyDescent="0.25">
      <c r="A2" t="s">
        <v>149</v>
      </c>
      <c r="B2">
        <v>293</v>
      </c>
      <c r="C2" t="b">
        <v>0</v>
      </c>
      <c r="D2" t="b">
        <v>0</v>
      </c>
      <c r="E2" t="b">
        <v>0</v>
      </c>
      <c r="F2" t="b">
        <v>0</v>
      </c>
      <c r="G2" t="b">
        <v>1</v>
      </c>
      <c r="H2" t="b">
        <v>1</v>
      </c>
      <c r="I2">
        <v>1</v>
      </c>
      <c r="J2">
        <v>15</v>
      </c>
      <c r="K2" t="b">
        <v>1</v>
      </c>
      <c r="L2" t="b">
        <v>0</v>
      </c>
      <c r="M2" t="b">
        <v>0</v>
      </c>
      <c r="N2" t="s">
        <v>475</v>
      </c>
    </row>
    <row r="3" spans="1:14" hidden="1" x14ac:dyDescent="0.25">
      <c r="A3" t="s">
        <v>153</v>
      </c>
      <c r="B3">
        <v>293</v>
      </c>
      <c r="C3" t="b">
        <v>0</v>
      </c>
      <c r="D3" t="b">
        <v>1</v>
      </c>
      <c r="E3" t="b">
        <v>1</v>
      </c>
      <c r="F3" t="b">
        <v>0</v>
      </c>
      <c r="G3" t="b">
        <v>1</v>
      </c>
      <c r="H3" t="b">
        <v>1</v>
      </c>
      <c r="I3">
        <v>2</v>
      </c>
      <c r="J3">
        <v>18</v>
      </c>
      <c r="K3" t="b">
        <v>1</v>
      </c>
      <c r="L3" t="b">
        <v>0</v>
      </c>
      <c r="M3" t="b">
        <v>0</v>
      </c>
      <c r="N3" t="s">
        <v>476</v>
      </c>
    </row>
    <row r="4" spans="1:14" hidden="1" x14ac:dyDescent="0.25">
      <c r="A4" t="s">
        <v>159</v>
      </c>
      <c r="B4">
        <v>293</v>
      </c>
      <c r="C4" t="b">
        <v>0</v>
      </c>
      <c r="D4" t="b">
        <v>1</v>
      </c>
      <c r="E4" t="b">
        <v>1</v>
      </c>
      <c r="F4" t="b">
        <v>0</v>
      </c>
      <c r="G4" t="b">
        <v>1</v>
      </c>
      <c r="H4" t="b">
        <v>1</v>
      </c>
      <c r="I4">
        <v>3</v>
      </c>
      <c r="J4">
        <v>15</v>
      </c>
      <c r="K4" t="b">
        <v>1</v>
      </c>
      <c r="L4" t="b">
        <v>0</v>
      </c>
      <c r="M4" t="b">
        <v>0</v>
      </c>
      <c r="N4" t="s">
        <v>477</v>
      </c>
    </row>
    <row r="5" spans="1:14" x14ac:dyDescent="0.25">
      <c r="A5" t="s">
        <v>163</v>
      </c>
      <c r="B5">
        <v>294</v>
      </c>
      <c r="C5" t="b">
        <v>0</v>
      </c>
      <c r="D5" t="b">
        <v>0</v>
      </c>
      <c r="E5" t="b">
        <v>0</v>
      </c>
      <c r="F5" t="b">
        <v>0</v>
      </c>
      <c r="G5" t="b">
        <v>1</v>
      </c>
      <c r="H5" t="b">
        <v>1</v>
      </c>
      <c r="I5">
        <v>1</v>
      </c>
      <c r="J5">
        <v>20</v>
      </c>
      <c r="K5" t="b">
        <v>1</v>
      </c>
      <c r="L5" t="b">
        <v>1</v>
      </c>
      <c r="M5" t="b">
        <v>0</v>
      </c>
      <c r="N5" t="s">
        <v>478</v>
      </c>
    </row>
    <row r="6" spans="1:14" hidden="1" x14ac:dyDescent="0.25">
      <c r="A6" t="s">
        <v>166</v>
      </c>
      <c r="B6">
        <v>294</v>
      </c>
      <c r="C6" t="b">
        <v>0</v>
      </c>
      <c r="D6" t="b">
        <v>1</v>
      </c>
      <c r="E6" t="b">
        <v>1</v>
      </c>
      <c r="F6" t="b">
        <v>0</v>
      </c>
      <c r="G6" t="b">
        <v>1</v>
      </c>
      <c r="H6" t="b">
        <v>1</v>
      </c>
      <c r="I6">
        <v>2</v>
      </c>
      <c r="J6">
        <v>15</v>
      </c>
      <c r="K6" t="b">
        <v>1</v>
      </c>
      <c r="L6" t="b">
        <v>0</v>
      </c>
      <c r="M6" t="b">
        <v>0</v>
      </c>
      <c r="N6" t="s">
        <v>479</v>
      </c>
    </row>
    <row r="7" spans="1:14" hidden="1" x14ac:dyDescent="0.25">
      <c r="A7" t="s">
        <v>168</v>
      </c>
      <c r="B7">
        <v>294</v>
      </c>
      <c r="C7" t="b">
        <v>0</v>
      </c>
      <c r="D7" t="b">
        <v>0</v>
      </c>
      <c r="E7" t="b">
        <v>0</v>
      </c>
      <c r="F7" t="b">
        <v>1</v>
      </c>
      <c r="G7" t="b">
        <v>1</v>
      </c>
      <c r="H7" t="b">
        <v>1</v>
      </c>
      <c r="I7">
        <v>3</v>
      </c>
      <c r="J7">
        <v>18</v>
      </c>
      <c r="K7" t="b">
        <v>1</v>
      </c>
      <c r="L7" t="b">
        <v>0</v>
      </c>
      <c r="M7" t="b">
        <v>0</v>
      </c>
      <c r="N7" t="s">
        <v>480</v>
      </c>
    </row>
    <row r="8" spans="1:14" x14ac:dyDescent="0.25">
      <c r="A8" t="s">
        <v>172</v>
      </c>
      <c r="B8">
        <v>295</v>
      </c>
      <c r="C8" t="b">
        <v>0</v>
      </c>
      <c r="D8" t="b">
        <v>0</v>
      </c>
      <c r="E8" t="b">
        <v>0</v>
      </c>
      <c r="F8" t="b">
        <v>0</v>
      </c>
      <c r="G8" t="b">
        <v>1</v>
      </c>
      <c r="H8" t="b">
        <v>1</v>
      </c>
      <c r="I8">
        <v>1</v>
      </c>
      <c r="J8">
        <v>20</v>
      </c>
      <c r="K8" t="b">
        <v>1</v>
      </c>
      <c r="L8" t="b">
        <v>0</v>
      </c>
      <c r="M8" t="b">
        <v>0</v>
      </c>
      <c r="N8" t="s">
        <v>481</v>
      </c>
    </row>
    <row r="9" spans="1:14" hidden="1" x14ac:dyDescent="0.25">
      <c r="A9" t="s">
        <v>174</v>
      </c>
      <c r="B9">
        <v>295</v>
      </c>
      <c r="C9" t="b">
        <v>1</v>
      </c>
      <c r="D9" t="b">
        <v>0</v>
      </c>
      <c r="E9" t="b">
        <v>0</v>
      </c>
      <c r="F9" t="b">
        <v>0</v>
      </c>
      <c r="G9" t="b">
        <v>0</v>
      </c>
      <c r="H9" t="b">
        <v>1</v>
      </c>
      <c r="I9">
        <v>2</v>
      </c>
      <c r="J9">
        <v>0</v>
      </c>
      <c r="K9" t="b">
        <v>0</v>
      </c>
      <c r="L9" t="b">
        <v>0</v>
      </c>
      <c r="M9" t="b">
        <v>0</v>
      </c>
      <c r="N9" t="s">
        <v>482</v>
      </c>
    </row>
    <row r="10" spans="1:14" hidden="1" x14ac:dyDescent="0.25">
      <c r="A10" t="s">
        <v>176</v>
      </c>
      <c r="B10">
        <v>295</v>
      </c>
      <c r="C10" t="b">
        <v>0</v>
      </c>
      <c r="D10" t="b">
        <v>0</v>
      </c>
      <c r="E10" t="b">
        <v>0</v>
      </c>
      <c r="F10" t="b">
        <v>1</v>
      </c>
      <c r="G10" t="b">
        <v>1</v>
      </c>
      <c r="H10" t="b">
        <v>1</v>
      </c>
      <c r="I10">
        <v>3</v>
      </c>
      <c r="J10">
        <v>5</v>
      </c>
      <c r="K10" t="b">
        <v>1</v>
      </c>
      <c r="L10" t="b">
        <v>0</v>
      </c>
      <c r="M10" t="b">
        <v>0</v>
      </c>
      <c r="N10" t="s">
        <v>483</v>
      </c>
    </row>
    <row r="11" spans="1:14" hidden="1" x14ac:dyDescent="0.25">
      <c r="A11" t="s">
        <v>178</v>
      </c>
      <c r="B11">
        <v>295</v>
      </c>
      <c r="C11" t="b">
        <v>0</v>
      </c>
      <c r="D11" t="b">
        <v>0</v>
      </c>
      <c r="E11" t="b">
        <v>0</v>
      </c>
      <c r="F11" t="b">
        <v>0</v>
      </c>
      <c r="G11" t="b">
        <v>1</v>
      </c>
      <c r="H11" t="b">
        <v>1</v>
      </c>
      <c r="I11">
        <v>4</v>
      </c>
      <c r="J11">
        <v>5</v>
      </c>
      <c r="K11" t="b">
        <v>1</v>
      </c>
      <c r="L11" t="b">
        <v>0</v>
      </c>
      <c r="M11" t="b">
        <v>0</v>
      </c>
      <c r="N11" t="s">
        <v>484</v>
      </c>
    </row>
    <row r="12" spans="1:14" hidden="1" x14ac:dyDescent="0.25">
      <c r="A12" t="s">
        <v>180</v>
      </c>
      <c r="B12">
        <v>295</v>
      </c>
      <c r="C12" t="b">
        <v>0</v>
      </c>
      <c r="D12" t="b">
        <v>0</v>
      </c>
      <c r="E12" t="b">
        <v>0</v>
      </c>
      <c r="F12" t="b">
        <v>0</v>
      </c>
      <c r="G12" t="b">
        <v>1</v>
      </c>
      <c r="H12" t="b">
        <v>1</v>
      </c>
      <c r="I12">
        <v>5</v>
      </c>
      <c r="J12">
        <v>5</v>
      </c>
      <c r="K12" t="b">
        <v>1</v>
      </c>
      <c r="L12" t="b">
        <v>0</v>
      </c>
      <c r="M12" t="b">
        <v>0</v>
      </c>
      <c r="N12" t="s">
        <v>484</v>
      </c>
    </row>
    <row r="13" spans="1:14" hidden="1" x14ac:dyDescent="0.25">
      <c r="A13" t="s">
        <v>181</v>
      </c>
      <c r="B13">
        <v>295</v>
      </c>
      <c r="C13" t="b">
        <v>0</v>
      </c>
      <c r="D13" t="b">
        <v>0</v>
      </c>
      <c r="E13" t="b">
        <v>0</v>
      </c>
      <c r="F13" t="b">
        <v>0</v>
      </c>
      <c r="G13" t="b">
        <v>1</v>
      </c>
      <c r="H13" t="b">
        <v>1</v>
      </c>
      <c r="I13">
        <v>6</v>
      </c>
      <c r="J13">
        <v>18</v>
      </c>
      <c r="K13" t="b">
        <v>1</v>
      </c>
      <c r="L13" t="b">
        <v>0</v>
      </c>
      <c r="M13" t="b">
        <v>0</v>
      </c>
      <c r="N13" t="s">
        <v>485</v>
      </c>
    </row>
    <row r="14" spans="1:14" x14ac:dyDescent="0.25">
      <c r="A14" t="s">
        <v>186</v>
      </c>
      <c r="B14">
        <v>297</v>
      </c>
      <c r="C14" t="b">
        <v>0</v>
      </c>
      <c r="D14" t="b">
        <v>0</v>
      </c>
      <c r="E14" t="b">
        <v>0</v>
      </c>
      <c r="F14" t="b">
        <v>0</v>
      </c>
      <c r="G14" t="b">
        <v>1</v>
      </c>
      <c r="H14" t="b">
        <v>1</v>
      </c>
      <c r="I14">
        <v>1</v>
      </c>
      <c r="J14">
        <v>20</v>
      </c>
      <c r="K14" t="b">
        <v>1</v>
      </c>
      <c r="L14" t="b">
        <v>1</v>
      </c>
      <c r="M14" t="b">
        <v>0</v>
      </c>
      <c r="N14" t="s">
        <v>486</v>
      </c>
    </row>
    <row r="15" spans="1:14" hidden="1" x14ac:dyDescent="0.25">
      <c r="A15" t="s">
        <v>187</v>
      </c>
      <c r="B15">
        <v>297</v>
      </c>
      <c r="C15" t="b">
        <v>0</v>
      </c>
      <c r="D15" t="b">
        <v>0</v>
      </c>
      <c r="E15" t="b">
        <v>0</v>
      </c>
      <c r="F15" t="b">
        <v>1</v>
      </c>
      <c r="G15" t="b">
        <v>1</v>
      </c>
      <c r="H15" t="b">
        <v>1</v>
      </c>
      <c r="I15">
        <v>2</v>
      </c>
      <c r="J15">
        <v>15</v>
      </c>
      <c r="K15" s="60" t="b">
        <v>0</v>
      </c>
      <c r="L15" t="b">
        <v>0</v>
      </c>
      <c r="M15" t="b">
        <v>0</v>
      </c>
      <c r="N15" t="s">
        <v>487</v>
      </c>
    </row>
    <row r="16" spans="1:14" hidden="1" x14ac:dyDescent="0.25">
      <c r="A16" t="s">
        <v>189</v>
      </c>
      <c r="B16">
        <v>297</v>
      </c>
      <c r="C16" t="b">
        <v>0</v>
      </c>
      <c r="D16" t="b">
        <v>1</v>
      </c>
      <c r="E16" t="b">
        <v>1</v>
      </c>
      <c r="F16" t="b">
        <v>0</v>
      </c>
      <c r="G16" t="b">
        <v>1</v>
      </c>
      <c r="H16" t="b">
        <v>1</v>
      </c>
      <c r="I16">
        <v>3</v>
      </c>
      <c r="J16">
        <v>15</v>
      </c>
      <c r="K16" t="b">
        <v>1</v>
      </c>
      <c r="L16" t="b">
        <v>0</v>
      </c>
      <c r="M16" t="b">
        <v>0</v>
      </c>
      <c r="N16" t="s">
        <v>488</v>
      </c>
    </row>
    <row r="17" spans="1:14" hidden="1" x14ac:dyDescent="0.25">
      <c r="A17" t="s">
        <v>192</v>
      </c>
      <c r="B17">
        <v>297</v>
      </c>
      <c r="C17" t="b">
        <v>0</v>
      </c>
      <c r="D17" t="b">
        <v>0</v>
      </c>
      <c r="E17" t="b">
        <v>0</v>
      </c>
      <c r="F17" t="b">
        <v>0</v>
      </c>
      <c r="G17" t="b">
        <v>1</v>
      </c>
      <c r="H17" t="b">
        <v>1</v>
      </c>
      <c r="I17">
        <v>4</v>
      </c>
      <c r="J17">
        <v>18</v>
      </c>
      <c r="K17" t="b">
        <v>1</v>
      </c>
      <c r="L17" t="b">
        <v>0</v>
      </c>
      <c r="M17" t="b">
        <v>0</v>
      </c>
      <c r="N17" t="s">
        <v>489</v>
      </c>
    </row>
    <row r="18" spans="1:14" hidden="1" x14ac:dyDescent="0.25">
      <c r="A18" t="s">
        <v>195</v>
      </c>
      <c r="B18">
        <v>296</v>
      </c>
      <c r="C18" t="b">
        <v>0</v>
      </c>
      <c r="D18" t="b">
        <v>0</v>
      </c>
      <c r="E18" t="b">
        <v>0</v>
      </c>
      <c r="F18" t="b">
        <v>1</v>
      </c>
      <c r="G18" t="b">
        <v>1</v>
      </c>
      <c r="H18" t="b">
        <v>1</v>
      </c>
      <c r="I18">
        <v>1</v>
      </c>
      <c r="J18">
        <v>15</v>
      </c>
      <c r="K18" t="b">
        <v>1</v>
      </c>
      <c r="L18" t="b">
        <v>0</v>
      </c>
      <c r="M18" t="b">
        <v>0</v>
      </c>
      <c r="N18" t="s">
        <v>490</v>
      </c>
    </row>
    <row r="19" spans="1:14" hidden="1" x14ac:dyDescent="0.25">
      <c r="A19" t="s">
        <v>197</v>
      </c>
      <c r="B19">
        <v>296</v>
      </c>
      <c r="C19" t="b">
        <v>0</v>
      </c>
      <c r="D19" t="b">
        <v>0</v>
      </c>
      <c r="E19" t="b">
        <v>0</v>
      </c>
      <c r="F19" t="b">
        <v>0</v>
      </c>
      <c r="G19" t="b">
        <v>1</v>
      </c>
      <c r="H19" t="b">
        <v>1</v>
      </c>
      <c r="I19">
        <v>2</v>
      </c>
      <c r="J19">
        <v>25</v>
      </c>
      <c r="K19" t="b">
        <v>1</v>
      </c>
      <c r="L19" t="b">
        <v>0</v>
      </c>
      <c r="M19" t="b">
        <v>0</v>
      </c>
      <c r="N19" t="s">
        <v>491</v>
      </c>
    </row>
    <row r="20" spans="1:14" hidden="1" x14ac:dyDescent="0.25">
      <c r="A20" t="s">
        <v>203</v>
      </c>
      <c r="B20">
        <v>298</v>
      </c>
      <c r="C20" t="b">
        <v>0</v>
      </c>
      <c r="D20" t="b">
        <v>0</v>
      </c>
      <c r="E20" t="b">
        <v>0</v>
      </c>
      <c r="F20" t="b">
        <v>1</v>
      </c>
      <c r="G20" t="b">
        <v>1</v>
      </c>
      <c r="H20" t="b">
        <v>1</v>
      </c>
      <c r="I20">
        <v>1</v>
      </c>
      <c r="J20">
        <v>15</v>
      </c>
      <c r="K20" t="b">
        <v>1</v>
      </c>
      <c r="L20" t="b">
        <v>0</v>
      </c>
      <c r="M20" t="b">
        <v>0</v>
      </c>
      <c r="N20" t="s">
        <v>492</v>
      </c>
    </row>
    <row r="21" spans="1:14" hidden="1" x14ac:dyDescent="0.25">
      <c r="A21" t="s">
        <v>205</v>
      </c>
      <c r="B21">
        <v>298</v>
      </c>
      <c r="C21" t="b">
        <v>1</v>
      </c>
      <c r="D21" t="b">
        <v>0</v>
      </c>
      <c r="E21" t="b">
        <v>0</v>
      </c>
      <c r="F21" t="b">
        <v>0</v>
      </c>
      <c r="G21" t="b">
        <v>0</v>
      </c>
      <c r="H21" t="b">
        <v>1</v>
      </c>
      <c r="I21">
        <v>2</v>
      </c>
      <c r="J21">
        <v>0</v>
      </c>
      <c r="K21" t="b">
        <v>0</v>
      </c>
      <c r="L21" t="b">
        <v>0</v>
      </c>
      <c r="M21" t="b">
        <v>0</v>
      </c>
      <c r="N21" t="s">
        <v>482</v>
      </c>
    </row>
    <row r="22" spans="1:14" hidden="1" x14ac:dyDescent="0.25">
      <c r="A22" t="s">
        <v>206</v>
      </c>
      <c r="B22">
        <v>298</v>
      </c>
      <c r="C22" t="b">
        <v>0</v>
      </c>
      <c r="D22" t="b">
        <v>0</v>
      </c>
      <c r="E22" t="b">
        <v>0</v>
      </c>
      <c r="F22" t="b">
        <v>0</v>
      </c>
      <c r="G22" t="b">
        <v>1</v>
      </c>
      <c r="H22" t="b">
        <v>1</v>
      </c>
      <c r="I22">
        <v>3</v>
      </c>
      <c r="J22">
        <v>5</v>
      </c>
      <c r="K22" t="b">
        <v>1</v>
      </c>
      <c r="L22" t="b">
        <v>0</v>
      </c>
      <c r="M22" t="b">
        <v>0</v>
      </c>
      <c r="N22" t="s">
        <v>493</v>
      </c>
    </row>
    <row r="23" spans="1:14" hidden="1" x14ac:dyDescent="0.25">
      <c r="A23" t="s">
        <v>208</v>
      </c>
      <c r="B23">
        <v>298</v>
      </c>
      <c r="C23" t="b">
        <v>0</v>
      </c>
      <c r="D23" t="b">
        <v>0</v>
      </c>
      <c r="E23" t="b">
        <v>0</v>
      </c>
      <c r="F23" t="b">
        <v>0</v>
      </c>
      <c r="G23" t="b">
        <v>1</v>
      </c>
      <c r="H23" t="b">
        <v>1</v>
      </c>
      <c r="I23">
        <v>4</v>
      </c>
      <c r="J23">
        <v>5</v>
      </c>
      <c r="K23" t="b">
        <v>1</v>
      </c>
      <c r="L23" t="b">
        <v>0</v>
      </c>
      <c r="M23" t="b">
        <v>0</v>
      </c>
      <c r="N23" t="s">
        <v>494</v>
      </c>
    </row>
    <row r="24" spans="1:14" hidden="1" x14ac:dyDescent="0.25">
      <c r="A24" t="s">
        <v>211</v>
      </c>
      <c r="B24">
        <v>298</v>
      </c>
      <c r="C24" t="b">
        <v>0</v>
      </c>
      <c r="D24" t="b">
        <v>0</v>
      </c>
      <c r="E24" t="b">
        <v>0</v>
      </c>
      <c r="F24" t="b">
        <v>0</v>
      </c>
      <c r="G24" t="b">
        <v>1</v>
      </c>
      <c r="H24" t="b">
        <v>1</v>
      </c>
      <c r="I24">
        <v>5</v>
      </c>
      <c r="J24">
        <v>5</v>
      </c>
      <c r="K24" t="b">
        <v>1</v>
      </c>
      <c r="L24" t="b">
        <v>0</v>
      </c>
      <c r="M24" t="b">
        <v>0</v>
      </c>
      <c r="N24" t="s">
        <v>495</v>
      </c>
    </row>
    <row r="25" spans="1:14" x14ac:dyDescent="0.25">
      <c r="A25" t="s">
        <v>213</v>
      </c>
      <c r="B25">
        <v>298</v>
      </c>
      <c r="C25" t="b">
        <v>0</v>
      </c>
      <c r="D25" t="b">
        <v>0</v>
      </c>
      <c r="E25" t="b">
        <v>0</v>
      </c>
      <c r="F25" t="b">
        <v>0</v>
      </c>
      <c r="G25" t="b">
        <v>1</v>
      </c>
      <c r="H25" t="b">
        <v>1</v>
      </c>
      <c r="I25">
        <v>6</v>
      </c>
      <c r="J25">
        <v>20</v>
      </c>
      <c r="K25" t="b">
        <v>1</v>
      </c>
      <c r="L25" t="b">
        <v>1</v>
      </c>
      <c r="M25" t="b">
        <v>0</v>
      </c>
      <c r="N25" t="s">
        <v>496</v>
      </c>
    </row>
    <row r="26" spans="1:14" hidden="1" x14ac:dyDescent="0.25">
      <c r="A26" t="s">
        <v>215</v>
      </c>
      <c r="B26">
        <v>298</v>
      </c>
      <c r="C26" t="b">
        <v>0</v>
      </c>
      <c r="D26" t="b">
        <v>0</v>
      </c>
      <c r="E26" t="b">
        <v>0</v>
      </c>
      <c r="F26" t="b">
        <v>0</v>
      </c>
      <c r="G26" t="b">
        <v>1</v>
      </c>
      <c r="H26" t="b">
        <v>1</v>
      </c>
      <c r="I26">
        <v>7</v>
      </c>
      <c r="J26">
        <v>5</v>
      </c>
      <c r="K26" t="b">
        <v>1</v>
      </c>
      <c r="L26" t="b">
        <v>0</v>
      </c>
      <c r="M26" t="b">
        <v>0</v>
      </c>
      <c r="N26" t="s">
        <v>497</v>
      </c>
    </row>
    <row r="27" spans="1:14" hidden="1" x14ac:dyDescent="0.25">
      <c r="A27" t="s">
        <v>217</v>
      </c>
      <c r="B27">
        <v>298</v>
      </c>
      <c r="C27" t="b">
        <v>0</v>
      </c>
      <c r="D27" t="b">
        <v>0</v>
      </c>
      <c r="E27" t="b">
        <v>0</v>
      </c>
      <c r="F27" t="b">
        <v>0</v>
      </c>
      <c r="G27" t="b">
        <v>1</v>
      </c>
      <c r="H27" t="b">
        <v>1</v>
      </c>
      <c r="I27">
        <v>8</v>
      </c>
      <c r="J27">
        <v>5</v>
      </c>
      <c r="K27" t="b">
        <v>1</v>
      </c>
      <c r="L27" t="b">
        <v>0</v>
      </c>
      <c r="M27" t="b">
        <v>0</v>
      </c>
      <c r="N27" t="s">
        <v>498</v>
      </c>
    </row>
    <row r="28" spans="1:14" hidden="1" x14ac:dyDescent="0.25">
      <c r="A28" t="s">
        <v>219</v>
      </c>
      <c r="B28">
        <v>298</v>
      </c>
      <c r="C28" t="b">
        <v>0</v>
      </c>
      <c r="D28" t="b">
        <v>0</v>
      </c>
      <c r="E28" t="b">
        <v>0</v>
      </c>
      <c r="F28" t="b">
        <v>1</v>
      </c>
      <c r="G28" t="b">
        <v>1</v>
      </c>
      <c r="H28" t="b">
        <v>1</v>
      </c>
      <c r="I28">
        <v>9</v>
      </c>
      <c r="J28">
        <v>18</v>
      </c>
      <c r="K28" t="b">
        <v>1</v>
      </c>
      <c r="L28" t="b">
        <v>0</v>
      </c>
      <c r="M28" t="b">
        <v>0</v>
      </c>
      <c r="N28" t="s">
        <v>499</v>
      </c>
    </row>
    <row r="29" spans="1:14" x14ac:dyDescent="0.25">
      <c r="A29" t="s">
        <v>225</v>
      </c>
      <c r="B29">
        <v>299</v>
      </c>
      <c r="C29" t="b">
        <v>0</v>
      </c>
      <c r="D29" t="b">
        <v>0</v>
      </c>
      <c r="E29" t="b">
        <v>0</v>
      </c>
      <c r="F29" t="b">
        <v>0</v>
      </c>
      <c r="G29" t="b">
        <v>1</v>
      </c>
      <c r="H29" t="b">
        <v>1</v>
      </c>
      <c r="I29">
        <v>1</v>
      </c>
      <c r="J29">
        <v>20</v>
      </c>
      <c r="K29" t="b">
        <v>1</v>
      </c>
      <c r="L29" t="b">
        <v>1</v>
      </c>
      <c r="M29" t="b">
        <v>0</v>
      </c>
      <c r="N29" t="s">
        <v>500</v>
      </c>
    </row>
    <row r="30" spans="1:14" hidden="1" x14ac:dyDescent="0.25">
      <c r="A30" t="s">
        <v>227</v>
      </c>
      <c r="B30">
        <v>299</v>
      </c>
      <c r="C30" t="b">
        <v>1</v>
      </c>
      <c r="D30" t="b">
        <v>0</v>
      </c>
      <c r="E30" t="b">
        <v>0</v>
      </c>
      <c r="F30" t="b">
        <v>0</v>
      </c>
      <c r="G30" t="b">
        <v>0</v>
      </c>
      <c r="H30" t="b">
        <v>1</v>
      </c>
      <c r="I30">
        <v>2</v>
      </c>
      <c r="J30">
        <v>0</v>
      </c>
      <c r="K30" t="b">
        <v>0</v>
      </c>
      <c r="L30" t="b">
        <v>0</v>
      </c>
      <c r="M30" t="b">
        <v>0</v>
      </c>
      <c r="N30" t="s">
        <v>482</v>
      </c>
    </row>
    <row r="31" spans="1:14" hidden="1" x14ac:dyDescent="0.25">
      <c r="A31" t="s">
        <v>228</v>
      </c>
      <c r="B31">
        <v>299</v>
      </c>
      <c r="C31" t="b">
        <v>0</v>
      </c>
      <c r="D31" t="b">
        <v>0</v>
      </c>
      <c r="E31" t="b">
        <v>0</v>
      </c>
      <c r="F31" t="b">
        <v>0</v>
      </c>
      <c r="G31" t="b">
        <v>1</v>
      </c>
      <c r="H31" t="b">
        <v>1</v>
      </c>
      <c r="I31">
        <v>3</v>
      </c>
      <c r="J31">
        <v>5</v>
      </c>
      <c r="K31" t="b">
        <v>1</v>
      </c>
      <c r="L31" t="b">
        <v>0</v>
      </c>
      <c r="M31" t="b">
        <v>0</v>
      </c>
      <c r="N31" t="s">
        <v>501</v>
      </c>
    </row>
    <row r="32" spans="1:14" hidden="1" x14ac:dyDescent="0.25">
      <c r="A32" t="s">
        <v>230</v>
      </c>
      <c r="B32">
        <v>299</v>
      </c>
      <c r="C32" t="b">
        <v>0</v>
      </c>
      <c r="D32" t="b">
        <v>0</v>
      </c>
      <c r="E32" t="b">
        <v>0</v>
      </c>
      <c r="F32" t="b">
        <v>0</v>
      </c>
      <c r="G32" t="b">
        <v>1</v>
      </c>
      <c r="H32" t="b">
        <v>1</v>
      </c>
      <c r="I32">
        <v>4</v>
      </c>
      <c r="J32">
        <v>5</v>
      </c>
      <c r="K32" t="b">
        <v>1</v>
      </c>
      <c r="L32" t="b">
        <v>0</v>
      </c>
      <c r="M32" t="b">
        <v>0</v>
      </c>
      <c r="N32" t="s">
        <v>502</v>
      </c>
    </row>
    <row r="33" spans="1:14" hidden="1" x14ac:dyDescent="0.25">
      <c r="A33" t="s">
        <v>232</v>
      </c>
      <c r="B33">
        <v>299</v>
      </c>
      <c r="C33" t="b">
        <v>0</v>
      </c>
      <c r="D33" t="b">
        <v>0</v>
      </c>
      <c r="E33" t="b">
        <v>0</v>
      </c>
      <c r="F33" t="b">
        <v>1</v>
      </c>
      <c r="G33" t="b">
        <v>1</v>
      </c>
      <c r="H33" t="b">
        <v>1</v>
      </c>
      <c r="I33">
        <v>5</v>
      </c>
      <c r="J33">
        <v>5</v>
      </c>
      <c r="K33" t="b">
        <v>1</v>
      </c>
      <c r="L33" t="b">
        <v>0</v>
      </c>
      <c r="M33" t="b">
        <v>0</v>
      </c>
      <c r="N33" t="s">
        <v>503</v>
      </c>
    </row>
    <row r="34" spans="1:14" hidden="1" x14ac:dyDescent="0.25">
      <c r="A34" t="s">
        <v>234</v>
      </c>
      <c r="B34">
        <v>299</v>
      </c>
      <c r="C34" t="b">
        <v>0</v>
      </c>
      <c r="D34" t="b">
        <v>0</v>
      </c>
      <c r="E34" t="b">
        <v>0</v>
      </c>
      <c r="F34" t="b">
        <v>1</v>
      </c>
      <c r="G34" t="b">
        <v>1</v>
      </c>
      <c r="H34" t="b">
        <v>1</v>
      </c>
      <c r="I34">
        <v>6</v>
      </c>
      <c r="J34">
        <v>5</v>
      </c>
      <c r="K34" t="b">
        <v>1</v>
      </c>
      <c r="L34" t="b">
        <v>0</v>
      </c>
      <c r="M34" t="b">
        <v>0</v>
      </c>
      <c r="N34" t="s">
        <v>504</v>
      </c>
    </row>
    <row r="35" spans="1:14" hidden="1" x14ac:dyDescent="0.25">
      <c r="A35" t="s">
        <v>236</v>
      </c>
      <c r="B35">
        <v>299</v>
      </c>
      <c r="C35" t="b">
        <v>0</v>
      </c>
      <c r="D35" t="b">
        <v>0</v>
      </c>
      <c r="E35" t="b">
        <v>0</v>
      </c>
      <c r="F35" t="b">
        <v>0</v>
      </c>
      <c r="G35" t="b">
        <v>1</v>
      </c>
      <c r="H35" t="b">
        <v>1</v>
      </c>
      <c r="I35">
        <v>7</v>
      </c>
      <c r="J35">
        <v>5</v>
      </c>
      <c r="K35" t="b">
        <v>1</v>
      </c>
      <c r="L35" t="b">
        <v>0</v>
      </c>
      <c r="M35" t="b">
        <v>0</v>
      </c>
      <c r="N35" t="s">
        <v>505</v>
      </c>
    </row>
    <row r="36" spans="1:14" hidden="1" x14ac:dyDescent="0.25">
      <c r="A36" t="s">
        <v>238</v>
      </c>
      <c r="B36">
        <v>299</v>
      </c>
      <c r="C36" t="b">
        <v>0</v>
      </c>
      <c r="D36" t="b">
        <v>0</v>
      </c>
      <c r="E36" t="b">
        <v>0</v>
      </c>
      <c r="F36" t="b">
        <v>1</v>
      </c>
      <c r="G36" t="b">
        <v>1</v>
      </c>
      <c r="H36" t="b">
        <v>1</v>
      </c>
      <c r="I36">
        <v>8</v>
      </c>
      <c r="J36">
        <v>5</v>
      </c>
      <c r="K36" t="b">
        <v>1</v>
      </c>
      <c r="L36" t="b">
        <v>0</v>
      </c>
      <c r="M36" t="b">
        <v>0</v>
      </c>
      <c r="N36" t="s">
        <v>506</v>
      </c>
    </row>
    <row r="37" spans="1:14" hidden="1" x14ac:dyDescent="0.25">
      <c r="A37" t="s">
        <v>240</v>
      </c>
      <c r="B37">
        <v>299</v>
      </c>
      <c r="C37" t="b">
        <v>0</v>
      </c>
      <c r="D37" t="b">
        <v>0</v>
      </c>
      <c r="E37" t="b">
        <v>0</v>
      </c>
      <c r="F37" t="b">
        <v>0</v>
      </c>
      <c r="G37" t="b">
        <v>1</v>
      </c>
      <c r="H37" t="b">
        <v>1</v>
      </c>
      <c r="I37">
        <v>9</v>
      </c>
      <c r="J37">
        <v>18</v>
      </c>
      <c r="K37" t="b">
        <v>1</v>
      </c>
      <c r="L37" t="b">
        <v>0</v>
      </c>
      <c r="M37" s="55" t="b">
        <v>0</v>
      </c>
      <c r="N37" t="s">
        <v>507</v>
      </c>
    </row>
    <row r="38" spans="1:14" hidden="1" x14ac:dyDescent="0.25">
      <c r="A38" t="s">
        <v>242</v>
      </c>
      <c r="B38">
        <v>299</v>
      </c>
      <c r="C38" t="b">
        <v>0</v>
      </c>
      <c r="D38" t="b">
        <v>0</v>
      </c>
      <c r="E38" t="b">
        <v>0</v>
      </c>
      <c r="F38" t="b">
        <v>0</v>
      </c>
      <c r="G38" t="b">
        <v>1</v>
      </c>
      <c r="H38" t="b">
        <v>1</v>
      </c>
      <c r="I38">
        <v>10</v>
      </c>
      <c r="J38">
        <v>5</v>
      </c>
      <c r="K38" t="b">
        <v>1</v>
      </c>
      <c r="L38" t="b">
        <v>0</v>
      </c>
      <c r="M38" t="b">
        <v>0</v>
      </c>
      <c r="N38" t="s">
        <v>508</v>
      </c>
    </row>
    <row r="39" spans="1:14" hidden="1" x14ac:dyDescent="0.25">
      <c r="A39" t="s">
        <v>243</v>
      </c>
      <c r="B39">
        <v>299</v>
      </c>
      <c r="C39" t="b">
        <v>0</v>
      </c>
      <c r="D39" t="b">
        <v>0</v>
      </c>
      <c r="E39" t="b">
        <v>0</v>
      </c>
      <c r="F39" t="b">
        <v>0</v>
      </c>
      <c r="G39" t="b">
        <v>1</v>
      </c>
      <c r="H39" t="b">
        <v>1</v>
      </c>
      <c r="I39">
        <v>11</v>
      </c>
      <c r="J39">
        <v>18</v>
      </c>
      <c r="K39" t="b">
        <v>1</v>
      </c>
      <c r="L39" t="b">
        <v>0</v>
      </c>
      <c r="M39" t="b">
        <v>0</v>
      </c>
      <c r="N39" t="s">
        <v>509</v>
      </c>
    </row>
    <row r="40" spans="1:14" hidden="1" x14ac:dyDescent="0.25">
      <c r="A40" t="s">
        <v>247</v>
      </c>
      <c r="B40">
        <v>301</v>
      </c>
      <c r="C40" t="b">
        <v>1</v>
      </c>
      <c r="D40" t="b">
        <v>0</v>
      </c>
      <c r="E40" t="b">
        <v>0</v>
      </c>
      <c r="F40" t="b">
        <v>0</v>
      </c>
      <c r="G40" t="b">
        <v>0</v>
      </c>
      <c r="H40" t="b">
        <v>1</v>
      </c>
      <c r="I40">
        <v>1</v>
      </c>
      <c r="J40">
        <v>0</v>
      </c>
      <c r="K40" t="b">
        <v>0</v>
      </c>
      <c r="L40" t="b">
        <v>0</v>
      </c>
      <c r="M40" t="b">
        <v>0</v>
      </c>
      <c r="N40" t="s">
        <v>482</v>
      </c>
    </row>
    <row r="41" spans="1:14" x14ac:dyDescent="0.25">
      <c r="A41" t="s">
        <v>248</v>
      </c>
      <c r="B41">
        <v>301</v>
      </c>
      <c r="C41" t="b">
        <v>0</v>
      </c>
      <c r="D41" t="b">
        <v>0</v>
      </c>
      <c r="E41" t="b">
        <v>0</v>
      </c>
      <c r="F41" t="b">
        <v>0</v>
      </c>
      <c r="G41" t="b">
        <v>1</v>
      </c>
      <c r="H41" t="b">
        <v>1</v>
      </c>
      <c r="I41">
        <v>2</v>
      </c>
      <c r="J41">
        <v>20</v>
      </c>
      <c r="K41" t="b">
        <v>1</v>
      </c>
      <c r="L41" t="b">
        <v>1</v>
      </c>
      <c r="M41" t="b">
        <v>0</v>
      </c>
      <c r="N41" t="s">
        <v>510</v>
      </c>
    </row>
    <row r="42" spans="1:14" hidden="1" x14ac:dyDescent="0.25">
      <c r="A42" t="s">
        <v>249</v>
      </c>
      <c r="B42">
        <v>301</v>
      </c>
      <c r="C42" t="b">
        <v>0</v>
      </c>
      <c r="D42" t="b">
        <v>0</v>
      </c>
      <c r="E42" t="b">
        <v>0</v>
      </c>
      <c r="F42" t="b">
        <v>0</v>
      </c>
      <c r="G42" t="b">
        <v>1</v>
      </c>
      <c r="H42" t="b">
        <v>1</v>
      </c>
      <c r="I42">
        <v>3</v>
      </c>
      <c r="J42">
        <v>5</v>
      </c>
      <c r="K42" t="b">
        <v>1</v>
      </c>
      <c r="L42" t="b">
        <v>0</v>
      </c>
      <c r="M42" t="b">
        <v>0</v>
      </c>
      <c r="N42" t="s">
        <v>511</v>
      </c>
    </row>
    <row r="43" spans="1:14" hidden="1" x14ac:dyDescent="0.25">
      <c r="A43" t="s">
        <v>250</v>
      </c>
      <c r="B43">
        <v>301</v>
      </c>
      <c r="C43" t="b">
        <v>0</v>
      </c>
      <c r="D43" t="b">
        <v>0</v>
      </c>
      <c r="E43" t="b">
        <v>0</v>
      </c>
      <c r="F43" t="b">
        <v>1</v>
      </c>
      <c r="G43" t="b">
        <v>1</v>
      </c>
      <c r="H43" t="b">
        <v>1</v>
      </c>
      <c r="I43">
        <v>4</v>
      </c>
      <c r="J43">
        <v>5</v>
      </c>
      <c r="K43" t="b">
        <v>1</v>
      </c>
      <c r="L43" t="b">
        <v>0</v>
      </c>
      <c r="M43" t="b">
        <v>0</v>
      </c>
      <c r="N43" t="s">
        <v>512</v>
      </c>
    </row>
    <row r="44" spans="1:14" hidden="1" x14ac:dyDescent="0.25">
      <c r="A44" t="s">
        <v>252</v>
      </c>
      <c r="B44">
        <v>301</v>
      </c>
      <c r="C44" t="b">
        <v>0</v>
      </c>
      <c r="D44" t="b">
        <v>0</v>
      </c>
      <c r="E44" t="b">
        <v>0</v>
      </c>
      <c r="F44" t="b">
        <v>1</v>
      </c>
      <c r="G44" t="b">
        <v>1</v>
      </c>
      <c r="H44" t="b">
        <v>1</v>
      </c>
      <c r="I44">
        <v>5</v>
      </c>
      <c r="J44">
        <v>5</v>
      </c>
      <c r="K44" t="b">
        <v>1</v>
      </c>
      <c r="L44" t="b">
        <v>0</v>
      </c>
      <c r="M44" t="b">
        <v>0</v>
      </c>
      <c r="N44" t="s">
        <v>513</v>
      </c>
    </row>
    <row r="45" spans="1:14" hidden="1" x14ac:dyDescent="0.25">
      <c r="A45" t="s">
        <v>253</v>
      </c>
      <c r="B45">
        <v>301</v>
      </c>
      <c r="C45" t="b">
        <v>0</v>
      </c>
      <c r="D45" t="b">
        <v>0</v>
      </c>
      <c r="E45" t="b">
        <v>0</v>
      </c>
      <c r="F45" t="b">
        <v>0</v>
      </c>
      <c r="G45" t="b">
        <v>1</v>
      </c>
      <c r="H45" t="b">
        <v>1</v>
      </c>
      <c r="I45">
        <v>6</v>
      </c>
      <c r="J45">
        <v>5</v>
      </c>
      <c r="K45" t="b">
        <v>1</v>
      </c>
      <c r="L45" t="b">
        <v>0</v>
      </c>
      <c r="M45" t="b">
        <v>0</v>
      </c>
      <c r="N45" t="s">
        <v>514</v>
      </c>
    </row>
    <row r="46" spans="1:14" hidden="1" x14ac:dyDescent="0.25">
      <c r="A46" t="s">
        <v>255</v>
      </c>
      <c r="B46">
        <v>301</v>
      </c>
      <c r="C46" t="b">
        <v>0</v>
      </c>
      <c r="D46" t="b">
        <v>0</v>
      </c>
      <c r="E46" t="b">
        <v>0</v>
      </c>
      <c r="F46" t="b">
        <v>1</v>
      </c>
      <c r="G46" t="b">
        <v>1</v>
      </c>
      <c r="H46" t="b">
        <v>1</v>
      </c>
      <c r="I46">
        <v>7</v>
      </c>
      <c r="J46">
        <v>25</v>
      </c>
      <c r="K46" t="b">
        <v>1</v>
      </c>
      <c r="L46" t="b">
        <v>0</v>
      </c>
      <c r="M46" t="b">
        <v>0</v>
      </c>
      <c r="N46" t="s">
        <v>515</v>
      </c>
    </row>
    <row r="47" spans="1:14" x14ac:dyDescent="0.25">
      <c r="A47" t="s">
        <v>258</v>
      </c>
      <c r="B47">
        <v>300</v>
      </c>
      <c r="C47" t="b">
        <v>0</v>
      </c>
      <c r="D47" t="b">
        <v>0</v>
      </c>
      <c r="E47" t="b">
        <v>0</v>
      </c>
      <c r="F47" t="b">
        <v>0</v>
      </c>
      <c r="G47" t="b">
        <v>1</v>
      </c>
      <c r="H47" t="b">
        <v>1</v>
      </c>
      <c r="I47">
        <v>1</v>
      </c>
      <c r="J47">
        <v>20</v>
      </c>
      <c r="K47" t="b">
        <v>1</v>
      </c>
      <c r="L47" t="b">
        <v>1</v>
      </c>
      <c r="M47" t="b">
        <v>0</v>
      </c>
      <c r="N47" t="s">
        <v>516</v>
      </c>
    </row>
    <row r="48" spans="1:14" hidden="1" x14ac:dyDescent="0.25">
      <c r="A48" t="s">
        <v>517</v>
      </c>
      <c r="B48">
        <v>300</v>
      </c>
      <c r="C48" t="b">
        <v>1</v>
      </c>
      <c r="D48" t="b">
        <v>0</v>
      </c>
      <c r="E48" t="b">
        <v>0</v>
      </c>
      <c r="F48" t="b">
        <v>0</v>
      </c>
      <c r="G48" t="b">
        <v>0</v>
      </c>
      <c r="H48" t="b">
        <v>1</v>
      </c>
      <c r="I48">
        <v>2</v>
      </c>
      <c r="J48">
        <v>0</v>
      </c>
      <c r="K48" t="b">
        <v>0</v>
      </c>
      <c r="L48" t="b">
        <v>0</v>
      </c>
      <c r="M48" t="b">
        <v>0</v>
      </c>
      <c r="N48" t="s">
        <v>482</v>
      </c>
    </row>
    <row r="49" spans="1:14" hidden="1" x14ac:dyDescent="0.25">
      <c r="A49" t="s">
        <v>261</v>
      </c>
      <c r="B49">
        <v>300</v>
      </c>
      <c r="C49" t="b">
        <v>0</v>
      </c>
      <c r="D49" t="b">
        <v>0</v>
      </c>
      <c r="E49" t="b">
        <v>0</v>
      </c>
      <c r="F49" t="b">
        <v>1</v>
      </c>
      <c r="G49" t="b">
        <v>1</v>
      </c>
      <c r="H49" t="b">
        <v>1</v>
      </c>
      <c r="I49">
        <v>3</v>
      </c>
      <c r="J49">
        <v>5</v>
      </c>
      <c r="K49" t="b">
        <v>1</v>
      </c>
      <c r="L49" t="b">
        <v>0</v>
      </c>
      <c r="M49" t="b">
        <v>0</v>
      </c>
      <c r="N49" t="s">
        <v>518</v>
      </c>
    </row>
    <row r="50" spans="1:14" hidden="1" x14ac:dyDescent="0.25">
      <c r="A50" t="s">
        <v>263</v>
      </c>
      <c r="B50">
        <v>300</v>
      </c>
      <c r="C50" t="b">
        <v>0</v>
      </c>
      <c r="D50" t="b">
        <v>0</v>
      </c>
      <c r="E50" t="b">
        <v>0</v>
      </c>
      <c r="F50" t="b">
        <v>1</v>
      </c>
      <c r="G50" t="b">
        <v>1</v>
      </c>
      <c r="H50" t="b">
        <v>1</v>
      </c>
      <c r="I50">
        <v>4</v>
      </c>
      <c r="J50">
        <v>5</v>
      </c>
      <c r="K50" t="b">
        <v>1</v>
      </c>
      <c r="L50" t="b">
        <v>0</v>
      </c>
      <c r="M50" t="b">
        <v>0</v>
      </c>
      <c r="N50" t="s">
        <v>519</v>
      </c>
    </row>
    <row r="51" spans="1:14" hidden="1" x14ac:dyDescent="0.25">
      <c r="A51" t="s">
        <v>264</v>
      </c>
      <c r="B51">
        <v>300</v>
      </c>
      <c r="C51" t="b">
        <v>0</v>
      </c>
      <c r="D51" t="b">
        <v>0</v>
      </c>
      <c r="E51" t="b">
        <v>0</v>
      </c>
      <c r="F51" t="b">
        <v>0</v>
      </c>
      <c r="G51" t="b">
        <v>1</v>
      </c>
      <c r="H51" t="b">
        <v>1</v>
      </c>
      <c r="I51">
        <v>5</v>
      </c>
      <c r="J51">
        <v>5</v>
      </c>
      <c r="K51" t="b">
        <v>1</v>
      </c>
      <c r="L51" t="b">
        <v>0</v>
      </c>
      <c r="M51" t="b">
        <v>0</v>
      </c>
      <c r="N51" t="s">
        <v>520</v>
      </c>
    </row>
    <row r="52" spans="1:14" hidden="1" x14ac:dyDescent="0.25">
      <c r="A52" t="s">
        <v>265</v>
      </c>
      <c r="B52">
        <v>300</v>
      </c>
      <c r="C52" t="b">
        <v>0</v>
      </c>
      <c r="D52" t="b">
        <v>0</v>
      </c>
      <c r="E52" t="b">
        <v>0</v>
      </c>
      <c r="F52" t="b">
        <v>0</v>
      </c>
      <c r="G52" t="b">
        <v>1</v>
      </c>
      <c r="H52" t="b">
        <v>1</v>
      </c>
      <c r="I52">
        <v>6</v>
      </c>
      <c r="J52">
        <v>5</v>
      </c>
      <c r="K52" t="b">
        <v>1</v>
      </c>
      <c r="L52" t="b">
        <v>0</v>
      </c>
      <c r="M52" t="b">
        <v>0</v>
      </c>
      <c r="N52" t="s">
        <v>521</v>
      </c>
    </row>
    <row r="53" spans="1:14" hidden="1" x14ac:dyDescent="0.25">
      <c r="A53" t="s">
        <v>268</v>
      </c>
      <c r="B53">
        <v>300</v>
      </c>
      <c r="C53" t="b">
        <v>0</v>
      </c>
      <c r="D53" t="b">
        <v>0</v>
      </c>
      <c r="E53" t="b">
        <v>0</v>
      </c>
      <c r="F53" t="b">
        <v>1</v>
      </c>
      <c r="G53" t="b">
        <v>1</v>
      </c>
      <c r="H53" t="b">
        <v>1</v>
      </c>
      <c r="I53">
        <v>7</v>
      </c>
      <c r="J53">
        <v>25</v>
      </c>
      <c r="K53" t="b">
        <v>1</v>
      </c>
      <c r="L53" t="b">
        <v>0</v>
      </c>
      <c r="M53" t="b">
        <v>0</v>
      </c>
      <c r="N53" t="s">
        <v>522</v>
      </c>
    </row>
    <row r="54" spans="1:14" x14ac:dyDescent="0.25">
      <c r="A54" t="s">
        <v>273</v>
      </c>
      <c r="B54">
        <v>302</v>
      </c>
      <c r="C54" t="b">
        <v>0</v>
      </c>
      <c r="D54" t="b">
        <v>0</v>
      </c>
      <c r="E54" t="b">
        <v>0</v>
      </c>
      <c r="F54" t="b">
        <v>0</v>
      </c>
      <c r="G54" t="b">
        <v>1</v>
      </c>
      <c r="H54" t="b">
        <v>1</v>
      </c>
      <c r="I54">
        <v>1</v>
      </c>
      <c r="J54">
        <v>20</v>
      </c>
      <c r="K54" t="b">
        <v>1</v>
      </c>
      <c r="L54" t="b">
        <v>1</v>
      </c>
      <c r="M54" t="b">
        <v>0</v>
      </c>
      <c r="N54" t="s">
        <v>523</v>
      </c>
    </row>
    <row r="55" spans="1:14" hidden="1" x14ac:dyDescent="0.25">
      <c r="A55" t="s">
        <v>275</v>
      </c>
      <c r="B55">
        <v>302</v>
      </c>
      <c r="C55" t="b">
        <v>0</v>
      </c>
      <c r="D55" t="b">
        <v>0</v>
      </c>
      <c r="E55" t="b">
        <v>0</v>
      </c>
      <c r="F55" t="b">
        <v>1</v>
      </c>
      <c r="G55" t="b">
        <v>1</v>
      </c>
      <c r="H55" t="b">
        <v>1</v>
      </c>
      <c r="I55">
        <v>2</v>
      </c>
      <c r="J55">
        <v>25</v>
      </c>
      <c r="K55" t="b">
        <v>1</v>
      </c>
      <c r="L55" t="b">
        <v>0</v>
      </c>
      <c r="M55" t="b">
        <v>0</v>
      </c>
      <c r="N55" t="s">
        <v>524</v>
      </c>
    </row>
    <row r="56" spans="1:14" hidden="1" x14ac:dyDescent="0.25">
      <c r="A56" t="s">
        <v>525</v>
      </c>
      <c r="B56">
        <v>302</v>
      </c>
      <c r="C56" t="b">
        <v>0</v>
      </c>
      <c r="D56" t="b">
        <v>0</v>
      </c>
      <c r="E56" t="b">
        <v>0</v>
      </c>
      <c r="F56" t="b">
        <v>1</v>
      </c>
      <c r="G56" t="b">
        <v>1</v>
      </c>
      <c r="H56" t="b">
        <v>1</v>
      </c>
      <c r="I56">
        <v>3</v>
      </c>
      <c r="J56">
        <v>18</v>
      </c>
      <c r="K56" t="b">
        <v>1</v>
      </c>
      <c r="L56" t="b">
        <v>0</v>
      </c>
      <c r="M56" t="b">
        <v>0</v>
      </c>
      <c r="N56" t="s">
        <v>526</v>
      </c>
    </row>
    <row r="57" spans="1:14" hidden="1" x14ac:dyDescent="0.25">
      <c r="A57" t="s">
        <v>279</v>
      </c>
      <c r="B57">
        <v>302</v>
      </c>
      <c r="C57" t="b">
        <v>0</v>
      </c>
      <c r="D57" t="b">
        <v>0</v>
      </c>
      <c r="E57" t="b">
        <v>0</v>
      </c>
      <c r="F57" t="b">
        <v>0</v>
      </c>
      <c r="G57" t="b">
        <v>1</v>
      </c>
      <c r="H57" t="b">
        <v>1</v>
      </c>
      <c r="I57">
        <v>4</v>
      </c>
      <c r="J57">
        <v>5</v>
      </c>
      <c r="K57" t="b">
        <v>1</v>
      </c>
      <c r="L57" t="b">
        <v>0</v>
      </c>
      <c r="M57" t="b">
        <v>0</v>
      </c>
      <c r="N57" t="s">
        <v>527</v>
      </c>
    </row>
    <row r="58" spans="1:14" x14ac:dyDescent="0.25">
      <c r="A58" t="s">
        <v>281</v>
      </c>
      <c r="B58">
        <v>303</v>
      </c>
      <c r="C58" t="b">
        <v>0</v>
      </c>
      <c r="D58" t="b">
        <v>0</v>
      </c>
      <c r="E58" t="b">
        <v>0</v>
      </c>
      <c r="F58" t="b">
        <v>0</v>
      </c>
      <c r="G58" t="b">
        <v>1</v>
      </c>
      <c r="H58" t="b">
        <v>1</v>
      </c>
      <c r="I58">
        <v>1</v>
      </c>
      <c r="J58">
        <v>20</v>
      </c>
      <c r="K58" t="b">
        <v>1</v>
      </c>
      <c r="L58" t="b">
        <v>1</v>
      </c>
      <c r="M58" t="b">
        <v>0</v>
      </c>
      <c r="N58" t="s">
        <v>528</v>
      </c>
    </row>
    <row r="59" spans="1:14" hidden="1" x14ac:dyDescent="0.25">
      <c r="A59" t="s">
        <v>283</v>
      </c>
      <c r="B59">
        <v>303</v>
      </c>
      <c r="C59" t="b">
        <v>0</v>
      </c>
      <c r="D59" t="b">
        <v>0</v>
      </c>
      <c r="E59" t="b">
        <v>0</v>
      </c>
      <c r="F59" t="b">
        <v>1</v>
      </c>
      <c r="G59" t="b">
        <v>1</v>
      </c>
      <c r="H59" t="b">
        <v>1</v>
      </c>
      <c r="I59">
        <v>2</v>
      </c>
      <c r="J59">
        <v>25</v>
      </c>
      <c r="K59" t="b">
        <v>1</v>
      </c>
      <c r="L59" t="b">
        <v>0</v>
      </c>
      <c r="M59" t="b">
        <v>0</v>
      </c>
      <c r="N59" t="s">
        <v>529</v>
      </c>
    </row>
    <row r="60" spans="1:14" hidden="1" x14ac:dyDescent="0.25">
      <c r="A60" t="s">
        <v>284</v>
      </c>
      <c r="B60">
        <v>303</v>
      </c>
      <c r="C60" t="b">
        <v>0</v>
      </c>
      <c r="D60" t="b">
        <v>0</v>
      </c>
      <c r="E60" t="b">
        <v>0</v>
      </c>
      <c r="F60" t="b">
        <v>0</v>
      </c>
      <c r="G60" t="b">
        <v>1</v>
      </c>
      <c r="H60" t="b">
        <v>1</v>
      </c>
      <c r="I60">
        <v>3</v>
      </c>
      <c r="J60">
        <v>5</v>
      </c>
      <c r="K60" t="b">
        <v>1</v>
      </c>
      <c r="L60" t="b">
        <v>0</v>
      </c>
      <c r="M60" t="b">
        <v>0</v>
      </c>
      <c r="N60" t="s">
        <v>530</v>
      </c>
    </row>
    <row r="61" spans="1:14" x14ac:dyDescent="0.25">
      <c r="A61" t="s">
        <v>289</v>
      </c>
      <c r="B61">
        <v>305</v>
      </c>
      <c r="C61" t="b">
        <v>0</v>
      </c>
      <c r="D61" t="b">
        <v>0</v>
      </c>
      <c r="E61" t="b">
        <v>0</v>
      </c>
      <c r="F61" t="b">
        <v>0</v>
      </c>
      <c r="G61" t="b">
        <v>1</v>
      </c>
      <c r="H61" t="b">
        <v>1</v>
      </c>
      <c r="I61">
        <v>1</v>
      </c>
      <c r="J61">
        <v>20</v>
      </c>
      <c r="K61" t="b">
        <v>1</v>
      </c>
      <c r="L61" t="b">
        <v>1</v>
      </c>
      <c r="M61" t="b">
        <v>0</v>
      </c>
      <c r="N61" t="s">
        <v>531</v>
      </c>
    </row>
    <row r="62" spans="1:14" hidden="1" x14ac:dyDescent="0.25">
      <c r="A62" t="s">
        <v>290</v>
      </c>
      <c r="B62">
        <v>305</v>
      </c>
      <c r="C62" t="b">
        <v>0</v>
      </c>
      <c r="D62" t="b">
        <v>0</v>
      </c>
      <c r="E62" t="b">
        <v>0</v>
      </c>
      <c r="F62" t="b">
        <v>0</v>
      </c>
      <c r="G62" t="b">
        <v>1</v>
      </c>
      <c r="H62" t="b">
        <v>1</v>
      </c>
      <c r="I62">
        <v>2</v>
      </c>
      <c r="J62">
        <v>5</v>
      </c>
      <c r="K62" t="b">
        <v>1</v>
      </c>
      <c r="L62" t="b">
        <v>0</v>
      </c>
      <c r="M62" t="b">
        <v>0</v>
      </c>
      <c r="N62" t="s">
        <v>532</v>
      </c>
    </row>
    <row r="63" spans="1:14" hidden="1" x14ac:dyDescent="0.25">
      <c r="A63" t="s">
        <v>292</v>
      </c>
      <c r="B63">
        <v>305</v>
      </c>
      <c r="C63" t="b">
        <v>0</v>
      </c>
      <c r="D63" t="b">
        <v>0</v>
      </c>
      <c r="E63" t="b">
        <v>0</v>
      </c>
      <c r="F63" t="b">
        <v>0</v>
      </c>
      <c r="G63" t="b">
        <v>1</v>
      </c>
      <c r="H63" t="b">
        <v>1</v>
      </c>
      <c r="I63">
        <v>3</v>
      </c>
      <c r="J63">
        <v>5</v>
      </c>
      <c r="K63" t="b">
        <v>1</v>
      </c>
      <c r="L63" t="b">
        <v>0</v>
      </c>
      <c r="M63" t="b">
        <v>0</v>
      </c>
      <c r="N63" t="s">
        <v>532</v>
      </c>
    </row>
    <row r="64" spans="1:14" hidden="1" x14ac:dyDescent="0.25">
      <c r="A64" t="s">
        <v>294</v>
      </c>
      <c r="B64">
        <v>305</v>
      </c>
      <c r="C64" t="b">
        <v>0</v>
      </c>
      <c r="D64" t="b">
        <v>0</v>
      </c>
      <c r="E64" t="b">
        <v>0</v>
      </c>
      <c r="F64" t="b">
        <v>0</v>
      </c>
      <c r="G64" t="b">
        <v>1</v>
      </c>
      <c r="H64" t="b">
        <v>1</v>
      </c>
      <c r="I64">
        <v>4</v>
      </c>
      <c r="J64">
        <v>15</v>
      </c>
      <c r="K64" t="b">
        <v>1</v>
      </c>
      <c r="L64" t="b">
        <v>0</v>
      </c>
      <c r="M64" t="b">
        <v>0</v>
      </c>
      <c r="N64" t="s">
        <v>533</v>
      </c>
    </row>
    <row r="65" spans="1:14" hidden="1" x14ac:dyDescent="0.25">
      <c r="A65" t="s">
        <v>534</v>
      </c>
      <c r="B65">
        <v>304</v>
      </c>
      <c r="C65" t="b">
        <v>0</v>
      </c>
      <c r="D65" t="b">
        <v>1</v>
      </c>
      <c r="E65" t="b">
        <v>1</v>
      </c>
      <c r="F65" t="b">
        <v>0</v>
      </c>
      <c r="G65" t="b">
        <v>1</v>
      </c>
      <c r="H65" t="b">
        <v>1</v>
      </c>
      <c r="I65">
        <v>1</v>
      </c>
      <c r="J65">
        <v>15</v>
      </c>
      <c r="K65" t="b">
        <v>1</v>
      </c>
      <c r="L65" t="b">
        <v>0</v>
      </c>
      <c r="M65" t="b">
        <v>0</v>
      </c>
      <c r="N65" t="s">
        <v>535</v>
      </c>
    </row>
    <row r="66" spans="1:14" hidden="1" x14ac:dyDescent="0.25">
      <c r="A66" t="s">
        <v>299</v>
      </c>
      <c r="B66">
        <v>304</v>
      </c>
      <c r="C66" t="b">
        <v>0</v>
      </c>
      <c r="D66" t="b">
        <v>1</v>
      </c>
      <c r="E66" t="b">
        <v>1</v>
      </c>
      <c r="F66" t="b">
        <v>0</v>
      </c>
      <c r="G66" t="b">
        <v>1</v>
      </c>
      <c r="H66" t="b">
        <v>1</v>
      </c>
      <c r="I66">
        <v>2</v>
      </c>
      <c r="J66">
        <v>5</v>
      </c>
      <c r="K66" t="b">
        <v>1</v>
      </c>
      <c r="L66" t="b">
        <v>0</v>
      </c>
      <c r="M66" t="b">
        <v>0</v>
      </c>
      <c r="N66" t="s">
        <v>536</v>
      </c>
    </row>
    <row r="67" spans="1:14" hidden="1" x14ac:dyDescent="0.25">
      <c r="A67" t="s">
        <v>302</v>
      </c>
      <c r="B67">
        <v>304</v>
      </c>
      <c r="C67" t="b">
        <v>0</v>
      </c>
      <c r="D67" t="b">
        <v>1</v>
      </c>
      <c r="E67" t="b">
        <v>1</v>
      </c>
      <c r="F67" t="b">
        <v>1</v>
      </c>
      <c r="G67" t="b">
        <v>1</v>
      </c>
      <c r="H67" t="b">
        <v>1</v>
      </c>
      <c r="I67">
        <v>3</v>
      </c>
      <c r="J67">
        <v>5</v>
      </c>
      <c r="K67" t="b">
        <v>1</v>
      </c>
      <c r="L67" t="b">
        <v>0</v>
      </c>
      <c r="M67" t="b">
        <v>0</v>
      </c>
      <c r="N67" t="s">
        <v>537</v>
      </c>
    </row>
    <row r="68" spans="1:14" hidden="1" x14ac:dyDescent="0.25">
      <c r="A68" t="s">
        <v>305</v>
      </c>
      <c r="B68">
        <v>304</v>
      </c>
      <c r="C68" t="b">
        <v>0</v>
      </c>
      <c r="D68" t="b">
        <v>1</v>
      </c>
      <c r="E68" t="b">
        <v>1</v>
      </c>
      <c r="F68" t="b">
        <v>0</v>
      </c>
      <c r="G68" t="b">
        <v>1</v>
      </c>
      <c r="H68" t="b">
        <v>1</v>
      </c>
      <c r="I68">
        <v>4</v>
      </c>
      <c r="J68">
        <v>18</v>
      </c>
      <c r="K68" t="b">
        <v>1</v>
      </c>
      <c r="L68" t="b">
        <v>0</v>
      </c>
      <c r="M68" t="b">
        <v>0</v>
      </c>
      <c r="N68" t="s">
        <v>538</v>
      </c>
    </row>
    <row r="69" spans="1:14" hidden="1" x14ac:dyDescent="0.25">
      <c r="A69" t="s">
        <v>308</v>
      </c>
      <c r="B69">
        <v>304</v>
      </c>
      <c r="C69" t="b">
        <v>0</v>
      </c>
      <c r="D69" t="b">
        <v>1</v>
      </c>
      <c r="E69" t="b">
        <v>1</v>
      </c>
      <c r="F69" t="b">
        <v>1</v>
      </c>
      <c r="G69" t="b">
        <v>1</v>
      </c>
      <c r="H69" t="b">
        <v>1</v>
      </c>
      <c r="I69">
        <v>5</v>
      </c>
      <c r="J69">
        <v>18</v>
      </c>
      <c r="K69" t="b">
        <v>1</v>
      </c>
      <c r="L69" t="b">
        <v>0</v>
      </c>
      <c r="M69" t="b">
        <v>0</v>
      </c>
      <c r="N69" t="s">
        <v>539</v>
      </c>
    </row>
    <row r="70" spans="1:14" hidden="1" x14ac:dyDescent="0.25">
      <c r="A70" t="s">
        <v>313</v>
      </c>
      <c r="B70">
        <v>307</v>
      </c>
      <c r="C70" t="b">
        <v>1</v>
      </c>
      <c r="D70" t="b">
        <v>0</v>
      </c>
      <c r="E70" t="b">
        <v>0</v>
      </c>
      <c r="F70" t="b">
        <v>0</v>
      </c>
      <c r="G70" t="b">
        <v>0</v>
      </c>
      <c r="H70" t="b">
        <v>1</v>
      </c>
      <c r="I70">
        <v>1</v>
      </c>
      <c r="J70">
        <v>0</v>
      </c>
      <c r="K70" t="b">
        <v>0</v>
      </c>
      <c r="L70" t="b">
        <v>0</v>
      </c>
      <c r="M70" t="b">
        <v>0</v>
      </c>
      <c r="N70" t="s">
        <v>482</v>
      </c>
    </row>
    <row r="71" spans="1:14" x14ac:dyDescent="0.25">
      <c r="A71" t="s">
        <v>314</v>
      </c>
      <c r="B71">
        <v>307</v>
      </c>
      <c r="C71" t="b">
        <v>0</v>
      </c>
      <c r="D71" t="b">
        <v>0</v>
      </c>
      <c r="E71" t="b">
        <v>0</v>
      </c>
      <c r="F71" t="b">
        <v>0</v>
      </c>
      <c r="G71" t="b">
        <v>1</v>
      </c>
      <c r="H71" t="b">
        <v>1</v>
      </c>
      <c r="I71">
        <v>2</v>
      </c>
      <c r="J71">
        <v>20</v>
      </c>
      <c r="K71" t="b">
        <v>1</v>
      </c>
      <c r="L71" t="b">
        <v>1</v>
      </c>
      <c r="M71" t="b">
        <v>0</v>
      </c>
      <c r="N71" t="s">
        <v>540</v>
      </c>
    </row>
    <row r="72" spans="1:14" hidden="1" x14ac:dyDescent="0.25">
      <c r="A72" t="s">
        <v>316</v>
      </c>
      <c r="B72">
        <v>307</v>
      </c>
      <c r="C72" t="b">
        <v>0</v>
      </c>
      <c r="D72" t="b">
        <v>0</v>
      </c>
      <c r="E72" t="b">
        <v>0</v>
      </c>
      <c r="F72" t="b">
        <v>0</v>
      </c>
      <c r="G72" t="b">
        <v>1</v>
      </c>
      <c r="H72" t="b">
        <v>1</v>
      </c>
      <c r="I72">
        <v>3</v>
      </c>
      <c r="J72">
        <v>5</v>
      </c>
      <c r="K72" t="b">
        <v>1</v>
      </c>
      <c r="L72" t="b">
        <v>0</v>
      </c>
      <c r="M72" t="b">
        <v>0</v>
      </c>
      <c r="N72" t="s">
        <v>541</v>
      </c>
    </row>
    <row r="73" spans="1:14" hidden="1" x14ac:dyDescent="0.25">
      <c r="A73" t="s">
        <v>318</v>
      </c>
      <c r="B73">
        <v>307</v>
      </c>
      <c r="C73" t="b">
        <v>0</v>
      </c>
      <c r="D73" t="b">
        <v>1</v>
      </c>
      <c r="E73" t="b">
        <v>1</v>
      </c>
      <c r="F73" t="b">
        <v>0</v>
      </c>
      <c r="G73" t="b">
        <v>1</v>
      </c>
      <c r="H73" t="b">
        <v>1</v>
      </c>
      <c r="I73">
        <v>4</v>
      </c>
      <c r="J73">
        <v>5</v>
      </c>
      <c r="K73" t="b">
        <v>1</v>
      </c>
      <c r="L73" t="b">
        <v>0</v>
      </c>
      <c r="M73" t="b">
        <v>0</v>
      </c>
      <c r="N73" t="s">
        <v>542</v>
      </c>
    </row>
    <row r="74" spans="1:14" hidden="1" x14ac:dyDescent="0.25">
      <c r="A74" t="s">
        <v>321</v>
      </c>
      <c r="B74">
        <v>307</v>
      </c>
      <c r="C74" t="b">
        <v>0</v>
      </c>
      <c r="D74" t="b">
        <v>0</v>
      </c>
      <c r="E74" t="b">
        <v>0</v>
      </c>
      <c r="F74" t="b">
        <v>0</v>
      </c>
      <c r="G74" t="b">
        <v>1</v>
      </c>
      <c r="H74" t="b">
        <v>1</v>
      </c>
      <c r="I74">
        <v>5</v>
      </c>
      <c r="J74">
        <v>5</v>
      </c>
      <c r="K74" t="b">
        <v>1</v>
      </c>
      <c r="L74" t="b">
        <v>0</v>
      </c>
      <c r="M74" t="b">
        <v>0</v>
      </c>
      <c r="N74" t="s">
        <v>543</v>
      </c>
    </row>
    <row r="75" spans="1:14" hidden="1" x14ac:dyDescent="0.25">
      <c r="A75" t="s">
        <v>323</v>
      </c>
      <c r="B75">
        <v>307</v>
      </c>
      <c r="C75" t="b">
        <v>0</v>
      </c>
      <c r="D75" t="b">
        <v>0</v>
      </c>
      <c r="E75" t="b">
        <v>0</v>
      </c>
      <c r="F75" t="b">
        <v>0</v>
      </c>
      <c r="G75" t="b">
        <v>1</v>
      </c>
      <c r="H75" t="b">
        <v>1</v>
      </c>
      <c r="I75">
        <v>6</v>
      </c>
      <c r="J75">
        <v>18</v>
      </c>
      <c r="K75" t="b">
        <v>1</v>
      </c>
      <c r="L75" t="b">
        <v>0</v>
      </c>
      <c r="M75" t="b">
        <v>0</v>
      </c>
      <c r="N75" t="s">
        <v>544</v>
      </c>
    </row>
    <row r="76" spans="1:14" hidden="1" x14ac:dyDescent="0.25">
      <c r="A76" t="s">
        <v>325</v>
      </c>
      <c r="B76">
        <v>306</v>
      </c>
      <c r="C76" t="b">
        <v>1</v>
      </c>
      <c r="D76" t="b">
        <v>0</v>
      </c>
      <c r="E76" t="b">
        <v>0</v>
      </c>
      <c r="F76" t="b">
        <v>0</v>
      </c>
      <c r="G76" t="b">
        <v>0</v>
      </c>
      <c r="H76" t="b">
        <v>1</v>
      </c>
      <c r="I76">
        <v>1</v>
      </c>
      <c r="J76">
        <v>0</v>
      </c>
      <c r="K76" t="b">
        <v>0</v>
      </c>
      <c r="L76" t="b">
        <v>0</v>
      </c>
      <c r="M76" t="b">
        <v>0</v>
      </c>
      <c r="N76" t="s">
        <v>482</v>
      </c>
    </row>
    <row r="77" spans="1:14" hidden="1" x14ac:dyDescent="0.25">
      <c r="A77" t="s">
        <v>326</v>
      </c>
      <c r="B77">
        <v>306</v>
      </c>
      <c r="C77" t="b">
        <v>0</v>
      </c>
      <c r="D77" t="b">
        <v>0</v>
      </c>
      <c r="E77" t="b">
        <v>0</v>
      </c>
      <c r="F77" t="b">
        <v>0</v>
      </c>
      <c r="G77" t="b">
        <v>1</v>
      </c>
      <c r="H77" t="b">
        <v>1</v>
      </c>
      <c r="I77">
        <v>2</v>
      </c>
      <c r="J77">
        <v>5</v>
      </c>
      <c r="K77" t="b">
        <v>1</v>
      </c>
      <c r="L77" t="b">
        <v>0</v>
      </c>
      <c r="M77" t="b">
        <v>0</v>
      </c>
      <c r="N77" t="s">
        <v>545</v>
      </c>
    </row>
    <row r="78" spans="1:14" hidden="1" x14ac:dyDescent="0.25">
      <c r="A78" t="s">
        <v>328</v>
      </c>
      <c r="B78">
        <v>306</v>
      </c>
      <c r="C78" t="b">
        <v>0</v>
      </c>
      <c r="D78" t="b">
        <v>0</v>
      </c>
      <c r="E78" t="b">
        <v>0</v>
      </c>
      <c r="F78" t="b">
        <v>0</v>
      </c>
      <c r="G78" t="b">
        <v>1</v>
      </c>
      <c r="H78" t="b">
        <v>1</v>
      </c>
      <c r="I78">
        <v>3</v>
      </c>
      <c r="J78">
        <v>5</v>
      </c>
      <c r="K78" t="b">
        <v>1</v>
      </c>
      <c r="L78" t="b">
        <v>0</v>
      </c>
      <c r="M78" t="b">
        <v>0</v>
      </c>
      <c r="N78" t="s">
        <v>546</v>
      </c>
    </row>
    <row r="79" spans="1:14" hidden="1" x14ac:dyDescent="0.25">
      <c r="A79" t="s">
        <v>330</v>
      </c>
      <c r="B79">
        <v>306</v>
      </c>
      <c r="C79" t="b">
        <v>0</v>
      </c>
      <c r="D79" t="b">
        <v>0</v>
      </c>
      <c r="E79" t="b">
        <v>0</v>
      </c>
      <c r="F79" t="b">
        <v>1</v>
      </c>
      <c r="G79" t="b">
        <v>1</v>
      </c>
      <c r="H79" t="b">
        <v>1</v>
      </c>
      <c r="I79">
        <v>4</v>
      </c>
      <c r="J79">
        <v>18</v>
      </c>
      <c r="K79" t="b">
        <v>1</v>
      </c>
      <c r="L79" t="b">
        <v>0</v>
      </c>
      <c r="M79" t="b">
        <v>0</v>
      </c>
      <c r="N79" t="s">
        <v>547</v>
      </c>
    </row>
    <row r="80" spans="1:14" hidden="1" x14ac:dyDescent="0.25">
      <c r="A80" t="s">
        <v>333</v>
      </c>
      <c r="B80">
        <v>308</v>
      </c>
      <c r="C80" t="b">
        <v>0</v>
      </c>
      <c r="D80" t="b">
        <v>1</v>
      </c>
      <c r="E80" t="b">
        <v>1</v>
      </c>
      <c r="F80" t="b">
        <v>1</v>
      </c>
      <c r="G80" t="b">
        <v>1</v>
      </c>
      <c r="H80" t="b">
        <v>1</v>
      </c>
      <c r="I80">
        <v>1</v>
      </c>
      <c r="J80">
        <v>15</v>
      </c>
      <c r="K80" t="b">
        <v>1</v>
      </c>
      <c r="L80" t="b">
        <v>0</v>
      </c>
      <c r="M80" t="b">
        <v>0</v>
      </c>
      <c r="N80" t="s">
        <v>548</v>
      </c>
    </row>
    <row r="81" spans="1:14" hidden="1" x14ac:dyDescent="0.25">
      <c r="A81" t="s">
        <v>337</v>
      </c>
      <c r="B81">
        <v>308</v>
      </c>
      <c r="C81" t="b">
        <v>0</v>
      </c>
      <c r="D81" t="b">
        <v>1</v>
      </c>
      <c r="E81" t="b">
        <v>1</v>
      </c>
      <c r="F81" t="b">
        <v>1</v>
      </c>
      <c r="G81" t="b">
        <v>1</v>
      </c>
      <c r="H81" t="b">
        <v>1</v>
      </c>
      <c r="I81">
        <v>2</v>
      </c>
      <c r="J81">
        <v>18</v>
      </c>
      <c r="K81" s="60" t="b">
        <v>0</v>
      </c>
      <c r="L81" t="b">
        <v>0</v>
      </c>
      <c r="M81" t="b">
        <v>0</v>
      </c>
      <c r="N81" t="s">
        <v>549</v>
      </c>
    </row>
    <row r="82" spans="1:14" x14ac:dyDescent="0.25">
      <c r="A82" t="s">
        <v>343</v>
      </c>
      <c r="B82">
        <v>310</v>
      </c>
      <c r="C82" t="b">
        <v>0</v>
      </c>
      <c r="D82" t="b">
        <v>0</v>
      </c>
      <c r="E82" t="b">
        <v>0</v>
      </c>
      <c r="F82" t="b">
        <v>0</v>
      </c>
      <c r="G82" t="b">
        <v>1</v>
      </c>
      <c r="H82" t="b">
        <v>1</v>
      </c>
      <c r="I82">
        <v>1</v>
      </c>
      <c r="J82">
        <v>20</v>
      </c>
      <c r="K82" t="b">
        <v>1</v>
      </c>
      <c r="L82" t="b">
        <v>1</v>
      </c>
      <c r="M82" s="55" t="b">
        <v>0</v>
      </c>
      <c r="N82" t="s">
        <v>550</v>
      </c>
    </row>
    <row r="83" spans="1:14" hidden="1" x14ac:dyDescent="0.25">
      <c r="A83" t="s">
        <v>345</v>
      </c>
      <c r="B83">
        <v>310</v>
      </c>
      <c r="C83" t="b">
        <v>1</v>
      </c>
      <c r="D83" t="b">
        <v>0</v>
      </c>
      <c r="E83" t="b">
        <v>0</v>
      </c>
      <c r="F83" t="b">
        <v>0</v>
      </c>
      <c r="G83" t="b">
        <v>0</v>
      </c>
      <c r="H83" t="b">
        <v>1</v>
      </c>
      <c r="I83">
        <v>2</v>
      </c>
      <c r="J83">
        <v>0</v>
      </c>
      <c r="K83" t="b">
        <v>0</v>
      </c>
      <c r="L83" t="b">
        <v>0</v>
      </c>
      <c r="M83" t="b">
        <v>0</v>
      </c>
      <c r="N83" t="s">
        <v>482</v>
      </c>
    </row>
    <row r="84" spans="1:14" hidden="1" x14ac:dyDescent="0.25">
      <c r="A84" t="s">
        <v>346</v>
      </c>
      <c r="B84">
        <v>310</v>
      </c>
      <c r="C84" t="b">
        <v>0</v>
      </c>
      <c r="D84" t="b">
        <v>0</v>
      </c>
      <c r="E84" t="b">
        <v>0</v>
      </c>
      <c r="F84" t="b">
        <v>0</v>
      </c>
      <c r="G84" t="b">
        <v>1</v>
      </c>
      <c r="H84" t="b">
        <v>1</v>
      </c>
      <c r="I84">
        <v>3</v>
      </c>
      <c r="J84">
        <v>5</v>
      </c>
      <c r="K84" t="b">
        <v>1</v>
      </c>
      <c r="L84" t="b">
        <v>0</v>
      </c>
      <c r="M84" s="55" t="b">
        <v>0</v>
      </c>
      <c r="N84" t="s">
        <v>551</v>
      </c>
    </row>
    <row r="85" spans="1:14" hidden="1" x14ac:dyDescent="0.25">
      <c r="A85" t="s">
        <v>348</v>
      </c>
      <c r="B85">
        <v>310</v>
      </c>
      <c r="C85" t="b">
        <v>0</v>
      </c>
      <c r="D85" t="b">
        <v>0</v>
      </c>
      <c r="E85" t="b">
        <v>0</v>
      </c>
      <c r="F85" t="b">
        <v>0</v>
      </c>
      <c r="G85" t="b">
        <v>1</v>
      </c>
      <c r="H85" t="b">
        <v>1</v>
      </c>
      <c r="I85">
        <v>4</v>
      </c>
      <c r="J85">
        <v>5</v>
      </c>
      <c r="K85" t="b">
        <v>1</v>
      </c>
      <c r="L85" t="b">
        <v>0</v>
      </c>
      <c r="M85" t="b">
        <v>0</v>
      </c>
      <c r="N85" t="s">
        <v>552</v>
      </c>
    </row>
    <row r="86" spans="1:14" hidden="1" x14ac:dyDescent="0.25">
      <c r="A86" t="s">
        <v>350</v>
      </c>
      <c r="B86">
        <v>310</v>
      </c>
      <c r="C86" t="b">
        <v>0</v>
      </c>
      <c r="D86" t="b">
        <v>0</v>
      </c>
      <c r="E86" t="b">
        <v>0</v>
      </c>
      <c r="F86" t="b">
        <v>0</v>
      </c>
      <c r="G86" t="b">
        <v>1</v>
      </c>
      <c r="H86" t="b">
        <v>1</v>
      </c>
      <c r="I86">
        <v>5</v>
      </c>
      <c r="J86">
        <v>5</v>
      </c>
      <c r="K86" t="b">
        <v>1</v>
      </c>
      <c r="L86" t="b">
        <v>0</v>
      </c>
      <c r="M86" t="b">
        <v>0</v>
      </c>
      <c r="N86" t="s">
        <v>553</v>
      </c>
    </row>
    <row r="87" spans="1:14" hidden="1" x14ac:dyDescent="0.25">
      <c r="A87" t="s">
        <v>352</v>
      </c>
      <c r="B87">
        <v>310</v>
      </c>
      <c r="C87" t="b">
        <v>0</v>
      </c>
      <c r="D87" t="b">
        <v>0</v>
      </c>
      <c r="E87" t="b">
        <v>0</v>
      </c>
      <c r="F87" t="b">
        <v>0</v>
      </c>
      <c r="G87" t="b">
        <v>1</v>
      </c>
      <c r="H87" t="b">
        <v>0</v>
      </c>
      <c r="I87">
        <v>6</v>
      </c>
      <c r="J87">
        <v>25</v>
      </c>
      <c r="K87" t="b">
        <v>0</v>
      </c>
      <c r="L87" t="b">
        <v>0</v>
      </c>
      <c r="M87" t="b">
        <v>0</v>
      </c>
      <c r="N87" t="s">
        <v>482</v>
      </c>
    </row>
    <row r="88" spans="1:14" hidden="1" x14ac:dyDescent="0.25">
      <c r="A88" t="s">
        <v>354</v>
      </c>
      <c r="B88">
        <v>311</v>
      </c>
      <c r="C88" t="b">
        <v>0</v>
      </c>
      <c r="D88" t="b">
        <v>0</v>
      </c>
      <c r="E88" t="b">
        <v>0</v>
      </c>
      <c r="F88" t="b">
        <v>1</v>
      </c>
      <c r="G88" t="b">
        <v>1</v>
      </c>
      <c r="H88" t="b">
        <v>1</v>
      </c>
      <c r="I88">
        <v>1</v>
      </c>
      <c r="J88">
        <v>15</v>
      </c>
      <c r="K88" t="b">
        <v>1</v>
      </c>
      <c r="L88" t="b">
        <v>0</v>
      </c>
      <c r="M88" t="b">
        <v>0</v>
      </c>
      <c r="N88" t="s">
        <v>554</v>
      </c>
    </row>
    <row r="89" spans="1:14" hidden="1" x14ac:dyDescent="0.25">
      <c r="A89" t="s">
        <v>356</v>
      </c>
      <c r="B89">
        <v>311</v>
      </c>
      <c r="C89" t="b">
        <v>1</v>
      </c>
      <c r="D89" t="b">
        <v>0</v>
      </c>
      <c r="E89" t="b">
        <v>0</v>
      </c>
      <c r="F89" t="b">
        <v>0</v>
      </c>
      <c r="G89" t="b">
        <v>0</v>
      </c>
      <c r="H89" t="b">
        <v>1</v>
      </c>
      <c r="I89">
        <v>2</v>
      </c>
      <c r="J89">
        <v>0</v>
      </c>
      <c r="K89" t="b">
        <v>0</v>
      </c>
      <c r="L89" t="b">
        <v>0</v>
      </c>
      <c r="M89" t="b">
        <v>0</v>
      </c>
      <c r="N89" t="s">
        <v>482</v>
      </c>
    </row>
    <row r="90" spans="1:14" hidden="1" x14ac:dyDescent="0.25">
      <c r="A90" t="s">
        <v>357</v>
      </c>
      <c r="B90">
        <v>311</v>
      </c>
      <c r="C90" t="b">
        <v>0</v>
      </c>
      <c r="D90" t="b">
        <v>0</v>
      </c>
      <c r="E90" t="b">
        <v>0</v>
      </c>
      <c r="F90" t="b">
        <v>1</v>
      </c>
      <c r="G90" t="b">
        <v>1</v>
      </c>
      <c r="H90" t="b">
        <v>1</v>
      </c>
      <c r="I90">
        <v>3</v>
      </c>
      <c r="J90">
        <v>5</v>
      </c>
      <c r="K90" t="b">
        <v>1</v>
      </c>
      <c r="L90" t="b">
        <v>0</v>
      </c>
      <c r="M90" t="b">
        <v>0</v>
      </c>
      <c r="N90" t="s">
        <v>555</v>
      </c>
    </row>
    <row r="91" spans="1:14" hidden="1" x14ac:dyDescent="0.25">
      <c r="A91" t="s">
        <v>359</v>
      </c>
      <c r="B91">
        <v>311</v>
      </c>
      <c r="C91" t="b">
        <v>0</v>
      </c>
      <c r="D91" t="b">
        <v>0</v>
      </c>
      <c r="E91" t="b">
        <v>0</v>
      </c>
      <c r="F91" t="b">
        <v>0</v>
      </c>
      <c r="G91" t="b">
        <v>1</v>
      </c>
      <c r="H91" t="b">
        <v>1</v>
      </c>
      <c r="I91">
        <v>4</v>
      </c>
      <c r="J91">
        <v>5</v>
      </c>
      <c r="K91" t="b">
        <v>1</v>
      </c>
      <c r="L91" t="b">
        <v>0</v>
      </c>
      <c r="M91" t="b">
        <v>0</v>
      </c>
      <c r="N91" t="s">
        <v>555</v>
      </c>
    </row>
    <row r="92" spans="1:14" hidden="1" x14ac:dyDescent="0.25">
      <c r="A92" t="s">
        <v>361</v>
      </c>
      <c r="B92">
        <v>311</v>
      </c>
      <c r="C92" t="b">
        <v>0</v>
      </c>
      <c r="D92" t="b">
        <v>1</v>
      </c>
      <c r="E92" t="b">
        <v>1</v>
      </c>
      <c r="F92" t="b">
        <v>0</v>
      </c>
      <c r="G92" t="b">
        <v>1</v>
      </c>
      <c r="H92" t="b">
        <v>1</v>
      </c>
      <c r="I92">
        <v>5</v>
      </c>
      <c r="J92">
        <v>18</v>
      </c>
      <c r="K92" t="b">
        <v>1</v>
      </c>
      <c r="L92" t="b">
        <v>0</v>
      </c>
      <c r="M92" t="b">
        <v>0</v>
      </c>
      <c r="N92" t="s">
        <v>556</v>
      </c>
    </row>
    <row r="93" spans="1:14" hidden="1" x14ac:dyDescent="0.25">
      <c r="A93" t="s">
        <v>366</v>
      </c>
      <c r="B93">
        <v>309</v>
      </c>
      <c r="C93" t="b">
        <v>1</v>
      </c>
      <c r="D93" t="b">
        <v>0</v>
      </c>
      <c r="E93" t="b">
        <v>0</v>
      </c>
      <c r="F93" t="b">
        <v>0</v>
      </c>
      <c r="G93" t="b">
        <v>0</v>
      </c>
      <c r="H93" t="b">
        <v>1</v>
      </c>
      <c r="I93">
        <v>1</v>
      </c>
      <c r="J93">
        <v>0</v>
      </c>
      <c r="K93" t="b">
        <v>0</v>
      </c>
      <c r="L93" t="b">
        <v>0</v>
      </c>
      <c r="M93" t="b">
        <v>0</v>
      </c>
      <c r="N93" t="s">
        <v>482</v>
      </c>
    </row>
    <row r="94" spans="1:14" hidden="1" x14ac:dyDescent="0.25">
      <c r="A94" t="s">
        <v>367</v>
      </c>
      <c r="B94">
        <v>309</v>
      </c>
      <c r="C94" t="b">
        <v>0</v>
      </c>
      <c r="D94" t="b">
        <v>0</v>
      </c>
      <c r="E94" t="b">
        <v>0</v>
      </c>
      <c r="F94" t="b">
        <v>0</v>
      </c>
      <c r="G94" t="b">
        <v>1</v>
      </c>
      <c r="H94" t="b">
        <v>1</v>
      </c>
      <c r="I94">
        <v>2</v>
      </c>
      <c r="J94">
        <v>5</v>
      </c>
      <c r="K94" t="b">
        <v>1</v>
      </c>
      <c r="L94" t="b">
        <v>0</v>
      </c>
      <c r="M94" t="b">
        <v>0</v>
      </c>
      <c r="N94" t="s">
        <v>557</v>
      </c>
    </row>
    <row r="95" spans="1:14" hidden="1" x14ac:dyDescent="0.25">
      <c r="A95" t="s">
        <v>368</v>
      </c>
      <c r="B95">
        <v>309</v>
      </c>
      <c r="C95" t="b">
        <v>0</v>
      </c>
      <c r="D95" t="b">
        <v>0</v>
      </c>
      <c r="E95" t="b">
        <v>0</v>
      </c>
      <c r="F95" t="b">
        <v>0</v>
      </c>
      <c r="G95" t="b">
        <v>1</v>
      </c>
      <c r="H95" t="b">
        <v>1</v>
      </c>
      <c r="I95">
        <v>3</v>
      </c>
      <c r="J95">
        <v>5</v>
      </c>
      <c r="K95" t="b">
        <v>1</v>
      </c>
      <c r="L95" t="b">
        <v>0</v>
      </c>
      <c r="M95" t="b">
        <v>0</v>
      </c>
      <c r="N95" t="s">
        <v>558</v>
      </c>
    </row>
    <row r="96" spans="1:14" hidden="1" x14ac:dyDescent="0.25">
      <c r="A96" t="s">
        <v>369</v>
      </c>
      <c r="B96">
        <v>309</v>
      </c>
      <c r="C96" t="b">
        <v>0</v>
      </c>
      <c r="D96" t="b">
        <v>0</v>
      </c>
      <c r="E96" t="b">
        <v>0</v>
      </c>
      <c r="F96" t="b">
        <v>0</v>
      </c>
      <c r="G96" t="b">
        <v>1</v>
      </c>
      <c r="H96" t="b">
        <v>1</v>
      </c>
      <c r="I96">
        <v>4</v>
      </c>
      <c r="J96">
        <v>5</v>
      </c>
      <c r="K96" t="b">
        <v>1</v>
      </c>
      <c r="L96" t="b">
        <v>0</v>
      </c>
      <c r="M96" t="b">
        <v>0</v>
      </c>
      <c r="N96" t="s">
        <v>559</v>
      </c>
    </row>
    <row r="97" spans="1:14" hidden="1" x14ac:dyDescent="0.25">
      <c r="A97" t="s">
        <v>370</v>
      </c>
      <c r="B97">
        <v>309</v>
      </c>
      <c r="C97" t="b">
        <v>0</v>
      </c>
      <c r="D97" t="b">
        <v>0</v>
      </c>
      <c r="E97" t="b">
        <v>0</v>
      </c>
      <c r="F97" t="b">
        <v>0</v>
      </c>
      <c r="G97" t="b">
        <v>1</v>
      </c>
      <c r="H97" t="b">
        <v>1</v>
      </c>
      <c r="I97">
        <v>5</v>
      </c>
      <c r="J97">
        <v>5</v>
      </c>
      <c r="K97" t="b">
        <v>1</v>
      </c>
      <c r="L97" t="b">
        <v>0</v>
      </c>
      <c r="M97" t="b">
        <v>0</v>
      </c>
      <c r="N97" t="s">
        <v>560</v>
      </c>
    </row>
    <row r="98" spans="1:14" hidden="1" x14ac:dyDescent="0.25">
      <c r="A98" t="s">
        <v>371</v>
      </c>
      <c r="B98">
        <v>309</v>
      </c>
      <c r="C98" t="b">
        <v>0</v>
      </c>
      <c r="D98" t="b">
        <v>1</v>
      </c>
      <c r="E98" t="b">
        <v>1</v>
      </c>
      <c r="F98" t="b">
        <v>0</v>
      </c>
      <c r="G98" t="b">
        <v>1</v>
      </c>
      <c r="H98" t="b">
        <v>1</v>
      </c>
      <c r="I98">
        <v>6</v>
      </c>
      <c r="J98">
        <v>18</v>
      </c>
      <c r="K98" t="b">
        <v>1</v>
      </c>
      <c r="L98" t="b">
        <v>0</v>
      </c>
      <c r="M98" t="b">
        <v>0</v>
      </c>
      <c r="N98" t="s">
        <v>561</v>
      </c>
    </row>
    <row r="99" spans="1:14" x14ac:dyDescent="0.25">
      <c r="A99" t="s">
        <v>376</v>
      </c>
      <c r="B99">
        <v>319</v>
      </c>
      <c r="C99" t="b">
        <v>0</v>
      </c>
      <c r="D99" t="b">
        <v>0</v>
      </c>
      <c r="E99" t="b">
        <v>0</v>
      </c>
      <c r="F99" t="b">
        <v>0</v>
      </c>
      <c r="G99" t="b">
        <v>1</v>
      </c>
      <c r="H99" t="b">
        <v>1</v>
      </c>
      <c r="I99">
        <v>1</v>
      </c>
      <c r="J99">
        <v>20</v>
      </c>
      <c r="K99" t="b">
        <v>1</v>
      </c>
      <c r="L99" t="b">
        <v>1</v>
      </c>
      <c r="M99" t="b">
        <v>0</v>
      </c>
      <c r="N99" t="s">
        <v>562</v>
      </c>
    </row>
    <row r="100" spans="1:14" hidden="1" x14ac:dyDescent="0.25">
      <c r="A100" t="s">
        <v>378</v>
      </c>
      <c r="B100">
        <v>319</v>
      </c>
      <c r="C100" t="b">
        <v>1</v>
      </c>
      <c r="D100" t="b">
        <v>0</v>
      </c>
      <c r="E100" t="b">
        <v>0</v>
      </c>
      <c r="F100" t="b">
        <v>0</v>
      </c>
      <c r="G100" t="b">
        <v>0</v>
      </c>
      <c r="H100" t="b">
        <v>1</v>
      </c>
      <c r="I100">
        <v>2</v>
      </c>
      <c r="J100">
        <v>0</v>
      </c>
      <c r="K100" t="b">
        <v>0</v>
      </c>
      <c r="L100" t="b">
        <v>0</v>
      </c>
      <c r="M100" t="b">
        <v>0</v>
      </c>
      <c r="N100" t="s">
        <v>482</v>
      </c>
    </row>
    <row r="101" spans="1:14" hidden="1" x14ac:dyDescent="0.25">
      <c r="A101" t="s">
        <v>379</v>
      </c>
      <c r="B101">
        <v>319</v>
      </c>
      <c r="C101" t="b">
        <v>0</v>
      </c>
      <c r="D101" t="b">
        <v>0</v>
      </c>
      <c r="E101" t="b">
        <v>0</v>
      </c>
      <c r="F101" t="b">
        <v>0</v>
      </c>
      <c r="G101" t="b">
        <v>1</v>
      </c>
      <c r="H101" t="b">
        <v>1</v>
      </c>
      <c r="I101">
        <v>3</v>
      </c>
      <c r="J101">
        <v>5</v>
      </c>
      <c r="K101" t="b">
        <v>1</v>
      </c>
      <c r="L101" t="b">
        <v>0</v>
      </c>
      <c r="M101" t="b">
        <v>0</v>
      </c>
      <c r="N101" t="s">
        <v>563</v>
      </c>
    </row>
    <row r="102" spans="1:14" hidden="1" x14ac:dyDescent="0.25">
      <c r="A102" t="s">
        <v>381</v>
      </c>
      <c r="B102">
        <v>319</v>
      </c>
      <c r="C102" t="b">
        <v>0</v>
      </c>
      <c r="D102" t="b">
        <v>0</v>
      </c>
      <c r="E102" t="b">
        <v>0</v>
      </c>
      <c r="F102" t="b">
        <v>0</v>
      </c>
      <c r="G102" t="b">
        <v>1</v>
      </c>
      <c r="H102" t="b">
        <v>1</v>
      </c>
      <c r="I102">
        <v>4</v>
      </c>
      <c r="J102">
        <v>5</v>
      </c>
      <c r="K102" s="60" t="b">
        <v>0</v>
      </c>
      <c r="L102" t="b">
        <v>0</v>
      </c>
      <c r="M102" t="b">
        <v>0</v>
      </c>
      <c r="N102" t="s">
        <v>564</v>
      </c>
    </row>
    <row r="103" spans="1:14" hidden="1" x14ac:dyDescent="0.25">
      <c r="A103" t="s">
        <v>382</v>
      </c>
      <c r="B103">
        <v>319</v>
      </c>
      <c r="C103" t="b">
        <v>0</v>
      </c>
      <c r="D103" t="b">
        <v>0</v>
      </c>
      <c r="E103" t="b">
        <v>0</v>
      </c>
      <c r="F103" t="b">
        <v>0</v>
      </c>
      <c r="G103" t="b">
        <v>1</v>
      </c>
      <c r="H103" t="b">
        <v>1</v>
      </c>
      <c r="I103">
        <v>5</v>
      </c>
      <c r="J103">
        <v>5</v>
      </c>
      <c r="K103" t="b">
        <v>1</v>
      </c>
      <c r="L103" t="b">
        <v>0</v>
      </c>
      <c r="M103" t="b">
        <v>0</v>
      </c>
      <c r="N103" t="s">
        <v>565</v>
      </c>
    </row>
    <row r="104" spans="1:14" hidden="1" x14ac:dyDescent="0.25">
      <c r="A104" t="s">
        <v>384</v>
      </c>
      <c r="B104">
        <v>319</v>
      </c>
      <c r="C104" t="b">
        <v>1</v>
      </c>
      <c r="D104" t="b">
        <v>0</v>
      </c>
      <c r="E104" t="b">
        <v>0</v>
      </c>
      <c r="F104" t="b">
        <v>0</v>
      </c>
      <c r="G104" t="b">
        <v>0</v>
      </c>
      <c r="H104" t="b">
        <v>1</v>
      </c>
      <c r="I104">
        <v>6</v>
      </c>
      <c r="J104">
        <v>0</v>
      </c>
      <c r="K104" t="b">
        <v>0</v>
      </c>
      <c r="L104" t="b">
        <v>0</v>
      </c>
      <c r="M104" t="b">
        <v>0</v>
      </c>
      <c r="N104" t="s">
        <v>482</v>
      </c>
    </row>
    <row r="105" spans="1:14" hidden="1" x14ac:dyDescent="0.25">
      <c r="A105" t="s">
        <v>385</v>
      </c>
      <c r="B105">
        <v>319</v>
      </c>
      <c r="C105" t="b">
        <v>0</v>
      </c>
      <c r="D105" t="b">
        <v>0</v>
      </c>
      <c r="E105" t="b">
        <v>0</v>
      </c>
      <c r="F105" t="b">
        <v>0</v>
      </c>
      <c r="G105" t="b">
        <v>1</v>
      </c>
      <c r="H105" t="b">
        <v>1</v>
      </c>
      <c r="I105">
        <v>7</v>
      </c>
      <c r="J105">
        <v>15</v>
      </c>
      <c r="K105" t="b">
        <v>1</v>
      </c>
      <c r="L105" t="b">
        <v>0</v>
      </c>
      <c r="M105" t="b">
        <v>0</v>
      </c>
      <c r="N105" t="s">
        <v>566</v>
      </c>
    </row>
    <row r="106" spans="1:14" hidden="1" x14ac:dyDescent="0.25">
      <c r="A106" t="s">
        <v>387</v>
      </c>
      <c r="B106">
        <v>319</v>
      </c>
      <c r="C106" t="b">
        <v>0</v>
      </c>
      <c r="D106" t="b">
        <v>0</v>
      </c>
      <c r="E106" t="b">
        <v>0</v>
      </c>
      <c r="F106" t="b">
        <v>0</v>
      </c>
      <c r="G106" t="b">
        <v>1</v>
      </c>
      <c r="H106" t="b">
        <v>1</v>
      </c>
      <c r="I106">
        <v>8</v>
      </c>
      <c r="J106">
        <v>15</v>
      </c>
      <c r="K106" t="b">
        <v>1</v>
      </c>
      <c r="L106" t="b">
        <v>0</v>
      </c>
      <c r="M106" t="b">
        <v>0</v>
      </c>
      <c r="N106" t="s">
        <v>567</v>
      </c>
    </row>
    <row r="107" spans="1:14" hidden="1" x14ac:dyDescent="0.25">
      <c r="A107" t="s">
        <v>389</v>
      </c>
      <c r="B107">
        <v>319</v>
      </c>
      <c r="C107" t="b">
        <v>0</v>
      </c>
      <c r="D107" t="b">
        <v>1</v>
      </c>
      <c r="E107" t="b">
        <v>1</v>
      </c>
      <c r="F107" t="b">
        <v>0</v>
      </c>
      <c r="G107" t="b">
        <v>1</v>
      </c>
      <c r="H107" t="b">
        <v>1</v>
      </c>
      <c r="I107">
        <v>9</v>
      </c>
      <c r="J107">
        <v>18</v>
      </c>
      <c r="K107" t="b">
        <v>1</v>
      </c>
      <c r="L107" t="b">
        <v>0</v>
      </c>
      <c r="M107" t="b">
        <v>0</v>
      </c>
      <c r="N107" t="s">
        <v>568</v>
      </c>
    </row>
    <row r="108" spans="1:14" hidden="1" x14ac:dyDescent="0.25">
      <c r="A108" t="s">
        <v>396</v>
      </c>
      <c r="B108">
        <v>320</v>
      </c>
      <c r="C108" t="b">
        <v>0</v>
      </c>
      <c r="D108" t="b">
        <v>1</v>
      </c>
      <c r="E108" t="b">
        <v>1</v>
      </c>
      <c r="F108" t="b">
        <v>1</v>
      </c>
      <c r="G108" t="b">
        <v>1</v>
      </c>
      <c r="H108" t="b">
        <v>1</v>
      </c>
      <c r="I108">
        <v>1</v>
      </c>
      <c r="J108">
        <v>5</v>
      </c>
      <c r="K108" t="b">
        <v>1</v>
      </c>
      <c r="L108" t="b">
        <v>0</v>
      </c>
      <c r="M108" t="b">
        <v>0</v>
      </c>
      <c r="N108" t="s">
        <v>569</v>
      </c>
    </row>
    <row r="109" spans="1:14" hidden="1" x14ac:dyDescent="0.25">
      <c r="A109" t="s">
        <v>399</v>
      </c>
      <c r="B109">
        <v>320</v>
      </c>
      <c r="C109" t="b">
        <v>0</v>
      </c>
      <c r="D109" t="b">
        <v>1</v>
      </c>
      <c r="E109" t="b">
        <v>1</v>
      </c>
      <c r="F109" t="b">
        <v>1</v>
      </c>
      <c r="G109" t="b">
        <v>1</v>
      </c>
      <c r="H109" t="b">
        <v>1</v>
      </c>
      <c r="I109">
        <v>2</v>
      </c>
      <c r="J109">
        <v>5</v>
      </c>
      <c r="K109" t="b">
        <v>1</v>
      </c>
      <c r="L109" t="b">
        <v>0</v>
      </c>
      <c r="M109" t="b">
        <v>0</v>
      </c>
      <c r="N109" t="s">
        <v>570</v>
      </c>
    </row>
    <row r="110" spans="1:14" hidden="1" x14ac:dyDescent="0.25">
      <c r="A110" t="s">
        <v>403</v>
      </c>
      <c r="B110">
        <v>322</v>
      </c>
      <c r="C110" t="b">
        <v>0</v>
      </c>
      <c r="D110" t="b">
        <v>0</v>
      </c>
      <c r="E110" t="b">
        <v>0</v>
      </c>
      <c r="F110" t="b">
        <v>1</v>
      </c>
      <c r="G110" t="b">
        <v>1</v>
      </c>
      <c r="H110" t="b">
        <v>1</v>
      </c>
      <c r="I110">
        <v>1</v>
      </c>
      <c r="J110">
        <v>5</v>
      </c>
      <c r="K110" t="b">
        <v>1</v>
      </c>
      <c r="L110" t="b">
        <v>0</v>
      </c>
      <c r="M110" t="b">
        <v>0</v>
      </c>
      <c r="N110" t="s">
        <v>571</v>
      </c>
    </row>
    <row r="111" spans="1:14" hidden="1" x14ac:dyDescent="0.25">
      <c r="A111" t="s">
        <v>405</v>
      </c>
      <c r="B111">
        <v>322</v>
      </c>
      <c r="C111" t="b">
        <v>0</v>
      </c>
      <c r="D111" t="b">
        <v>0</v>
      </c>
      <c r="E111" t="b">
        <v>0</v>
      </c>
      <c r="F111" t="b">
        <v>1</v>
      </c>
      <c r="G111" t="b">
        <v>1</v>
      </c>
      <c r="H111" t="b">
        <v>1</v>
      </c>
      <c r="I111">
        <v>2</v>
      </c>
      <c r="J111">
        <v>5</v>
      </c>
      <c r="K111" t="b">
        <v>1</v>
      </c>
      <c r="L111" t="b">
        <v>0</v>
      </c>
      <c r="M111" t="b">
        <v>0</v>
      </c>
      <c r="N111" t="s">
        <v>572</v>
      </c>
    </row>
    <row r="112" spans="1:14" x14ac:dyDescent="0.25">
      <c r="A112" t="s">
        <v>408</v>
      </c>
      <c r="B112">
        <v>321</v>
      </c>
      <c r="C112" t="b">
        <v>0</v>
      </c>
      <c r="D112" t="b">
        <v>0</v>
      </c>
      <c r="E112" t="b">
        <v>0</v>
      </c>
      <c r="F112" t="b">
        <v>0</v>
      </c>
      <c r="G112" t="b">
        <v>1</v>
      </c>
      <c r="H112" t="b">
        <v>1</v>
      </c>
      <c r="I112">
        <v>1</v>
      </c>
      <c r="J112">
        <v>20</v>
      </c>
      <c r="K112" t="b">
        <v>0</v>
      </c>
      <c r="L112" t="b">
        <v>1</v>
      </c>
      <c r="M112" t="b">
        <v>1</v>
      </c>
      <c r="N112" t="s">
        <v>573</v>
      </c>
    </row>
    <row r="113" spans="1:14" hidden="1" x14ac:dyDescent="0.25">
      <c r="A113" t="s">
        <v>410</v>
      </c>
      <c r="B113">
        <v>321</v>
      </c>
      <c r="C113" t="b">
        <v>1</v>
      </c>
      <c r="D113" t="b">
        <v>0</v>
      </c>
      <c r="E113" t="b">
        <v>0</v>
      </c>
      <c r="F113" t="b">
        <v>0</v>
      </c>
      <c r="G113" t="b">
        <v>0</v>
      </c>
      <c r="H113" t="b">
        <v>1</v>
      </c>
      <c r="I113">
        <v>2</v>
      </c>
      <c r="J113">
        <v>0</v>
      </c>
      <c r="K113" t="b">
        <v>0</v>
      </c>
      <c r="L113" t="b">
        <v>0</v>
      </c>
      <c r="M113" t="b">
        <v>0</v>
      </c>
      <c r="N113" t="s">
        <v>482</v>
      </c>
    </row>
    <row r="114" spans="1:14" hidden="1" x14ac:dyDescent="0.25">
      <c r="A114" t="s">
        <v>411</v>
      </c>
      <c r="B114">
        <v>321</v>
      </c>
      <c r="C114" t="b">
        <v>0</v>
      </c>
      <c r="D114" t="b">
        <v>0</v>
      </c>
      <c r="E114" t="b">
        <v>0</v>
      </c>
      <c r="F114" t="b">
        <v>0</v>
      </c>
      <c r="G114" t="b">
        <v>1</v>
      </c>
      <c r="H114" t="b">
        <v>1</v>
      </c>
      <c r="I114">
        <v>3</v>
      </c>
      <c r="J114">
        <v>5</v>
      </c>
      <c r="K114" t="b">
        <v>0</v>
      </c>
      <c r="L114" t="b">
        <v>0</v>
      </c>
      <c r="M114" t="b">
        <v>1</v>
      </c>
      <c r="N114" t="s">
        <v>574</v>
      </c>
    </row>
    <row r="115" spans="1:14" hidden="1" x14ac:dyDescent="0.25">
      <c r="A115" t="s">
        <v>413</v>
      </c>
      <c r="B115">
        <v>321</v>
      </c>
      <c r="C115" t="b">
        <v>0</v>
      </c>
      <c r="D115" t="b">
        <v>0</v>
      </c>
      <c r="E115" t="b">
        <v>0</v>
      </c>
      <c r="F115" t="b">
        <v>0</v>
      </c>
      <c r="G115" t="b">
        <v>1</v>
      </c>
      <c r="H115" t="b">
        <v>1</v>
      </c>
      <c r="I115">
        <v>4</v>
      </c>
      <c r="J115">
        <v>5</v>
      </c>
      <c r="K115" t="b">
        <v>0</v>
      </c>
      <c r="L115" t="b">
        <v>0</v>
      </c>
      <c r="M115" t="b">
        <v>1</v>
      </c>
      <c r="N115" t="s">
        <v>575</v>
      </c>
    </row>
    <row r="116" spans="1:14" hidden="1" x14ac:dyDescent="0.25">
      <c r="A116" t="s">
        <v>415</v>
      </c>
      <c r="B116">
        <v>321</v>
      </c>
      <c r="C116" t="b">
        <v>0</v>
      </c>
      <c r="D116" t="b">
        <v>0</v>
      </c>
      <c r="E116" t="b">
        <v>0</v>
      </c>
      <c r="F116" t="b">
        <v>0</v>
      </c>
      <c r="G116" t="b">
        <v>1</v>
      </c>
      <c r="H116" t="b">
        <v>1</v>
      </c>
      <c r="I116">
        <v>5</v>
      </c>
      <c r="J116">
        <v>5</v>
      </c>
      <c r="K116" t="b">
        <v>0</v>
      </c>
      <c r="L116" t="b">
        <v>0</v>
      </c>
      <c r="M116" t="b">
        <v>1</v>
      </c>
      <c r="N116" t="s">
        <v>576</v>
      </c>
    </row>
    <row r="117" spans="1:14" hidden="1" x14ac:dyDescent="0.25">
      <c r="A117" t="s">
        <v>416</v>
      </c>
      <c r="B117">
        <v>321</v>
      </c>
      <c r="C117" t="b">
        <v>0</v>
      </c>
      <c r="D117" t="b">
        <v>0</v>
      </c>
      <c r="E117" t="b">
        <v>0</v>
      </c>
      <c r="F117" t="b">
        <v>0</v>
      </c>
      <c r="G117" t="b">
        <v>1</v>
      </c>
      <c r="H117" t="b">
        <v>1</v>
      </c>
      <c r="I117">
        <v>6</v>
      </c>
      <c r="J117">
        <v>5</v>
      </c>
      <c r="K117" t="b">
        <v>0</v>
      </c>
      <c r="L117" t="b">
        <v>0</v>
      </c>
      <c r="M117" t="b">
        <v>1</v>
      </c>
      <c r="N117" t="s">
        <v>577</v>
      </c>
    </row>
    <row r="118" spans="1:14" hidden="1" x14ac:dyDescent="0.25">
      <c r="A118" t="s">
        <v>418</v>
      </c>
      <c r="B118">
        <v>321</v>
      </c>
      <c r="C118" t="b">
        <v>0</v>
      </c>
      <c r="D118" t="b">
        <v>0</v>
      </c>
      <c r="E118" t="b">
        <v>0</v>
      </c>
      <c r="F118" t="b">
        <v>0</v>
      </c>
      <c r="G118" t="b">
        <v>1</v>
      </c>
      <c r="H118" t="b">
        <v>1</v>
      </c>
      <c r="I118">
        <v>7</v>
      </c>
      <c r="J118">
        <v>5</v>
      </c>
      <c r="K118" t="b">
        <v>0</v>
      </c>
      <c r="L118" t="b">
        <v>0</v>
      </c>
      <c r="M118" t="b">
        <v>1</v>
      </c>
      <c r="N118" t="s">
        <v>578</v>
      </c>
    </row>
    <row r="119" spans="1:14" hidden="1" x14ac:dyDescent="0.25">
      <c r="A119" t="s">
        <v>419</v>
      </c>
      <c r="B119">
        <v>321</v>
      </c>
      <c r="C119" t="b">
        <v>0</v>
      </c>
      <c r="D119" t="b">
        <v>0</v>
      </c>
      <c r="E119" t="b">
        <v>0</v>
      </c>
      <c r="F119" t="b">
        <v>0</v>
      </c>
      <c r="G119" t="b">
        <v>1</v>
      </c>
      <c r="H119" t="b">
        <v>1</v>
      </c>
      <c r="I119">
        <v>8</v>
      </c>
      <c r="J119">
        <v>18</v>
      </c>
      <c r="K119" t="b">
        <v>0</v>
      </c>
      <c r="L119" t="b">
        <v>0</v>
      </c>
      <c r="M119" t="b">
        <v>1</v>
      </c>
      <c r="N119" t="s">
        <v>579</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03C9-39C8-40DF-BD6C-FFFD224CCE8E}">
  <dimension ref="B1:AU119"/>
  <sheetViews>
    <sheetView workbookViewId="0"/>
  </sheetViews>
  <sheetFormatPr defaultRowHeight="17.25" customHeight="1" x14ac:dyDescent="0.25"/>
  <cols>
    <col min="2" max="2" width="97.7109375" customWidth="1"/>
    <col min="3" max="3" width="12.28515625" bestFit="1" customWidth="1"/>
    <col min="5" max="5" width="9.28515625" customWidth="1"/>
    <col min="6" max="6" width="19.7109375" customWidth="1"/>
    <col min="7" max="7" width="27.5703125" customWidth="1"/>
    <col min="8" max="8" width="12.28515625" customWidth="1"/>
    <col min="9" max="11" width="9.28515625" customWidth="1"/>
    <col min="12" max="12" width="12.28515625" customWidth="1"/>
    <col min="13" max="15" width="9.28515625" customWidth="1"/>
    <col min="16" max="16" width="12.28515625" customWidth="1"/>
    <col min="17" max="18" width="9.28515625" customWidth="1"/>
    <col min="19" max="19" width="24.5703125" customWidth="1"/>
    <col min="20" max="20" width="25.28515625" customWidth="1"/>
    <col min="21" max="21" width="12.28515625" customWidth="1"/>
    <col min="22" max="24" width="9.28515625" customWidth="1"/>
    <col min="27" max="27" width="12.28515625" bestFit="1" customWidth="1"/>
    <col min="33" max="33" width="12.28515625" bestFit="1" customWidth="1"/>
    <col min="38" max="38" width="12.28515625" bestFit="1" customWidth="1"/>
    <col min="43" max="43" width="12.28515625" bestFit="1" customWidth="1"/>
    <col min="47" max="47" width="12.28515625" bestFit="1" customWidth="1"/>
  </cols>
  <sheetData>
    <row r="1" spans="2:47" ht="17.25" customHeight="1" x14ac:dyDescent="0.25">
      <c r="C1" t="s">
        <v>580</v>
      </c>
      <c r="H1" t="s">
        <v>581</v>
      </c>
      <c r="L1" t="s">
        <v>581</v>
      </c>
      <c r="P1" t="s">
        <v>581</v>
      </c>
      <c r="Y1" t="s">
        <v>582</v>
      </c>
      <c r="Z1" t="s">
        <v>583</v>
      </c>
      <c r="AA1" t="s">
        <v>581</v>
      </c>
    </row>
    <row r="2" spans="2:47" ht="17.25" customHeight="1" x14ac:dyDescent="0.25">
      <c r="B2" s="1" t="s">
        <v>149</v>
      </c>
      <c r="C2" t="b">
        <f>B2=Tabela_3__Validação_da_Tabela_PerguntaFormularioTipoAvaliacao[[#This Row],[DescTituloPerguntaFormularioTipoAvaliacao]]</f>
        <v>1</v>
      </c>
      <c r="F2" s="51" t="s">
        <v>153</v>
      </c>
      <c r="G2" s="3" t="s">
        <v>153</v>
      </c>
      <c r="H2" t="b">
        <f>F2=G2</f>
        <v>1</v>
      </c>
      <c r="J2" s="51" t="s">
        <v>168</v>
      </c>
      <c r="K2" s="3" t="s">
        <v>168</v>
      </c>
      <c r="L2" t="b">
        <f>J2=K2</f>
        <v>1</v>
      </c>
      <c r="N2" s="52">
        <v>15</v>
      </c>
      <c r="O2" s="2">
        <v>15</v>
      </c>
      <c r="P2" t="b">
        <f>N2=O2</f>
        <v>1</v>
      </c>
      <c r="S2" s="51" t="s">
        <v>163</v>
      </c>
      <c r="T2" s="4" t="s">
        <v>163</v>
      </c>
      <c r="U2" t="b">
        <f>S2=T2</f>
        <v>1</v>
      </c>
      <c r="Y2" s="58" t="s">
        <v>475</v>
      </c>
      <c r="Z2" s="3" t="s">
        <v>475</v>
      </c>
      <c r="AA2" t="b">
        <f>Y2=Z2</f>
        <v>1</v>
      </c>
      <c r="AE2" s="51" t="s">
        <v>174</v>
      </c>
      <c r="AF2" s="3" t="s">
        <v>174</v>
      </c>
      <c r="AG2" t="b">
        <f>AE2=AF2</f>
        <v>1</v>
      </c>
      <c r="AJ2" s="52" t="s">
        <v>7</v>
      </c>
      <c r="AK2" s="1" t="s">
        <v>7</v>
      </c>
      <c r="AL2" t="b">
        <f>AJ2=AK2</f>
        <v>1</v>
      </c>
      <c r="AO2" s="52" t="s">
        <v>8</v>
      </c>
      <c r="AP2" s="1" t="s">
        <v>8</v>
      </c>
      <c r="AQ2" t="b">
        <f>AO2=AP2</f>
        <v>1</v>
      </c>
      <c r="AS2" s="52" t="s">
        <v>147</v>
      </c>
      <c r="AT2" s="30" t="s">
        <v>147</v>
      </c>
      <c r="AU2" t="b">
        <f>AS2=AT2</f>
        <v>1</v>
      </c>
    </row>
    <row r="3" spans="2:47" ht="17.25" customHeight="1" x14ac:dyDescent="0.25">
      <c r="B3" s="3" t="s">
        <v>153</v>
      </c>
      <c r="C3" t="b">
        <f>B3=Tabela_3__Validação_da_Tabela_PerguntaFormularioTipoAvaliacao[[#This Row],[DescTituloPerguntaFormularioTipoAvaliacao]]</f>
        <v>1</v>
      </c>
      <c r="F3" s="53" t="s">
        <v>159</v>
      </c>
      <c r="G3" s="3" t="s">
        <v>159</v>
      </c>
      <c r="H3" t="b">
        <f t="shared" ref="H3:H18" si="0">F3=G3</f>
        <v>1</v>
      </c>
      <c r="J3" s="53" t="s">
        <v>176</v>
      </c>
      <c r="K3" s="3" t="s">
        <v>176</v>
      </c>
      <c r="L3" t="b">
        <f t="shared" ref="L3:L30" si="1">J3=K3</f>
        <v>1</v>
      </c>
      <c r="N3" s="54">
        <v>18</v>
      </c>
      <c r="O3" s="2">
        <v>18</v>
      </c>
      <c r="P3" t="b">
        <f t="shared" ref="P3:P66" si="2">N3=O3</f>
        <v>1</v>
      </c>
      <c r="T3" s="4" t="s">
        <v>172</v>
      </c>
      <c r="U3" s="60" t="b">
        <f t="shared" ref="U3:U15" si="3">S3=T3</f>
        <v>0</v>
      </c>
      <c r="V3" t="s">
        <v>584</v>
      </c>
      <c r="Y3" s="59" t="s">
        <v>476</v>
      </c>
      <c r="Z3" s="3" t="s">
        <v>476</v>
      </c>
      <c r="AA3" t="b">
        <f t="shared" ref="AA3:AA66" si="4">Y3=Z3</f>
        <v>1</v>
      </c>
      <c r="AE3" s="53" t="s">
        <v>205</v>
      </c>
      <c r="AF3" s="3" t="s">
        <v>205</v>
      </c>
      <c r="AG3" t="b">
        <f t="shared" ref="AG3:AG14" si="5">AE3=AF3</f>
        <v>1</v>
      </c>
      <c r="AJ3" s="54" t="s">
        <v>12</v>
      </c>
      <c r="AK3" s="38" t="s">
        <v>12</v>
      </c>
      <c r="AL3" t="b">
        <f t="shared" ref="AL3:AL43" si="6">AJ3=AK3</f>
        <v>1</v>
      </c>
      <c r="AO3" s="54" t="s">
        <v>585</v>
      </c>
      <c r="AP3" s="38" t="s">
        <v>585</v>
      </c>
      <c r="AQ3" t="b">
        <f t="shared" ref="AQ3:AQ43" si="7">AO3=AP3</f>
        <v>1</v>
      </c>
      <c r="AS3" s="54" t="s">
        <v>162</v>
      </c>
      <c r="AT3" s="30" t="s">
        <v>162</v>
      </c>
      <c r="AU3" t="b">
        <f t="shared" ref="AU3:AU24" si="8">AS3=AT3</f>
        <v>1</v>
      </c>
    </row>
    <row r="4" spans="2:47" ht="17.25" customHeight="1" x14ac:dyDescent="0.25">
      <c r="B4" s="3" t="s">
        <v>159</v>
      </c>
      <c r="C4" t="b">
        <f>B4=Tabela_3__Validação_da_Tabela_PerguntaFormularioTipoAvaliacao[[#This Row],[DescTituloPerguntaFormularioTipoAvaliacao]]</f>
        <v>1</v>
      </c>
      <c r="F4" s="51" t="s">
        <v>166</v>
      </c>
      <c r="G4" s="3" t="s">
        <v>166</v>
      </c>
      <c r="H4" t="b">
        <f t="shared" si="0"/>
        <v>1</v>
      </c>
      <c r="J4" s="51" t="s">
        <v>187</v>
      </c>
      <c r="K4" s="3" t="s">
        <v>187</v>
      </c>
      <c r="L4" t="b">
        <f t="shared" si="1"/>
        <v>1</v>
      </c>
      <c r="N4" s="52">
        <v>15</v>
      </c>
      <c r="O4" s="2">
        <v>15</v>
      </c>
      <c r="P4" t="b">
        <f t="shared" si="2"/>
        <v>1</v>
      </c>
      <c r="S4" s="53" t="s">
        <v>186</v>
      </c>
      <c r="T4" s="4" t="s">
        <v>186</v>
      </c>
      <c r="U4" t="b">
        <f t="shared" si="3"/>
        <v>1</v>
      </c>
      <c r="Y4" s="58" t="s">
        <v>477</v>
      </c>
      <c r="Z4" s="3" t="s">
        <v>477</v>
      </c>
      <c r="AA4" t="b">
        <f t="shared" si="4"/>
        <v>1</v>
      </c>
      <c r="AE4" s="51" t="s">
        <v>227</v>
      </c>
      <c r="AF4" s="3" t="s">
        <v>227</v>
      </c>
      <c r="AG4" t="b">
        <f t="shared" si="5"/>
        <v>1</v>
      </c>
      <c r="AJ4" s="52" t="s">
        <v>16</v>
      </c>
      <c r="AK4" s="1" t="s">
        <v>16</v>
      </c>
      <c r="AL4" t="b">
        <f t="shared" si="6"/>
        <v>1</v>
      </c>
      <c r="AO4" s="52" t="s">
        <v>17</v>
      </c>
      <c r="AP4" s="1" t="s">
        <v>17</v>
      </c>
      <c r="AQ4" t="b">
        <f t="shared" si="7"/>
        <v>1</v>
      </c>
      <c r="AS4" s="52" t="s">
        <v>171</v>
      </c>
      <c r="AT4" s="30" t="s">
        <v>171</v>
      </c>
      <c r="AU4" t="b">
        <f t="shared" si="8"/>
        <v>1</v>
      </c>
    </row>
    <row r="5" spans="2:47" ht="17.25" customHeight="1" x14ac:dyDescent="0.25">
      <c r="B5" s="4" t="s">
        <v>163</v>
      </c>
      <c r="C5" t="b">
        <f>B5=Tabela_3__Validação_da_Tabela_PerguntaFormularioTipoAvaliacao[[#This Row],[DescTituloPerguntaFormularioTipoAvaliacao]]</f>
        <v>1</v>
      </c>
      <c r="F5" s="53" t="s">
        <v>189</v>
      </c>
      <c r="G5" s="3" t="s">
        <v>189</v>
      </c>
      <c r="H5" t="b">
        <f t="shared" si="0"/>
        <v>1</v>
      </c>
      <c r="J5" s="53" t="s">
        <v>195</v>
      </c>
      <c r="K5" s="3" t="s">
        <v>195</v>
      </c>
      <c r="L5" t="b">
        <f t="shared" si="1"/>
        <v>1</v>
      </c>
      <c r="N5" s="54">
        <v>20</v>
      </c>
      <c r="O5" s="2">
        <v>20</v>
      </c>
      <c r="P5" t="b">
        <f t="shared" si="2"/>
        <v>1</v>
      </c>
      <c r="S5" s="51" t="s">
        <v>213</v>
      </c>
      <c r="T5" s="4" t="s">
        <v>213</v>
      </c>
      <c r="U5" t="b">
        <f t="shared" si="3"/>
        <v>1</v>
      </c>
      <c r="Y5" s="59" t="s">
        <v>478</v>
      </c>
      <c r="Z5" s="3" t="s">
        <v>478</v>
      </c>
      <c r="AA5" t="b">
        <f t="shared" si="4"/>
        <v>1</v>
      </c>
      <c r="AE5" s="53" t="s">
        <v>247</v>
      </c>
      <c r="AF5" s="4" t="s">
        <v>247</v>
      </c>
      <c r="AG5" t="b">
        <f t="shared" si="5"/>
        <v>1</v>
      </c>
      <c r="AJ5" s="54" t="s">
        <v>20</v>
      </c>
      <c r="AK5" s="1" t="s">
        <v>20</v>
      </c>
      <c r="AL5" t="b">
        <f t="shared" si="6"/>
        <v>1</v>
      </c>
      <c r="AO5" s="54" t="s">
        <v>586</v>
      </c>
      <c r="AP5" s="1" t="s">
        <v>586</v>
      </c>
      <c r="AQ5" t="b">
        <f t="shared" si="7"/>
        <v>1</v>
      </c>
      <c r="AS5" s="52" t="s">
        <v>185</v>
      </c>
      <c r="AT5" s="30" t="s">
        <v>185</v>
      </c>
      <c r="AU5" t="b">
        <f t="shared" si="8"/>
        <v>1</v>
      </c>
    </row>
    <row r="6" spans="2:47" ht="17.25" customHeight="1" x14ac:dyDescent="0.25">
      <c r="B6" s="3" t="s">
        <v>166</v>
      </c>
      <c r="C6" t="b">
        <f>B6=Tabela_3__Validação_da_Tabela_PerguntaFormularioTipoAvaliacao[[#This Row],[DescTituloPerguntaFormularioTipoAvaliacao]]</f>
        <v>1</v>
      </c>
      <c r="F6" s="51" t="s">
        <v>534</v>
      </c>
      <c r="G6" s="12" t="s">
        <v>534</v>
      </c>
      <c r="H6" t="b">
        <f t="shared" si="0"/>
        <v>1</v>
      </c>
      <c r="J6" s="51" t="s">
        <v>203</v>
      </c>
      <c r="K6" s="3" t="s">
        <v>203</v>
      </c>
      <c r="L6" t="b">
        <f t="shared" si="1"/>
        <v>1</v>
      </c>
      <c r="N6" s="52">
        <v>15</v>
      </c>
      <c r="O6" s="2">
        <v>15</v>
      </c>
      <c r="P6" t="b">
        <f t="shared" si="2"/>
        <v>1</v>
      </c>
      <c r="S6" s="53" t="s">
        <v>225</v>
      </c>
      <c r="T6" s="4" t="s">
        <v>225</v>
      </c>
      <c r="U6" t="b">
        <f t="shared" si="3"/>
        <v>1</v>
      </c>
      <c r="Y6" s="58" t="s">
        <v>479</v>
      </c>
      <c r="Z6" s="3" t="s">
        <v>479</v>
      </c>
      <c r="AA6" t="b">
        <f t="shared" si="4"/>
        <v>1</v>
      </c>
      <c r="AE6" s="51" t="s">
        <v>517</v>
      </c>
      <c r="AF6" s="1" t="s">
        <v>517</v>
      </c>
      <c r="AG6" t="b">
        <f t="shared" si="5"/>
        <v>1</v>
      </c>
      <c r="AJ6" s="52" t="s">
        <v>23</v>
      </c>
      <c r="AK6" s="1" t="s">
        <v>23</v>
      </c>
      <c r="AL6" t="b">
        <f t="shared" si="6"/>
        <v>1</v>
      </c>
      <c r="AO6" s="52" t="s">
        <v>24</v>
      </c>
      <c r="AP6" s="1" t="s">
        <v>24</v>
      </c>
      <c r="AQ6" t="b">
        <f t="shared" si="7"/>
        <v>1</v>
      </c>
      <c r="AS6" s="54" t="s">
        <v>194</v>
      </c>
      <c r="AT6" s="30" t="s">
        <v>194</v>
      </c>
      <c r="AU6" t="b">
        <f t="shared" si="8"/>
        <v>1</v>
      </c>
    </row>
    <row r="7" spans="2:47" ht="17.25" customHeight="1" x14ac:dyDescent="0.25">
      <c r="B7" s="3" t="s">
        <v>168</v>
      </c>
      <c r="C7" t="b">
        <f>B7=Tabela_3__Validação_da_Tabela_PerguntaFormularioTipoAvaliacao[[#This Row],[DescTituloPerguntaFormularioTipoAvaliacao]]</f>
        <v>1</v>
      </c>
      <c r="F7" s="53" t="s">
        <v>299</v>
      </c>
      <c r="G7" s="12" t="s">
        <v>299</v>
      </c>
      <c r="H7" t="b">
        <f t="shared" si="0"/>
        <v>1</v>
      </c>
      <c r="J7" s="53" t="s">
        <v>219</v>
      </c>
      <c r="K7" s="8" t="s">
        <v>219</v>
      </c>
      <c r="L7" t="b">
        <f t="shared" si="1"/>
        <v>1</v>
      </c>
      <c r="N7" s="54">
        <v>18</v>
      </c>
      <c r="O7" s="2">
        <v>18</v>
      </c>
      <c r="P7" t="b">
        <f t="shared" si="2"/>
        <v>1</v>
      </c>
      <c r="S7" s="51" t="s">
        <v>248</v>
      </c>
      <c r="T7" s="4" t="s">
        <v>248</v>
      </c>
      <c r="U7" t="b">
        <f t="shared" si="3"/>
        <v>1</v>
      </c>
      <c r="Y7" s="59" t="s">
        <v>480</v>
      </c>
      <c r="Z7" s="3" t="s">
        <v>480</v>
      </c>
      <c r="AA7" t="b">
        <f t="shared" si="4"/>
        <v>1</v>
      </c>
      <c r="AE7" s="53" t="s">
        <v>313</v>
      </c>
      <c r="AF7" s="4" t="s">
        <v>313</v>
      </c>
      <c r="AG7" t="b">
        <f t="shared" si="5"/>
        <v>1</v>
      </c>
      <c r="AJ7" s="54" t="s">
        <v>26</v>
      </c>
      <c r="AK7" s="1" t="s">
        <v>26</v>
      </c>
      <c r="AL7" t="b">
        <f t="shared" si="6"/>
        <v>1</v>
      </c>
      <c r="AO7" s="54" t="s">
        <v>27</v>
      </c>
      <c r="AP7" s="1" t="s">
        <v>27</v>
      </c>
      <c r="AQ7" t="b">
        <f t="shared" si="7"/>
        <v>1</v>
      </c>
      <c r="AS7" s="54" t="s">
        <v>202</v>
      </c>
      <c r="AT7" s="30" t="s">
        <v>202</v>
      </c>
      <c r="AU7" t="b">
        <f t="shared" si="8"/>
        <v>1</v>
      </c>
    </row>
    <row r="8" spans="2:47" ht="17.25" customHeight="1" x14ac:dyDescent="0.25">
      <c r="B8" s="4" t="s">
        <v>172</v>
      </c>
      <c r="C8" t="b">
        <f>B8=Tabela_3__Validação_da_Tabela_PerguntaFormularioTipoAvaliacao[[#This Row],[DescTituloPerguntaFormularioTipoAvaliacao]]</f>
        <v>1</v>
      </c>
      <c r="F8" s="51" t="s">
        <v>302</v>
      </c>
      <c r="G8" s="12" t="s">
        <v>302</v>
      </c>
      <c r="H8" t="b">
        <f t="shared" si="0"/>
        <v>1</v>
      </c>
      <c r="J8" s="51" t="s">
        <v>232</v>
      </c>
      <c r="K8" s="3" t="s">
        <v>232</v>
      </c>
      <c r="L8" t="b">
        <f t="shared" si="1"/>
        <v>1</v>
      </c>
      <c r="N8" s="52">
        <v>20</v>
      </c>
      <c r="O8" s="2">
        <v>20</v>
      </c>
      <c r="P8" t="b">
        <f t="shared" si="2"/>
        <v>1</v>
      </c>
      <c r="S8" s="53" t="s">
        <v>258</v>
      </c>
      <c r="T8" s="4" t="s">
        <v>258</v>
      </c>
      <c r="U8" t="b">
        <f t="shared" si="3"/>
        <v>1</v>
      </c>
      <c r="Y8" s="58" t="s">
        <v>481</v>
      </c>
      <c r="Z8" s="3" t="s">
        <v>481</v>
      </c>
      <c r="AA8" t="b">
        <f t="shared" si="4"/>
        <v>1</v>
      </c>
      <c r="AE8" s="51" t="s">
        <v>325</v>
      </c>
      <c r="AF8" s="10" t="s">
        <v>325</v>
      </c>
      <c r="AG8" t="b">
        <f t="shared" si="5"/>
        <v>1</v>
      </c>
      <c r="AJ8" s="52" t="s">
        <v>31</v>
      </c>
      <c r="AK8" s="1" t="s">
        <v>31</v>
      </c>
      <c r="AL8" t="b">
        <f t="shared" si="6"/>
        <v>1</v>
      </c>
      <c r="AO8" s="52" t="s">
        <v>32</v>
      </c>
      <c r="AP8" s="1" t="s">
        <v>32</v>
      </c>
      <c r="AQ8" t="b">
        <f t="shared" si="7"/>
        <v>1</v>
      </c>
      <c r="AS8" s="52" t="s">
        <v>224</v>
      </c>
      <c r="AT8" s="30" t="s">
        <v>224</v>
      </c>
      <c r="AU8" t="b">
        <f t="shared" si="8"/>
        <v>1</v>
      </c>
    </row>
    <row r="9" spans="2:47" ht="17.25" customHeight="1" x14ac:dyDescent="0.25">
      <c r="B9" s="3" t="s">
        <v>174</v>
      </c>
      <c r="C9" t="b">
        <f>B9=Tabela_3__Validação_da_Tabela_PerguntaFormularioTipoAvaliacao[[#This Row],[DescTituloPerguntaFormularioTipoAvaliacao]]</f>
        <v>1</v>
      </c>
      <c r="F9" s="53" t="s">
        <v>305</v>
      </c>
      <c r="G9" s="12" t="s">
        <v>305</v>
      </c>
      <c r="H9" t="b">
        <f t="shared" si="0"/>
        <v>1</v>
      </c>
      <c r="J9" s="53" t="s">
        <v>234</v>
      </c>
      <c r="K9" s="3" t="s">
        <v>234</v>
      </c>
      <c r="L9" t="b">
        <f t="shared" si="1"/>
        <v>1</v>
      </c>
      <c r="N9" s="54">
        <v>0</v>
      </c>
      <c r="O9" s="2">
        <v>0</v>
      </c>
      <c r="P9" t="b">
        <f t="shared" si="2"/>
        <v>1</v>
      </c>
      <c r="S9" s="51" t="s">
        <v>273</v>
      </c>
      <c r="T9" s="4" t="s">
        <v>273</v>
      </c>
      <c r="U9" t="b">
        <f t="shared" si="3"/>
        <v>1</v>
      </c>
      <c r="Y9" s="59" t="s">
        <v>482</v>
      </c>
      <c r="Z9" s="3"/>
      <c r="AA9" t="b">
        <f t="shared" si="4"/>
        <v>1</v>
      </c>
      <c r="AE9" s="53" t="s">
        <v>345</v>
      </c>
      <c r="AF9" s="3" t="s">
        <v>345</v>
      </c>
      <c r="AG9" t="b">
        <f t="shared" si="5"/>
        <v>1</v>
      </c>
      <c r="AJ9" s="54" t="s">
        <v>587</v>
      </c>
      <c r="AK9" s="39" t="s">
        <v>587</v>
      </c>
      <c r="AL9" t="b">
        <f t="shared" si="6"/>
        <v>1</v>
      </c>
      <c r="AO9" s="54" t="s">
        <v>36</v>
      </c>
      <c r="AP9" s="38" t="s">
        <v>36</v>
      </c>
      <c r="AQ9" t="b">
        <f t="shared" si="7"/>
        <v>1</v>
      </c>
      <c r="AS9" s="54" t="s">
        <v>246</v>
      </c>
      <c r="AT9" s="30" t="s">
        <v>246</v>
      </c>
      <c r="AU9" t="b">
        <f t="shared" si="8"/>
        <v>1</v>
      </c>
    </row>
    <row r="10" spans="2:47" ht="17.25" customHeight="1" x14ac:dyDescent="0.25">
      <c r="B10" s="3" t="s">
        <v>176</v>
      </c>
      <c r="C10" t="b">
        <f>B10=Tabela_3__Validação_da_Tabela_PerguntaFormularioTipoAvaliacao[[#This Row],[DescTituloPerguntaFormularioTipoAvaliacao]]</f>
        <v>1</v>
      </c>
      <c r="F10" s="51" t="s">
        <v>308</v>
      </c>
      <c r="G10" s="13" t="s">
        <v>308</v>
      </c>
      <c r="H10" t="b">
        <f t="shared" si="0"/>
        <v>1</v>
      </c>
      <c r="J10" s="51" t="s">
        <v>238</v>
      </c>
      <c r="K10" s="3" t="s">
        <v>238</v>
      </c>
      <c r="L10" t="b">
        <f t="shared" si="1"/>
        <v>1</v>
      </c>
      <c r="N10" s="52">
        <v>5</v>
      </c>
      <c r="O10" s="2">
        <v>5</v>
      </c>
      <c r="P10" t="b">
        <f t="shared" si="2"/>
        <v>1</v>
      </c>
      <c r="S10" s="53" t="s">
        <v>281</v>
      </c>
      <c r="T10" s="4" t="s">
        <v>281</v>
      </c>
      <c r="U10" t="b">
        <f t="shared" si="3"/>
        <v>1</v>
      </c>
      <c r="Y10" s="58" t="s">
        <v>483</v>
      </c>
      <c r="Z10" s="3" t="s">
        <v>483</v>
      </c>
      <c r="AA10" t="b">
        <f t="shared" si="4"/>
        <v>1</v>
      </c>
      <c r="AE10" s="51" t="s">
        <v>356</v>
      </c>
      <c r="AF10" s="3" t="s">
        <v>356</v>
      </c>
      <c r="AG10" t="b">
        <f t="shared" si="5"/>
        <v>1</v>
      </c>
      <c r="AJ10" s="52" t="s">
        <v>38</v>
      </c>
      <c r="AK10" s="1" t="s">
        <v>38</v>
      </c>
      <c r="AL10" t="b">
        <f t="shared" si="6"/>
        <v>1</v>
      </c>
      <c r="AO10" s="52" t="s">
        <v>39</v>
      </c>
      <c r="AP10" s="1" t="s">
        <v>39</v>
      </c>
      <c r="AQ10" t="b">
        <f t="shared" si="7"/>
        <v>1</v>
      </c>
      <c r="AS10" s="52" t="s">
        <v>257</v>
      </c>
      <c r="AT10" s="30" t="s">
        <v>257</v>
      </c>
      <c r="AU10" t="b">
        <f t="shared" si="8"/>
        <v>1</v>
      </c>
    </row>
    <row r="11" spans="2:47" ht="17.25" customHeight="1" x14ac:dyDescent="0.25">
      <c r="B11" s="3" t="s">
        <v>178</v>
      </c>
      <c r="C11" t="b">
        <f>B11=Tabela_3__Validação_da_Tabela_PerguntaFormularioTipoAvaliacao[[#This Row],[DescTituloPerguntaFormularioTipoAvaliacao]]</f>
        <v>1</v>
      </c>
      <c r="F11" s="53" t="s">
        <v>318</v>
      </c>
      <c r="G11" s="3" t="s">
        <v>318</v>
      </c>
      <c r="H11" t="b">
        <f t="shared" si="0"/>
        <v>1</v>
      </c>
      <c r="J11" s="53" t="s">
        <v>250</v>
      </c>
      <c r="K11" s="3" t="s">
        <v>250</v>
      </c>
      <c r="L11" t="b">
        <f t="shared" si="1"/>
        <v>1</v>
      </c>
      <c r="N11" s="54">
        <v>5</v>
      </c>
      <c r="O11" s="2">
        <v>5</v>
      </c>
      <c r="P11" t="b">
        <f t="shared" si="2"/>
        <v>1</v>
      </c>
      <c r="S11" s="51" t="s">
        <v>289</v>
      </c>
      <c r="T11" s="4" t="s">
        <v>289</v>
      </c>
      <c r="U11" t="b">
        <f t="shared" si="3"/>
        <v>1</v>
      </c>
      <c r="Y11" s="59" t="s">
        <v>484</v>
      </c>
      <c r="Z11" s="3" t="s">
        <v>588</v>
      </c>
      <c r="AA11" s="61" t="b">
        <f t="shared" si="4"/>
        <v>0</v>
      </c>
      <c r="AB11" t="s">
        <v>589</v>
      </c>
      <c r="AE11" s="53" t="s">
        <v>366</v>
      </c>
      <c r="AF11" s="3" t="s">
        <v>366</v>
      </c>
      <c r="AG11" t="b">
        <f t="shared" si="5"/>
        <v>1</v>
      </c>
      <c r="AJ11" s="54" t="s">
        <v>40</v>
      </c>
      <c r="AK11" s="3" t="s">
        <v>40</v>
      </c>
      <c r="AL11" t="b">
        <f t="shared" si="6"/>
        <v>1</v>
      </c>
      <c r="AO11" s="54" t="s">
        <v>41</v>
      </c>
      <c r="AP11" s="1" t="s">
        <v>41</v>
      </c>
      <c r="AQ11" t="b">
        <f t="shared" si="7"/>
        <v>1</v>
      </c>
      <c r="AS11" s="54" t="s">
        <v>272</v>
      </c>
      <c r="AT11" s="30" t="s">
        <v>272</v>
      </c>
      <c r="AU11" t="b">
        <f t="shared" si="8"/>
        <v>1</v>
      </c>
    </row>
    <row r="12" spans="2:47" ht="17.25" customHeight="1" x14ac:dyDescent="0.25">
      <c r="B12" s="3" t="s">
        <v>180</v>
      </c>
      <c r="C12" t="b">
        <f>B12=Tabela_3__Validação_da_Tabela_PerguntaFormularioTipoAvaliacao[[#This Row],[DescTituloPerguntaFormularioTipoAvaliacao]]</f>
        <v>1</v>
      </c>
      <c r="F12" s="51" t="s">
        <v>333</v>
      </c>
      <c r="G12" s="3" t="s">
        <v>333</v>
      </c>
      <c r="H12" t="b">
        <f t="shared" si="0"/>
        <v>1</v>
      </c>
      <c r="J12" s="51" t="s">
        <v>252</v>
      </c>
      <c r="K12" s="3" t="s">
        <v>252</v>
      </c>
      <c r="L12" t="b">
        <f t="shared" si="1"/>
        <v>1</v>
      </c>
      <c r="N12" s="52">
        <v>5</v>
      </c>
      <c r="O12" s="2">
        <v>5</v>
      </c>
      <c r="P12" t="b">
        <f t="shared" si="2"/>
        <v>1</v>
      </c>
      <c r="S12" s="53" t="s">
        <v>314</v>
      </c>
      <c r="T12" s="4" t="s">
        <v>314</v>
      </c>
      <c r="U12" t="b">
        <f t="shared" si="3"/>
        <v>1</v>
      </c>
      <c r="Y12" s="58" t="s">
        <v>484</v>
      </c>
      <c r="Z12" s="3" t="s">
        <v>484</v>
      </c>
      <c r="AA12" t="b">
        <f t="shared" si="4"/>
        <v>1</v>
      </c>
      <c r="AE12" s="51" t="s">
        <v>378</v>
      </c>
      <c r="AF12" s="3" t="s">
        <v>378</v>
      </c>
      <c r="AG12" t="b">
        <f t="shared" si="5"/>
        <v>1</v>
      </c>
      <c r="AJ12" s="52" t="s">
        <v>590</v>
      </c>
      <c r="AK12" s="38" t="s">
        <v>590</v>
      </c>
      <c r="AL12" t="b">
        <f t="shared" si="6"/>
        <v>1</v>
      </c>
      <c r="AO12" s="52" t="s">
        <v>45</v>
      </c>
      <c r="AP12" s="38" t="s">
        <v>45</v>
      </c>
      <c r="AQ12" t="b">
        <f t="shared" si="7"/>
        <v>1</v>
      </c>
      <c r="AS12" s="52" t="s">
        <v>280</v>
      </c>
      <c r="AT12" s="30" t="s">
        <v>280</v>
      </c>
      <c r="AU12" t="b">
        <f t="shared" si="8"/>
        <v>1</v>
      </c>
    </row>
    <row r="13" spans="2:47" ht="17.25" customHeight="1" x14ac:dyDescent="0.25">
      <c r="B13" s="8" t="s">
        <v>181</v>
      </c>
      <c r="C13" t="b">
        <f>B13=Tabela_3__Validação_da_Tabela_PerguntaFormularioTipoAvaliacao[[#This Row],[DescTituloPerguntaFormularioTipoAvaliacao]]</f>
        <v>1</v>
      </c>
      <c r="F13" s="53" t="s">
        <v>337</v>
      </c>
      <c r="G13" s="8" t="s">
        <v>337</v>
      </c>
      <c r="H13" t="b">
        <f t="shared" si="0"/>
        <v>1</v>
      </c>
      <c r="J13" s="53" t="s">
        <v>255</v>
      </c>
      <c r="K13" s="3" t="s">
        <v>255</v>
      </c>
      <c r="L13" t="b">
        <f t="shared" si="1"/>
        <v>1</v>
      </c>
      <c r="N13" s="54">
        <v>18</v>
      </c>
      <c r="O13" s="9">
        <v>18</v>
      </c>
      <c r="P13" t="b">
        <f t="shared" si="2"/>
        <v>1</v>
      </c>
      <c r="S13" s="51" t="s">
        <v>343</v>
      </c>
      <c r="T13" s="4" t="s">
        <v>343</v>
      </c>
      <c r="U13" t="b">
        <f t="shared" si="3"/>
        <v>1</v>
      </c>
      <c r="Y13" s="59" t="s">
        <v>485</v>
      </c>
      <c r="Z13" s="3" t="s">
        <v>485</v>
      </c>
      <c r="AA13" t="b">
        <f t="shared" si="4"/>
        <v>1</v>
      </c>
      <c r="AE13" s="53" t="s">
        <v>384</v>
      </c>
      <c r="AF13" s="3" t="s">
        <v>384</v>
      </c>
      <c r="AG13" t="b">
        <f t="shared" si="5"/>
        <v>1</v>
      </c>
      <c r="AJ13" s="54" t="s">
        <v>48</v>
      </c>
      <c r="AK13" s="48" t="s">
        <v>48</v>
      </c>
      <c r="AL13" t="b">
        <f t="shared" si="6"/>
        <v>1</v>
      </c>
      <c r="AO13" s="54" t="s">
        <v>49</v>
      </c>
      <c r="AP13" s="38" t="s">
        <v>49</v>
      </c>
      <c r="AQ13" t="b">
        <f t="shared" si="7"/>
        <v>1</v>
      </c>
      <c r="AS13" s="54" t="s">
        <v>288</v>
      </c>
      <c r="AT13" s="30" t="s">
        <v>288</v>
      </c>
      <c r="AU13" t="b">
        <f t="shared" si="8"/>
        <v>1</v>
      </c>
    </row>
    <row r="14" spans="2:47" ht="17.25" customHeight="1" x14ac:dyDescent="0.25">
      <c r="B14" s="4" t="s">
        <v>186</v>
      </c>
      <c r="C14" t="b">
        <f>B14=Tabela_3__Validação_da_Tabela_PerguntaFormularioTipoAvaliacao[[#This Row],[DescTituloPerguntaFormularioTipoAvaliacao]]</f>
        <v>1</v>
      </c>
      <c r="F14" s="51" t="s">
        <v>361</v>
      </c>
      <c r="G14" s="10" t="s">
        <v>361</v>
      </c>
      <c r="H14" t="b">
        <f t="shared" si="0"/>
        <v>1</v>
      </c>
      <c r="J14" s="51" t="s">
        <v>261</v>
      </c>
      <c r="K14" s="1" t="s">
        <v>261</v>
      </c>
      <c r="L14" t="b">
        <f t="shared" si="1"/>
        <v>1</v>
      </c>
      <c r="N14" s="52">
        <v>20</v>
      </c>
      <c r="O14" s="2">
        <v>20</v>
      </c>
      <c r="P14" t="b">
        <f t="shared" si="2"/>
        <v>1</v>
      </c>
      <c r="S14" s="53" t="s">
        <v>376</v>
      </c>
      <c r="T14" s="4" t="s">
        <v>376</v>
      </c>
      <c r="U14" t="b">
        <f t="shared" si="3"/>
        <v>1</v>
      </c>
      <c r="Y14" s="58" t="s">
        <v>486</v>
      </c>
      <c r="Z14" s="3" t="s">
        <v>486</v>
      </c>
      <c r="AA14" t="b">
        <f t="shared" si="4"/>
        <v>1</v>
      </c>
      <c r="AE14" s="51" t="s">
        <v>410</v>
      </c>
      <c r="AF14" s="3" t="s">
        <v>410</v>
      </c>
      <c r="AG14" t="b">
        <f t="shared" si="5"/>
        <v>1</v>
      </c>
      <c r="AJ14" s="52" t="s">
        <v>51</v>
      </c>
      <c r="AK14" s="48" t="s">
        <v>51</v>
      </c>
      <c r="AL14" t="b">
        <f t="shared" si="6"/>
        <v>1</v>
      </c>
      <c r="AO14" s="52" t="s">
        <v>52</v>
      </c>
      <c r="AP14" s="38" t="s">
        <v>52</v>
      </c>
      <c r="AQ14" t="b">
        <f t="shared" si="7"/>
        <v>1</v>
      </c>
      <c r="AS14" s="52" t="s">
        <v>296</v>
      </c>
      <c r="AT14" s="30" t="s">
        <v>296</v>
      </c>
      <c r="AU14" t="b">
        <f t="shared" si="8"/>
        <v>1</v>
      </c>
    </row>
    <row r="15" spans="2:47" ht="17.25" customHeight="1" x14ac:dyDescent="0.25">
      <c r="B15" s="3" t="s">
        <v>187</v>
      </c>
      <c r="C15" t="b">
        <f>B15=Tabela_3__Validação_da_Tabela_PerguntaFormularioTipoAvaliacao[[#This Row],[DescTituloPerguntaFormularioTipoAvaliacao]]</f>
        <v>1</v>
      </c>
      <c r="F15" s="53" t="s">
        <v>371</v>
      </c>
      <c r="G15" s="1" t="s">
        <v>371</v>
      </c>
      <c r="H15" t="b">
        <f t="shared" si="0"/>
        <v>1</v>
      </c>
      <c r="J15" s="53" t="s">
        <v>263</v>
      </c>
      <c r="K15" s="3" t="s">
        <v>263</v>
      </c>
      <c r="L15" t="b">
        <f t="shared" si="1"/>
        <v>1</v>
      </c>
      <c r="N15" s="54">
        <v>15</v>
      </c>
      <c r="O15" s="2">
        <v>15</v>
      </c>
      <c r="P15" t="b">
        <f t="shared" si="2"/>
        <v>1</v>
      </c>
      <c r="S15" s="51" t="s">
        <v>408</v>
      </c>
      <c r="T15" s="4" t="s">
        <v>408</v>
      </c>
      <c r="U15" t="b">
        <f t="shared" si="3"/>
        <v>1</v>
      </c>
      <c r="Y15" s="59" t="s">
        <v>487</v>
      </c>
      <c r="Z15" s="3" t="s">
        <v>487</v>
      </c>
      <c r="AA15" t="b">
        <f t="shared" si="4"/>
        <v>1</v>
      </c>
      <c r="AJ15" s="54" t="s">
        <v>53</v>
      </c>
      <c r="AK15" s="48" t="s">
        <v>53</v>
      </c>
      <c r="AL15" t="b">
        <f t="shared" si="6"/>
        <v>1</v>
      </c>
      <c r="AO15" s="54" t="s">
        <v>54</v>
      </c>
      <c r="AP15" s="38" t="s">
        <v>54</v>
      </c>
      <c r="AQ15" t="b">
        <f t="shared" si="7"/>
        <v>1</v>
      </c>
      <c r="AS15" s="54" t="s">
        <v>312</v>
      </c>
      <c r="AT15" s="30" t="s">
        <v>312</v>
      </c>
      <c r="AU15" t="b">
        <f t="shared" si="8"/>
        <v>1</v>
      </c>
    </row>
    <row r="16" spans="2:47" ht="17.25" customHeight="1" x14ac:dyDescent="0.25">
      <c r="B16" s="3" t="s">
        <v>189</v>
      </c>
      <c r="C16" t="b">
        <f>B16=Tabela_3__Validação_da_Tabela_PerguntaFormularioTipoAvaliacao[[#This Row],[DescTituloPerguntaFormularioTipoAvaliacao]]</f>
        <v>1</v>
      </c>
      <c r="F16" s="51" t="s">
        <v>389</v>
      </c>
      <c r="G16" s="8" t="s">
        <v>389</v>
      </c>
      <c r="H16" t="b">
        <f t="shared" si="0"/>
        <v>1</v>
      </c>
      <c r="J16" s="51" t="s">
        <v>268</v>
      </c>
      <c r="K16" s="8" t="s">
        <v>268</v>
      </c>
      <c r="L16" t="b">
        <f t="shared" si="1"/>
        <v>1</v>
      </c>
      <c r="N16" s="52">
        <v>15</v>
      </c>
      <c r="O16" s="2">
        <v>15</v>
      </c>
      <c r="P16" t="b">
        <f t="shared" si="2"/>
        <v>1</v>
      </c>
      <c r="Y16" s="58" t="s">
        <v>488</v>
      </c>
      <c r="Z16" s="3" t="s">
        <v>488</v>
      </c>
      <c r="AA16" t="b">
        <f t="shared" si="4"/>
        <v>1</v>
      </c>
      <c r="AJ16" s="52" t="s">
        <v>591</v>
      </c>
      <c r="AK16" s="40" t="s">
        <v>591</v>
      </c>
      <c r="AL16" t="b">
        <f t="shared" si="6"/>
        <v>1</v>
      </c>
      <c r="AO16" s="52" t="s">
        <v>57</v>
      </c>
      <c r="AP16" s="12" t="s">
        <v>57</v>
      </c>
      <c r="AQ16" t="b">
        <f t="shared" si="7"/>
        <v>1</v>
      </c>
      <c r="AS16" s="52" t="s">
        <v>324</v>
      </c>
      <c r="AT16" s="30" t="s">
        <v>324</v>
      </c>
      <c r="AU16" t="b">
        <f t="shared" si="8"/>
        <v>1</v>
      </c>
    </row>
    <row r="17" spans="2:47" ht="17.25" customHeight="1" x14ac:dyDescent="0.25">
      <c r="B17" s="3" t="s">
        <v>192</v>
      </c>
      <c r="C17" t="b">
        <f>B17=Tabela_3__Validação_da_Tabela_PerguntaFormularioTipoAvaliacao[[#This Row],[DescTituloPerguntaFormularioTipoAvaliacao]]</f>
        <v>1</v>
      </c>
      <c r="F17" s="53" t="s">
        <v>396</v>
      </c>
      <c r="G17" s="3" t="s">
        <v>396</v>
      </c>
      <c r="H17" t="b">
        <f t="shared" si="0"/>
        <v>1</v>
      </c>
      <c r="J17" s="53" t="s">
        <v>275</v>
      </c>
      <c r="K17" s="3" t="s">
        <v>275</v>
      </c>
      <c r="L17" t="b">
        <f t="shared" si="1"/>
        <v>1</v>
      </c>
      <c r="N17" s="54">
        <v>18</v>
      </c>
      <c r="O17" s="2">
        <v>18</v>
      </c>
      <c r="P17" t="b">
        <f t="shared" si="2"/>
        <v>1</v>
      </c>
      <c r="Y17" s="59" t="s">
        <v>489</v>
      </c>
      <c r="Z17" s="3" t="s">
        <v>489</v>
      </c>
      <c r="AA17" t="b">
        <f t="shared" si="4"/>
        <v>1</v>
      </c>
      <c r="AJ17" s="54" t="s">
        <v>59</v>
      </c>
      <c r="AK17" s="48" t="s">
        <v>59</v>
      </c>
      <c r="AL17" t="b">
        <f t="shared" si="6"/>
        <v>1</v>
      </c>
      <c r="AO17" s="54" t="s">
        <v>592</v>
      </c>
      <c r="AP17" s="38" t="s">
        <v>592</v>
      </c>
      <c r="AQ17" t="b">
        <f t="shared" si="7"/>
        <v>1</v>
      </c>
      <c r="AS17" s="54" t="s">
        <v>332</v>
      </c>
      <c r="AT17" s="30" t="s">
        <v>332</v>
      </c>
      <c r="AU17" t="b">
        <f t="shared" si="8"/>
        <v>1</v>
      </c>
    </row>
    <row r="18" spans="2:47" ht="17.25" customHeight="1" x14ac:dyDescent="0.25">
      <c r="B18" s="3" t="s">
        <v>195</v>
      </c>
      <c r="C18" t="b">
        <f>B18=Tabela_3__Validação_da_Tabela_PerguntaFormularioTipoAvaliacao[[#This Row],[DescTituloPerguntaFormularioTipoAvaliacao]]</f>
        <v>1</v>
      </c>
      <c r="F18" s="51" t="s">
        <v>399</v>
      </c>
      <c r="G18" s="3" t="s">
        <v>399</v>
      </c>
      <c r="H18" t="b">
        <f t="shared" si="0"/>
        <v>1</v>
      </c>
      <c r="J18" s="51" t="s">
        <v>525</v>
      </c>
      <c r="K18" s="3" t="s">
        <v>525</v>
      </c>
      <c r="L18" t="b">
        <f t="shared" si="1"/>
        <v>1</v>
      </c>
      <c r="N18" s="52">
        <v>15</v>
      </c>
      <c r="O18" s="2">
        <v>15</v>
      </c>
      <c r="P18" t="b">
        <f t="shared" si="2"/>
        <v>1</v>
      </c>
      <c r="Y18" s="58" t="s">
        <v>490</v>
      </c>
      <c r="Z18" s="3" t="s">
        <v>490</v>
      </c>
      <c r="AA18" t="b">
        <f t="shared" si="4"/>
        <v>1</v>
      </c>
      <c r="AJ18" s="52" t="s">
        <v>62</v>
      </c>
      <c r="AK18" s="46" t="s">
        <v>62</v>
      </c>
      <c r="AL18" t="b">
        <f t="shared" si="6"/>
        <v>1</v>
      </c>
      <c r="AO18" s="52" t="s">
        <v>63</v>
      </c>
      <c r="AP18" s="38" t="s">
        <v>63</v>
      </c>
      <c r="AQ18" t="b">
        <f t="shared" si="7"/>
        <v>1</v>
      </c>
      <c r="AS18" s="52" t="s">
        <v>342</v>
      </c>
      <c r="AT18" s="30" t="s">
        <v>342</v>
      </c>
      <c r="AU18" t="b">
        <f t="shared" si="8"/>
        <v>1</v>
      </c>
    </row>
    <row r="19" spans="2:47" ht="17.25" customHeight="1" x14ac:dyDescent="0.25">
      <c r="B19" s="8" t="s">
        <v>197</v>
      </c>
      <c r="C19" t="b">
        <f>B19=Tabela_3__Validação_da_Tabela_PerguntaFormularioTipoAvaliacao[[#This Row],[DescTituloPerguntaFormularioTipoAvaliacao]]</f>
        <v>1</v>
      </c>
      <c r="J19" s="53" t="s">
        <v>283</v>
      </c>
      <c r="K19" s="3" t="s">
        <v>283</v>
      </c>
      <c r="L19" t="b">
        <f t="shared" si="1"/>
        <v>1</v>
      </c>
      <c r="N19" s="54">
        <v>25</v>
      </c>
      <c r="O19" s="9">
        <v>25</v>
      </c>
      <c r="P19" t="b">
        <f t="shared" si="2"/>
        <v>1</v>
      </c>
      <c r="Y19" s="59" t="s">
        <v>491</v>
      </c>
      <c r="Z19" s="3" t="s">
        <v>491</v>
      </c>
      <c r="AA19" t="b">
        <f t="shared" si="4"/>
        <v>1</v>
      </c>
      <c r="AJ19" s="54" t="s">
        <v>64</v>
      </c>
      <c r="AK19" s="1" t="s">
        <v>64</v>
      </c>
      <c r="AL19" t="b">
        <f t="shared" si="6"/>
        <v>1</v>
      </c>
      <c r="AO19" s="54" t="s">
        <v>593</v>
      </c>
      <c r="AP19" s="38" t="s">
        <v>593</v>
      </c>
      <c r="AQ19" t="b">
        <f t="shared" si="7"/>
        <v>1</v>
      </c>
      <c r="AS19" s="54" t="s">
        <v>353</v>
      </c>
      <c r="AT19" s="30" t="s">
        <v>353</v>
      </c>
      <c r="AU19" t="b">
        <f t="shared" si="8"/>
        <v>1</v>
      </c>
    </row>
    <row r="20" spans="2:47" ht="17.25" customHeight="1" x14ac:dyDescent="0.25">
      <c r="B20" s="3" t="s">
        <v>203</v>
      </c>
      <c r="C20" t="b">
        <f>B20=Tabela_3__Validação_da_Tabela_PerguntaFormularioTipoAvaliacao[[#This Row],[DescTituloPerguntaFormularioTipoAvaliacao]]</f>
        <v>1</v>
      </c>
      <c r="J20" s="51" t="s">
        <v>302</v>
      </c>
      <c r="K20" s="12" t="s">
        <v>302</v>
      </c>
      <c r="L20" t="b">
        <f t="shared" si="1"/>
        <v>1</v>
      </c>
      <c r="N20" s="52">
        <v>15</v>
      </c>
      <c r="O20" s="2">
        <v>15</v>
      </c>
      <c r="P20" t="b">
        <f t="shared" si="2"/>
        <v>1</v>
      </c>
      <c r="Y20" s="58" t="s">
        <v>492</v>
      </c>
      <c r="Z20" s="3" t="s">
        <v>492</v>
      </c>
      <c r="AA20" t="b">
        <f t="shared" si="4"/>
        <v>1</v>
      </c>
      <c r="AJ20" s="52" t="s">
        <v>594</v>
      </c>
      <c r="AK20" s="1" t="s">
        <v>594</v>
      </c>
      <c r="AL20" t="b">
        <f t="shared" si="6"/>
        <v>1</v>
      </c>
      <c r="AO20" s="52" t="s">
        <v>45</v>
      </c>
      <c r="AP20" s="1" t="s">
        <v>45</v>
      </c>
      <c r="AQ20" t="b">
        <f t="shared" si="7"/>
        <v>1</v>
      </c>
      <c r="AS20" s="52" t="s">
        <v>365</v>
      </c>
      <c r="AT20" s="30" t="s">
        <v>365</v>
      </c>
      <c r="AU20" t="b">
        <f t="shared" si="8"/>
        <v>1</v>
      </c>
    </row>
    <row r="21" spans="2:47" ht="17.25" customHeight="1" x14ac:dyDescent="0.25">
      <c r="B21" s="3" t="s">
        <v>205</v>
      </c>
      <c r="C21" t="b">
        <f>B21=Tabela_3__Validação_da_Tabela_PerguntaFormularioTipoAvaliacao[[#This Row],[DescTituloPerguntaFormularioTipoAvaliacao]]</f>
        <v>1</v>
      </c>
      <c r="J21" s="53" t="s">
        <v>308</v>
      </c>
      <c r="K21" s="13" t="s">
        <v>308</v>
      </c>
      <c r="L21" t="b">
        <f t="shared" si="1"/>
        <v>1</v>
      </c>
      <c r="N21" s="54">
        <v>0</v>
      </c>
      <c r="O21" s="2">
        <v>0</v>
      </c>
      <c r="P21" t="b">
        <f t="shared" si="2"/>
        <v>1</v>
      </c>
      <c r="Y21" s="59" t="s">
        <v>482</v>
      </c>
      <c r="Z21" s="3"/>
      <c r="AA21" t="b">
        <f t="shared" si="4"/>
        <v>1</v>
      </c>
      <c r="AJ21" s="54" t="s">
        <v>68</v>
      </c>
      <c r="AK21" s="48" t="s">
        <v>68</v>
      </c>
      <c r="AL21" t="b">
        <f t="shared" si="6"/>
        <v>1</v>
      </c>
      <c r="AO21" s="54" t="s">
        <v>69</v>
      </c>
      <c r="AP21" s="1" t="s">
        <v>69</v>
      </c>
      <c r="AQ21" t="b">
        <f t="shared" si="7"/>
        <v>1</v>
      </c>
      <c r="AS21" s="54" t="s">
        <v>375</v>
      </c>
      <c r="AT21" s="30" t="s">
        <v>375</v>
      </c>
      <c r="AU21" t="b">
        <f t="shared" si="8"/>
        <v>1</v>
      </c>
    </row>
    <row r="22" spans="2:47" ht="17.25" customHeight="1" x14ac:dyDescent="0.25">
      <c r="B22" s="3" t="s">
        <v>206</v>
      </c>
      <c r="C22" t="b">
        <f>B22=Tabela_3__Validação_da_Tabela_PerguntaFormularioTipoAvaliacao[[#This Row],[DescTituloPerguntaFormularioTipoAvaliacao]]</f>
        <v>1</v>
      </c>
      <c r="J22" s="51" t="s">
        <v>330</v>
      </c>
      <c r="K22" s="3" t="s">
        <v>330</v>
      </c>
      <c r="L22" t="b">
        <f t="shared" si="1"/>
        <v>1</v>
      </c>
      <c r="N22" s="52">
        <v>5</v>
      </c>
      <c r="O22" s="2">
        <v>5</v>
      </c>
      <c r="P22" t="b">
        <f t="shared" si="2"/>
        <v>1</v>
      </c>
      <c r="Y22" s="58" t="s">
        <v>493</v>
      </c>
      <c r="Z22" s="3" t="s">
        <v>493</v>
      </c>
      <c r="AA22" t="b">
        <f t="shared" si="4"/>
        <v>1</v>
      </c>
      <c r="AJ22" s="52" t="s">
        <v>70</v>
      </c>
      <c r="AK22" s="1" t="s">
        <v>70</v>
      </c>
      <c r="AL22" t="b">
        <f t="shared" si="6"/>
        <v>1</v>
      </c>
      <c r="AO22" s="52" t="s">
        <v>71</v>
      </c>
      <c r="AP22" s="1" t="s">
        <v>71</v>
      </c>
      <c r="AQ22" t="b">
        <f t="shared" si="7"/>
        <v>1</v>
      </c>
      <c r="AS22" s="52" t="s">
        <v>395</v>
      </c>
      <c r="AT22" s="31" t="s">
        <v>395</v>
      </c>
      <c r="AU22" t="b">
        <f t="shared" si="8"/>
        <v>1</v>
      </c>
    </row>
    <row r="23" spans="2:47" ht="17.25" customHeight="1" x14ac:dyDescent="0.25">
      <c r="B23" s="3" t="s">
        <v>208</v>
      </c>
      <c r="C23" t="b">
        <f>B23=Tabela_3__Validação_da_Tabela_PerguntaFormularioTipoAvaliacao[[#This Row],[DescTituloPerguntaFormularioTipoAvaliacao]]</f>
        <v>1</v>
      </c>
      <c r="J23" s="53" t="s">
        <v>333</v>
      </c>
      <c r="K23" s="3" t="s">
        <v>333</v>
      </c>
      <c r="L23" t="b">
        <f t="shared" si="1"/>
        <v>1</v>
      </c>
      <c r="N23" s="54">
        <v>5</v>
      </c>
      <c r="O23" s="2">
        <v>5</v>
      </c>
      <c r="P23" t="b">
        <f t="shared" si="2"/>
        <v>1</v>
      </c>
      <c r="Y23" s="59" t="s">
        <v>494</v>
      </c>
      <c r="Z23" s="3" t="s">
        <v>494</v>
      </c>
      <c r="AA23" t="b">
        <f t="shared" si="4"/>
        <v>1</v>
      </c>
      <c r="AJ23" s="54" t="s">
        <v>74</v>
      </c>
      <c r="AK23" s="48" t="s">
        <v>74</v>
      </c>
      <c r="AL23" t="b">
        <f t="shared" si="6"/>
        <v>1</v>
      </c>
      <c r="AO23" s="54" t="s">
        <v>75</v>
      </c>
      <c r="AP23" s="1" t="s">
        <v>75</v>
      </c>
      <c r="AQ23" t="b">
        <f t="shared" si="7"/>
        <v>1</v>
      </c>
      <c r="AS23" s="54" t="s">
        <v>402</v>
      </c>
      <c r="AT23" s="31" t="s">
        <v>402</v>
      </c>
      <c r="AU23" t="b">
        <f t="shared" si="8"/>
        <v>1</v>
      </c>
    </row>
    <row r="24" spans="2:47" ht="17.25" customHeight="1" x14ac:dyDescent="0.25">
      <c r="B24" s="3" t="s">
        <v>211</v>
      </c>
      <c r="C24" t="b">
        <f>B24=Tabela_3__Validação_da_Tabela_PerguntaFormularioTipoAvaliacao[[#This Row],[DescTituloPerguntaFormularioTipoAvaliacao]]</f>
        <v>1</v>
      </c>
      <c r="J24" s="51" t="s">
        <v>337</v>
      </c>
      <c r="K24" s="8" t="s">
        <v>337</v>
      </c>
      <c r="L24" t="b">
        <f t="shared" si="1"/>
        <v>1</v>
      </c>
      <c r="N24" s="52">
        <v>5</v>
      </c>
      <c r="O24" s="2">
        <v>5</v>
      </c>
      <c r="P24" t="b">
        <f t="shared" si="2"/>
        <v>1</v>
      </c>
      <c r="Y24" s="58" t="s">
        <v>495</v>
      </c>
      <c r="Z24" s="3" t="s">
        <v>495</v>
      </c>
      <c r="AA24" t="b">
        <f t="shared" si="4"/>
        <v>1</v>
      </c>
      <c r="AJ24" s="52" t="s">
        <v>78</v>
      </c>
      <c r="AK24" s="1" t="s">
        <v>78</v>
      </c>
      <c r="AL24" t="b">
        <f t="shared" si="6"/>
        <v>1</v>
      </c>
      <c r="AO24" s="52" t="s">
        <v>79</v>
      </c>
      <c r="AP24" s="1" t="s">
        <v>79</v>
      </c>
      <c r="AQ24" t="b">
        <f t="shared" si="7"/>
        <v>1</v>
      </c>
      <c r="AS24" s="52" t="s">
        <v>407</v>
      </c>
      <c r="AT24" s="32" t="s">
        <v>407</v>
      </c>
      <c r="AU24" t="b">
        <f t="shared" si="8"/>
        <v>1</v>
      </c>
    </row>
    <row r="25" spans="2:47" ht="17.25" customHeight="1" x14ac:dyDescent="0.25">
      <c r="B25" s="4" t="s">
        <v>213</v>
      </c>
      <c r="C25" t="b">
        <f>B25=Tabela_3__Validação_da_Tabela_PerguntaFormularioTipoAvaliacao[[#This Row],[DescTituloPerguntaFormularioTipoAvaliacao]]</f>
        <v>1</v>
      </c>
      <c r="J25" s="53" t="s">
        <v>354</v>
      </c>
      <c r="K25" s="3" t="s">
        <v>354</v>
      </c>
      <c r="L25" t="b">
        <f t="shared" si="1"/>
        <v>1</v>
      </c>
      <c r="N25" s="54">
        <v>20</v>
      </c>
      <c r="O25" s="2">
        <v>20</v>
      </c>
      <c r="P25" t="b">
        <f t="shared" si="2"/>
        <v>1</v>
      </c>
      <c r="Y25" s="59" t="s">
        <v>496</v>
      </c>
      <c r="Z25" s="3" t="s">
        <v>496</v>
      </c>
      <c r="AA25" t="b">
        <f t="shared" si="4"/>
        <v>1</v>
      </c>
      <c r="AJ25" s="54" t="s">
        <v>82</v>
      </c>
      <c r="AK25" s="1" t="s">
        <v>82</v>
      </c>
      <c r="AL25" t="b">
        <f t="shared" si="6"/>
        <v>1</v>
      </c>
      <c r="AO25" s="54" t="s">
        <v>83</v>
      </c>
      <c r="AP25" s="1" t="s">
        <v>83</v>
      </c>
      <c r="AQ25" t="b">
        <f t="shared" si="7"/>
        <v>1</v>
      </c>
    </row>
    <row r="26" spans="2:47" ht="17.25" customHeight="1" x14ac:dyDescent="0.25">
      <c r="B26" s="10" t="s">
        <v>215</v>
      </c>
      <c r="C26" t="b">
        <f>B26=Tabela_3__Validação_da_Tabela_PerguntaFormularioTipoAvaliacao[[#This Row],[DescTituloPerguntaFormularioTipoAvaliacao]]</f>
        <v>1</v>
      </c>
      <c r="J26" s="51" t="s">
        <v>357</v>
      </c>
      <c r="K26" s="3" t="s">
        <v>357</v>
      </c>
      <c r="L26" t="b">
        <f t="shared" si="1"/>
        <v>1</v>
      </c>
      <c r="N26" s="52">
        <v>5</v>
      </c>
      <c r="O26" s="2">
        <v>5</v>
      </c>
      <c r="P26" t="b">
        <f t="shared" si="2"/>
        <v>1</v>
      </c>
      <c r="Y26" s="58" t="s">
        <v>497</v>
      </c>
      <c r="Z26" s="3" t="s">
        <v>497</v>
      </c>
      <c r="AA26" t="b">
        <f t="shared" si="4"/>
        <v>1</v>
      </c>
      <c r="AJ26" s="52" t="s">
        <v>86</v>
      </c>
      <c r="AK26" s="38" t="s">
        <v>86</v>
      </c>
      <c r="AL26" t="b">
        <f t="shared" si="6"/>
        <v>1</v>
      </c>
      <c r="AO26" s="52" t="s">
        <v>595</v>
      </c>
      <c r="AP26" s="38" t="s">
        <v>595</v>
      </c>
      <c r="AQ26" t="b">
        <f t="shared" si="7"/>
        <v>1</v>
      </c>
    </row>
    <row r="27" spans="2:47" ht="17.25" customHeight="1" x14ac:dyDescent="0.25">
      <c r="B27" s="3" t="s">
        <v>217</v>
      </c>
      <c r="C27" t="b">
        <f>B27=Tabela_3__Validação_da_Tabela_PerguntaFormularioTipoAvaliacao[[#This Row],[DescTituloPerguntaFormularioTipoAvaliacao]]</f>
        <v>1</v>
      </c>
      <c r="J27" s="53" t="s">
        <v>396</v>
      </c>
      <c r="K27" s="3" t="s">
        <v>396</v>
      </c>
      <c r="L27" t="b">
        <f t="shared" si="1"/>
        <v>1</v>
      </c>
      <c r="N27" s="54">
        <v>5</v>
      </c>
      <c r="O27" s="2">
        <v>5</v>
      </c>
      <c r="P27" t="b">
        <f t="shared" si="2"/>
        <v>1</v>
      </c>
      <c r="Y27" s="59" t="s">
        <v>498</v>
      </c>
      <c r="Z27" s="3" t="s">
        <v>498</v>
      </c>
      <c r="AA27" t="b">
        <f t="shared" si="4"/>
        <v>1</v>
      </c>
      <c r="AJ27" s="54" t="s">
        <v>596</v>
      </c>
      <c r="AK27" s="38" t="s">
        <v>596</v>
      </c>
      <c r="AL27" t="b">
        <f t="shared" si="6"/>
        <v>1</v>
      </c>
      <c r="AO27" s="54" t="s">
        <v>90</v>
      </c>
      <c r="AP27" s="38" t="s">
        <v>90</v>
      </c>
      <c r="AQ27" t="b">
        <f t="shared" si="7"/>
        <v>1</v>
      </c>
    </row>
    <row r="28" spans="2:47" ht="17.25" customHeight="1" x14ac:dyDescent="0.25">
      <c r="B28" s="8" t="s">
        <v>219</v>
      </c>
      <c r="C28" t="b">
        <f>B28=Tabela_3__Validação_da_Tabela_PerguntaFormularioTipoAvaliacao[[#This Row],[DescTituloPerguntaFormularioTipoAvaliacao]]</f>
        <v>1</v>
      </c>
      <c r="J28" s="51" t="s">
        <v>399</v>
      </c>
      <c r="K28" s="3" t="s">
        <v>399</v>
      </c>
      <c r="L28" t="b">
        <f t="shared" si="1"/>
        <v>1</v>
      </c>
      <c r="N28" s="52">
        <v>18</v>
      </c>
      <c r="O28" s="9">
        <v>18</v>
      </c>
      <c r="P28" t="b">
        <f t="shared" si="2"/>
        <v>1</v>
      </c>
      <c r="Y28" s="58" t="s">
        <v>499</v>
      </c>
      <c r="Z28" s="3" t="s">
        <v>499</v>
      </c>
      <c r="AA28" t="b">
        <f t="shared" si="4"/>
        <v>1</v>
      </c>
      <c r="AJ28" s="52" t="s">
        <v>92</v>
      </c>
      <c r="AK28" s="48" t="s">
        <v>92</v>
      </c>
      <c r="AL28" t="b">
        <f t="shared" si="6"/>
        <v>1</v>
      </c>
      <c r="AO28" s="52" t="s">
        <v>93</v>
      </c>
      <c r="AP28" s="38" t="s">
        <v>93</v>
      </c>
      <c r="AQ28" t="b">
        <f t="shared" si="7"/>
        <v>1</v>
      </c>
    </row>
    <row r="29" spans="2:47" ht="17.25" customHeight="1" x14ac:dyDescent="0.25">
      <c r="B29" s="4" t="s">
        <v>225</v>
      </c>
      <c r="C29" t="b">
        <f>B29=Tabela_3__Validação_da_Tabela_PerguntaFormularioTipoAvaliacao[[#This Row],[DescTituloPerguntaFormularioTipoAvaliacao]]</f>
        <v>1</v>
      </c>
      <c r="J29" s="53" t="s">
        <v>403</v>
      </c>
      <c r="K29" s="3" t="s">
        <v>403</v>
      </c>
      <c r="L29" t="b">
        <f t="shared" si="1"/>
        <v>1</v>
      </c>
      <c r="N29" s="54">
        <v>20</v>
      </c>
      <c r="O29" s="2">
        <v>20</v>
      </c>
      <c r="P29" t="b">
        <f t="shared" si="2"/>
        <v>1</v>
      </c>
      <c r="Y29" s="59" t="s">
        <v>500</v>
      </c>
      <c r="Z29" s="3" t="s">
        <v>500</v>
      </c>
      <c r="AA29" t="b">
        <f t="shared" si="4"/>
        <v>1</v>
      </c>
      <c r="AJ29" s="54" t="s">
        <v>597</v>
      </c>
      <c r="AK29" s="12" t="s">
        <v>598</v>
      </c>
      <c r="AL29" t="b">
        <f t="shared" si="6"/>
        <v>1</v>
      </c>
      <c r="AO29" s="54" t="s">
        <v>96</v>
      </c>
      <c r="AP29" s="47" t="s">
        <v>96</v>
      </c>
      <c r="AQ29" t="b">
        <f t="shared" si="7"/>
        <v>1</v>
      </c>
    </row>
    <row r="30" spans="2:47" ht="17.25" customHeight="1" x14ac:dyDescent="0.25">
      <c r="B30" s="3" t="s">
        <v>227</v>
      </c>
      <c r="C30" t="b">
        <f>B30=Tabela_3__Validação_da_Tabela_PerguntaFormularioTipoAvaliacao[[#This Row],[DescTituloPerguntaFormularioTipoAvaliacao]]</f>
        <v>1</v>
      </c>
      <c r="J30" s="51" t="s">
        <v>405</v>
      </c>
      <c r="K30" s="3" t="s">
        <v>405</v>
      </c>
      <c r="L30" t="b">
        <f t="shared" si="1"/>
        <v>1</v>
      </c>
      <c r="N30" s="52">
        <v>0</v>
      </c>
      <c r="O30" s="2">
        <v>0</v>
      </c>
      <c r="P30" t="b">
        <f t="shared" si="2"/>
        <v>1</v>
      </c>
      <c r="Y30" s="58" t="s">
        <v>482</v>
      </c>
      <c r="Z30" s="3"/>
      <c r="AA30" t="b">
        <f t="shared" si="4"/>
        <v>1</v>
      </c>
      <c r="AJ30" s="52" t="s">
        <v>97</v>
      </c>
      <c r="AK30" s="48" t="s">
        <v>97</v>
      </c>
      <c r="AL30" t="b">
        <f t="shared" si="6"/>
        <v>1</v>
      </c>
      <c r="AO30" s="52" t="s">
        <v>98</v>
      </c>
      <c r="AP30" s="38" t="s">
        <v>98</v>
      </c>
      <c r="AQ30" t="b">
        <f t="shared" si="7"/>
        <v>1</v>
      </c>
    </row>
    <row r="31" spans="2:47" ht="17.25" customHeight="1" x14ac:dyDescent="0.25">
      <c r="B31" s="3" t="s">
        <v>228</v>
      </c>
      <c r="C31" t="b">
        <f>B31=Tabela_3__Validação_da_Tabela_PerguntaFormularioTipoAvaliacao[[#This Row],[DescTituloPerguntaFormularioTipoAvaliacao]]</f>
        <v>1</v>
      </c>
      <c r="N31" s="54">
        <v>5</v>
      </c>
      <c r="O31" s="2">
        <v>5</v>
      </c>
      <c r="P31" t="b">
        <f t="shared" si="2"/>
        <v>1</v>
      </c>
      <c r="Y31" s="59" t="s">
        <v>501</v>
      </c>
      <c r="Z31" s="3" t="s">
        <v>501</v>
      </c>
      <c r="AA31" t="b">
        <f t="shared" si="4"/>
        <v>1</v>
      </c>
      <c r="AJ31" s="54" t="s">
        <v>599</v>
      </c>
      <c r="AK31" s="38" t="s">
        <v>100</v>
      </c>
      <c r="AL31" t="b">
        <f t="shared" si="6"/>
        <v>1</v>
      </c>
      <c r="AO31" s="54" t="s">
        <v>45</v>
      </c>
      <c r="AP31" s="38" t="s">
        <v>45</v>
      </c>
      <c r="AQ31" t="b">
        <f t="shared" si="7"/>
        <v>1</v>
      </c>
    </row>
    <row r="32" spans="2:47" ht="17.25" customHeight="1" x14ac:dyDescent="0.25">
      <c r="B32" s="3" t="s">
        <v>230</v>
      </c>
      <c r="C32" t="b">
        <f>B32=Tabela_3__Validação_da_Tabela_PerguntaFormularioTipoAvaliacao[[#This Row],[DescTituloPerguntaFormularioTipoAvaliacao]]</f>
        <v>1</v>
      </c>
      <c r="N32" s="52">
        <v>5</v>
      </c>
      <c r="O32" s="2">
        <v>5</v>
      </c>
      <c r="P32" t="b">
        <f t="shared" si="2"/>
        <v>1</v>
      </c>
      <c r="Y32" s="58" t="s">
        <v>502</v>
      </c>
      <c r="Z32" s="3" t="s">
        <v>502</v>
      </c>
      <c r="AA32" t="b">
        <f t="shared" si="4"/>
        <v>1</v>
      </c>
      <c r="AJ32" s="52" t="s">
        <v>600</v>
      </c>
      <c r="AK32" s="38" t="s">
        <v>101</v>
      </c>
      <c r="AL32" t="b">
        <f t="shared" si="6"/>
        <v>1</v>
      </c>
      <c r="AO32" s="52" t="s">
        <v>45</v>
      </c>
      <c r="AP32" s="38" t="s">
        <v>45</v>
      </c>
      <c r="AQ32" t="b">
        <f t="shared" si="7"/>
        <v>1</v>
      </c>
    </row>
    <row r="33" spans="2:43" ht="17.25" customHeight="1" x14ac:dyDescent="0.25">
      <c r="B33" s="3" t="s">
        <v>232</v>
      </c>
      <c r="C33" t="b">
        <f>B33=Tabela_3__Validação_da_Tabela_PerguntaFormularioTipoAvaliacao[[#This Row],[DescTituloPerguntaFormularioTipoAvaliacao]]</f>
        <v>1</v>
      </c>
      <c r="N33" s="54">
        <v>5</v>
      </c>
      <c r="O33" s="2">
        <v>5</v>
      </c>
      <c r="P33" t="b">
        <f t="shared" si="2"/>
        <v>1</v>
      </c>
      <c r="Y33" s="59" t="s">
        <v>503</v>
      </c>
      <c r="Z33" s="3" t="s">
        <v>503</v>
      </c>
      <c r="AA33" t="b">
        <f t="shared" si="4"/>
        <v>1</v>
      </c>
      <c r="AJ33" s="54" t="s">
        <v>601</v>
      </c>
      <c r="AK33" s="44" t="s">
        <v>601</v>
      </c>
      <c r="AL33" t="b">
        <f t="shared" si="6"/>
        <v>1</v>
      </c>
      <c r="AO33" s="54" t="s">
        <v>45</v>
      </c>
      <c r="AP33" s="44" t="s">
        <v>45</v>
      </c>
      <c r="AQ33" t="b">
        <f t="shared" si="7"/>
        <v>1</v>
      </c>
    </row>
    <row r="34" spans="2:43" ht="17.25" customHeight="1" x14ac:dyDescent="0.25">
      <c r="B34" s="3" t="s">
        <v>234</v>
      </c>
      <c r="C34" t="b">
        <f>B34=Tabela_3__Validação_da_Tabela_PerguntaFormularioTipoAvaliacao[[#This Row],[DescTituloPerguntaFormularioTipoAvaliacao]]</f>
        <v>1</v>
      </c>
      <c r="N34" s="52">
        <v>5</v>
      </c>
      <c r="O34" s="2">
        <v>5</v>
      </c>
      <c r="P34" t="b">
        <f t="shared" si="2"/>
        <v>1</v>
      </c>
      <c r="Y34" s="58" t="s">
        <v>504</v>
      </c>
      <c r="Z34" s="3" t="s">
        <v>504</v>
      </c>
      <c r="AA34" t="b">
        <f t="shared" si="4"/>
        <v>1</v>
      </c>
      <c r="AJ34" s="52" t="s">
        <v>602</v>
      </c>
      <c r="AK34" s="49" t="s">
        <v>602</v>
      </c>
      <c r="AL34" t="b">
        <f t="shared" si="6"/>
        <v>1</v>
      </c>
      <c r="AO34" s="52" t="s">
        <v>603</v>
      </c>
      <c r="AP34" s="44" t="s">
        <v>603</v>
      </c>
      <c r="AQ34" t="b">
        <f t="shared" si="7"/>
        <v>1</v>
      </c>
    </row>
    <row r="35" spans="2:43" ht="17.25" customHeight="1" x14ac:dyDescent="0.25">
      <c r="B35" s="3" t="s">
        <v>236</v>
      </c>
      <c r="C35" t="b">
        <f>B35=Tabela_3__Validação_da_Tabela_PerguntaFormularioTipoAvaliacao[[#This Row],[DescTituloPerguntaFormularioTipoAvaliacao]]</f>
        <v>1</v>
      </c>
      <c r="N35" s="54">
        <v>5</v>
      </c>
      <c r="O35" s="2">
        <v>5</v>
      </c>
      <c r="P35" t="b">
        <f t="shared" si="2"/>
        <v>1</v>
      </c>
      <c r="Y35" s="59" t="s">
        <v>505</v>
      </c>
      <c r="Z35" s="3" t="s">
        <v>505</v>
      </c>
      <c r="AA35" t="b">
        <f t="shared" si="4"/>
        <v>1</v>
      </c>
      <c r="AJ35" s="54" t="s">
        <v>107</v>
      </c>
      <c r="AK35" s="1" t="s">
        <v>107</v>
      </c>
      <c r="AL35" t="b">
        <f t="shared" si="6"/>
        <v>1</v>
      </c>
      <c r="AO35" s="54" t="s">
        <v>604</v>
      </c>
      <c r="AP35" s="1" t="s">
        <v>604</v>
      </c>
      <c r="AQ35" t="b">
        <f t="shared" si="7"/>
        <v>1</v>
      </c>
    </row>
    <row r="36" spans="2:43" ht="17.25" customHeight="1" x14ac:dyDescent="0.25">
      <c r="B36" s="3" t="s">
        <v>238</v>
      </c>
      <c r="C36" t="b">
        <f>B36=Tabela_3__Validação_da_Tabela_PerguntaFormularioTipoAvaliacao[[#This Row],[DescTituloPerguntaFormularioTipoAvaliacao]]</f>
        <v>1</v>
      </c>
      <c r="N36" s="52">
        <v>5</v>
      </c>
      <c r="O36" s="2">
        <v>5</v>
      </c>
      <c r="P36" t="b">
        <f t="shared" si="2"/>
        <v>1</v>
      </c>
      <c r="Y36" s="58" t="s">
        <v>506</v>
      </c>
      <c r="Z36" s="3" t="s">
        <v>506</v>
      </c>
      <c r="AA36" t="b">
        <f t="shared" si="4"/>
        <v>1</v>
      </c>
      <c r="AJ36" s="52" t="s">
        <v>605</v>
      </c>
      <c r="AK36" s="1" t="s">
        <v>605</v>
      </c>
      <c r="AL36" t="b">
        <f t="shared" si="6"/>
        <v>1</v>
      </c>
      <c r="AO36" s="52" t="s">
        <v>111</v>
      </c>
      <c r="AP36" s="1" t="s">
        <v>111</v>
      </c>
      <c r="AQ36" t="b">
        <f t="shared" si="7"/>
        <v>1</v>
      </c>
    </row>
    <row r="37" spans="2:43" ht="17.25" customHeight="1" x14ac:dyDescent="0.25">
      <c r="B37" s="3" t="s">
        <v>240</v>
      </c>
      <c r="C37" t="b">
        <f>B37=Tabela_3__Validação_da_Tabela_PerguntaFormularioTipoAvaliacao[[#This Row],[DescTituloPerguntaFormularioTipoAvaliacao]]</f>
        <v>1</v>
      </c>
      <c r="N37" s="54">
        <v>18</v>
      </c>
      <c r="O37" s="2">
        <v>18</v>
      </c>
      <c r="P37" t="b">
        <f t="shared" si="2"/>
        <v>1</v>
      </c>
      <c r="Y37" s="59" t="s">
        <v>507</v>
      </c>
      <c r="Z37" s="3" t="s">
        <v>507</v>
      </c>
      <c r="AA37" t="b">
        <f t="shared" si="4"/>
        <v>1</v>
      </c>
      <c r="AJ37" s="54" t="s">
        <v>113</v>
      </c>
      <c r="AK37" s="1" t="s">
        <v>113</v>
      </c>
      <c r="AL37" t="b">
        <f t="shared" si="6"/>
        <v>1</v>
      </c>
      <c r="AO37" s="54" t="s">
        <v>114</v>
      </c>
      <c r="AP37" s="1" t="s">
        <v>114</v>
      </c>
      <c r="AQ37" t="b">
        <f t="shared" si="7"/>
        <v>1</v>
      </c>
    </row>
    <row r="38" spans="2:43" ht="17.25" customHeight="1" x14ac:dyDescent="0.25">
      <c r="B38" s="3" t="s">
        <v>242</v>
      </c>
      <c r="C38" t="b">
        <f>B38=Tabela_3__Validação_da_Tabela_PerguntaFormularioTipoAvaliacao[[#This Row],[DescTituloPerguntaFormularioTipoAvaliacao]]</f>
        <v>1</v>
      </c>
      <c r="N38" s="52">
        <v>5</v>
      </c>
      <c r="O38" s="2">
        <v>5</v>
      </c>
      <c r="P38" t="b">
        <f t="shared" si="2"/>
        <v>1</v>
      </c>
      <c r="Y38" s="58" t="s">
        <v>508</v>
      </c>
      <c r="Z38" s="3" t="s">
        <v>508</v>
      </c>
      <c r="AA38" t="b">
        <f t="shared" si="4"/>
        <v>1</v>
      </c>
      <c r="AJ38" s="52" t="s">
        <v>115</v>
      </c>
      <c r="AK38" s="1" t="s">
        <v>115</v>
      </c>
      <c r="AL38" t="b">
        <f t="shared" si="6"/>
        <v>1</v>
      </c>
      <c r="AO38" s="52" t="s">
        <v>606</v>
      </c>
      <c r="AP38" s="1" t="s">
        <v>606</v>
      </c>
      <c r="AQ38" t="b">
        <f t="shared" si="7"/>
        <v>1</v>
      </c>
    </row>
    <row r="39" spans="2:43" ht="17.25" customHeight="1" x14ac:dyDescent="0.25">
      <c r="B39" s="8" t="s">
        <v>243</v>
      </c>
      <c r="C39" t="b">
        <f>B39=Tabela_3__Validação_da_Tabela_PerguntaFormularioTipoAvaliacao[[#This Row],[DescTituloPerguntaFormularioTipoAvaliacao]]</f>
        <v>1</v>
      </c>
      <c r="N39" s="54">
        <v>18</v>
      </c>
      <c r="O39" s="9">
        <v>18</v>
      </c>
      <c r="P39" t="b">
        <f t="shared" si="2"/>
        <v>1</v>
      </c>
      <c r="Y39" s="59" t="s">
        <v>509</v>
      </c>
      <c r="Z39" s="3" t="s">
        <v>509</v>
      </c>
      <c r="AA39" t="b">
        <f t="shared" si="4"/>
        <v>1</v>
      </c>
      <c r="AJ39" s="54" t="s">
        <v>607</v>
      </c>
      <c r="AK39" s="12" t="s">
        <v>607</v>
      </c>
      <c r="AL39" t="b">
        <f t="shared" si="6"/>
        <v>1</v>
      </c>
      <c r="AO39" s="54" t="s">
        <v>45</v>
      </c>
      <c r="AP39" s="44" t="s">
        <v>45</v>
      </c>
      <c r="AQ39" t="b">
        <f t="shared" si="7"/>
        <v>1</v>
      </c>
    </row>
    <row r="40" spans="2:43" ht="17.25" customHeight="1" x14ac:dyDescent="0.25">
      <c r="B40" s="4" t="s">
        <v>247</v>
      </c>
      <c r="C40" t="b">
        <f>B40=Tabela_3__Validação_da_Tabela_PerguntaFormularioTipoAvaliacao[[#This Row],[DescTituloPerguntaFormularioTipoAvaliacao]]</f>
        <v>1</v>
      </c>
      <c r="N40" s="52">
        <v>0</v>
      </c>
      <c r="O40" s="2">
        <v>0</v>
      </c>
      <c r="P40" t="b">
        <f t="shared" si="2"/>
        <v>1</v>
      </c>
      <c r="Y40" s="58" t="s">
        <v>482</v>
      </c>
      <c r="Z40" s="3"/>
      <c r="AA40" t="b">
        <f t="shared" si="4"/>
        <v>1</v>
      </c>
      <c r="AJ40" s="52" t="s">
        <v>608</v>
      </c>
      <c r="AK40" s="1" t="s">
        <v>608</v>
      </c>
      <c r="AL40" t="b">
        <f t="shared" si="6"/>
        <v>1</v>
      </c>
      <c r="AO40" s="52" t="s">
        <v>45</v>
      </c>
      <c r="AP40" s="44" t="s">
        <v>45</v>
      </c>
      <c r="AQ40" t="b">
        <f t="shared" si="7"/>
        <v>1</v>
      </c>
    </row>
    <row r="41" spans="2:43" ht="17.25" customHeight="1" x14ac:dyDescent="0.25">
      <c r="B41" s="4" t="s">
        <v>248</v>
      </c>
      <c r="C41" t="b">
        <f>B41=Tabela_3__Validação_da_Tabela_PerguntaFormularioTipoAvaliacao[[#This Row],[DescTituloPerguntaFormularioTipoAvaliacao]]</f>
        <v>1</v>
      </c>
      <c r="N41" s="54">
        <v>20</v>
      </c>
      <c r="O41" s="2">
        <v>20</v>
      </c>
      <c r="P41" t="b">
        <f t="shared" si="2"/>
        <v>1</v>
      </c>
      <c r="Y41" s="59" t="s">
        <v>510</v>
      </c>
      <c r="Z41" s="3" t="s">
        <v>510</v>
      </c>
      <c r="AA41" t="b">
        <f t="shared" si="4"/>
        <v>1</v>
      </c>
      <c r="AJ41" s="54" t="s">
        <v>120</v>
      </c>
      <c r="AK41" s="48" t="s">
        <v>120</v>
      </c>
      <c r="AL41" t="b">
        <f t="shared" si="6"/>
        <v>1</v>
      </c>
      <c r="AO41" s="54" t="s">
        <v>121</v>
      </c>
      <c r="AP41" s="38" t="s">
        <v>121</v>
      </c>
      <c r="AQ41" t="b">
        <f t="shared" si="7"/>
        <v>1</v>
      </c>
    </row>
    <row r="42" spans="2:43" ht="17.25" customHeight="1" x14ac:dyDescent="0.25">
      <c r="B42" s="3" t="s">
        <v>249</v>
      </c>
      <c r="C42" t="b">
        <f>B42=Tabela_3__Validação_da_Tabela_PerguntaFormularioTipoAvaliacao[[#This Row],[DescTituloPerguntaFormularioTipoAvaliacao]]</f>
        <v>1</v>
      </c>
      <c r="N42" s="52">
        <v>5</v>
      </c>
      <c r="O42" s="2">
        <v>5</v>
      </c>
      <c r="P42" t="b">
        <f t="shared" si="2"/>
        <v>1</v>
      </c>
      <c r="Y42" s="58" t="s">
        <v>511</v>
      </c>
      <c r="Z42" s="3" t="s">
        <v>511</v>
      </c>
      <c r="AA42" t="b">
        <f t="shared" si="4"/>
        <v>1</v>
      </c>
      <c r="AJ42" s="52" t="s">
        <v>609</v>
      </c>
      <c r="AK42" s="1" t="s">
        <v>609</v>
      </c>
      <c r="AL42" t="b">
        <f t="shared" si="6"/>
        <v>1</v>
      </c>
      <c r="AO42" s="52" t="s">
        <v>45</v>
      </c>
      <c r="AP42" s="44" t="s">
        <v>45</v>
      </c>
      <c r="AQ42" t="b">
        <f t="shared" si="7"/>
        <v>1</v>
      </c>
    </row>
    <row r="43" spans="2:43" ht="17.25" customHeight="1" x14ac:dyDescent="0.25">
      <c r="B43" s="3" t="s">
        <v>250</v>
      </c>
      <c r="C43" t="b">
        <f>B43=Tabela_3__Validação_da_Tabela_PerguntaFormularioTipoAvaliacao[[#This Row],[DescTituloPerguntaFormularioTipoAvaliacao]]</f>
        <v>1</v>
      </c>
      <c r="N43" s="54">
        <v>5</v>
      </c>
      <c r="O43" s="2">
        <v>5</v>
      </c>
      <c r="P43" t="b">
        <f t="shared" si="2"/>
        <v>1</v>
      </c>
      <c r="Y43" s="59" t="s">
        <v>512</v>
      </c>
      <c r="Z43" s="3" t="s">
        <v>512</v>
      </c>
      <c r="AA43" t="b">
        <f t="shared" si="4"/>
        <v>1</v>
      </c>
      <c r="AJ43" s="54" t="s">
        <v>125</v>
      </c>
      <c r="AK43" s="64" t="s">
        <v>125</v>
      </c>
      <c r="AL43" t="b">
        <f t="shared" si="6"/>
        <v>1</v>
      </c>
      <c r="AO43" s="54" t="s">
        <v>126</v>
      </c>
      <c r="AP43" s="65" t="s">
        <v>126</v>
      </c>
      <c r="AQ43" t="b">
        <f t="shared" si="7"/>
        <v>1</v>
      </c>
    </row>
    <row r="44" spans="2:43" ht="17.25" customHeight="1" x14ac:dyDescent="0.25">
      <c r="B44" s="3" t="s">
        <v>252</v>
      </c>
      <c r="C44" t="b">
        <f>B44=Tabela_3__Validação_da_Tabela_PerguntaFormularioTipoAvaliacao[[#This Row],[DescTituloPerguntaFormularioTipoAvaliacao]]</f>
        <v>1</v>
      </c>
      <c r="N44" s="52">
        <v>5</v>
      </c>
      <c r="O44" s="11">
        <v>5</v>
      </c>
      <c r="P44" t="b">
        <f t="shared" si="2"/>
        <v>1</v>
      </c>
      <c r="Y44" s="58" t="s">
        <v>513</v>
      </c>
      <c r="Z44" s="36" t="s">
        <v>513</v>
      </c>
      <c r="AA44" t="b">
        <f t="shared" si="4"/>
        <v>1</v>
      </c>
    </row>
    <row r="45" spans="2:43" ht="17.25" customHeight="1" x14ac:dyDescent="0.25">
      <c r="B45" s="3" t="s">
        <v>253</v>
      </c>
      <c r="C45" t="b">
        <f>B45=Tabela_3__Validação_da_Tabela_PerguntaFormularioTipoAvaliacao[[#This Row],[DescTituloPerguntaFormularioTipoAvaliacao]]</f>
        <v>1</v>
      </c>
      <c r="N45" s="54">
        <v>5</v>
      </c>
      <c r="O45" s="2">
        <v>5</v>
      </c>
      <c r="P45" t="b">
        <f t="shared" si="2"/>
        <v>1</v>
      </c>
      <c r="Y45" s="59" t="s">
        <v>514</v>
      </c>
      <c r="Z45" s="3" t="s">
        <v>514</v>
      </c>
      <c r="AA45" t="b">
        <f t="shared" si="4"/>
        <v>1</v>
      </c>
    </row>
    <row r="46" spans="2:43" ht="17.25" customHeight="1" x14ac:dyDescent="0.25">
      <c r="B46" s="3" t="s">
        <v>255</v>
      </c>
      <c r="C46" t="b">
        <f>B46=Tabela_3__Validação_da_Tabela_PerguntaFormularioTipoAvaliacao[[#This Row],[DescTituloPerguntaFormularioTipoAvaliacao]]</f>
        <v>1</v>
      </c>
      <c r="N46" s="52">
        <v>25</v>
      </c>
      <c r="O46" s="2">
        <v>25</v>
      </c>
      <c r="P46" t="b">
        <f t="shared" si="2"/>
        <v>1</v>
      </c>
      <c r="Y46" s="58" t="s">
        <v>515</v>
      </c>
      <c r="Z46" s="3" t="s">
        <v>515</v>
      </c>
      <c r="AA46" t="b">
        <f t="shared" si="4"/>
        <v>1</v>
      </c>
    </row>
    <row r="47" spans="2:43" ht="17.25" customHeight="1" x14ac:dyDescent="0.25">
      <c r="B47" s="4" t="s">
        <v>258</v>
      </c>
      <c r="C47" t="b">
        <f>B47=Tabela_3__Validação_da_Tabela_PerguntaFormularioTipoAvaliacao[[#This Row],[DescTituloPerguntaFormularioTipoAvaliacao]]</f>
        <v>1</v>
      </c>
      <c r="N47" s="54">
        <v>20</v>
      </c>
      <c r="O47" s="2">
        <v>20</v>
      </c>
      <c r="P47" t="b">
        <f t="shared" si="2"/>
        <v>1</v>
      </c>
      <c r="Y47" s="59" t="s">
        <v>516</v>
      </c>
      <c r="Z47" s="3" t="s">
        <v>516</v>
      </c>
      <c r="AA47" t="b">
        <f t="shared" si="4"/>
        <v>1</v>
      </c>
    </row>
    <row r="48" spans="2:43" ht="17.25" customHeight="1" x14ac:dyDescent="0.25">
      <c r="B48" s="1" t="s">
        <v>517</v>
      </c>
      <c r="C48" t="b">
        <f>B48=Tabela_3__Validação_da_Tabela_PerguntaFormularioTipoAvaliacao[[#This Row],[DescTituloPerguntaFormularioTipoAvaliacao]]</f>
        <v>1</v>
      </c>
      <c r="N48" s="52">
        <v>0</v>
      </c>
      <c r="O48" s="2">
        <v>0</v>
      </c>
      <c r="P48" t="b">
        <f t="shared" si="2"/>
        <v>1</v>
      </c>
      <c r="Y48" s="58" t="s">
        <v>482</v>
      </c>
      <c r="Z48" s="3"/>
      <c r="AA48" t="b">
        <f t="shared" si="4"/>
        <v>1</v>
      </c>
    </row>
    <row r="49" spans="2:28" ht="17.25" customHeight="1" x14ac:dyDescent="0.25">
      <c r="B49" s="1" t="s">
        <v>261</v>
      </c>
      <c r="C49" t="b">
        <f>B49=Tabela_3__Validação_da_Tabela_PerguntaFormularioTipoAvaliacao[[#This Row],[DescTituloPerguntaFormularioTipoAvaliacao]]</f>
        <v>1</v>
      </c>
      <c r="N49" s="54">
        <v>5</v>
      </c>
      <c r="O49" s="2">
        <v>5</v>
      </c>
      <c r="P49" t="b">
        <f t="shared" si="2"/>
        <v>1</v>
      </c>
      <c r="Y49" s="59" t="s">
        <v>518</v>
      </c>
      <c r="Z49" s="3" t="s">
        <v>518</v>
      </c>
      <c r="AA49" t="b">
        <f t="shared" si="4"/>
        <v>1</v>
      </c>
    </row>
    <row r="50" spans="2:28" ht="17.25" customHeight="1" x14ac:dyDescent="0.25">
      <c r="B50" s="3" t="s">
        <v>263</v>
      </c>
      <c r="C50" t="b">
        <f>B50=Tabela_3__Validação_da_Tabela_PerguntaFormularioTipoAvaliacao[[#This Row],[DescTituloPerguntaFormularioTipoAvaliacao]]</f>
        <v>1</v>
      </c>
      <c r="N50" s="52">
        <v>5</v>
      </c>
      <c r="O50" s="2">
        <v>5</v>
      </c>
      <c r="P50" t="b">
        <f t="shared" si="2"/>
        <v>1</v>
      </c>
      <c r="Y50" s="58" t="s">
        <v>519</v>
      </c>
      <c r="Z50" s="3" t="s">
        <v>519</v>
      </c>
      <c r="AA50" t="b">
        <f t="shared" si="4"/>
        <v>1</v>
      </c>
    </row>
    <row r="51" spans="2:28" ht="17.25" customHeight="1" x14ac:dyDescent="0.25">
      <c r="B51" s="1" t="s">
        <v>264</v>
      </c>
      <c r="C51" t="b">
        <f>B51=Tabela_3__Validação_da_Tabela_PerguntaFormularioTipoAvaliacao[[#This Row],[DescTituloPerguntaFormularioTipoAvaliacao]]</f>
        <v>1</v>
      </c>
      <c r="N51" s="54">
        <v>5</v>
      </c>
      <c r="O51" s="2">
        <v>5</v>
      </c>
      <c r="P51" t="b">
        <f t="shared" si="2"/>
        <v>1</v>
      </c>
      <c r="Y51" s="59" t="s">
        <v>520</v>
      </c>
      <c r="Z51" s="3" t="s">
        <v>520</v>
      </c>
      <c r="AA51" t="b">
        <f t="shared" si="4"/>
        <v>1</v>
      </c>
    </row>
    <row r="52" spans="2:28" ht="17.25" customHeight="1" x14ac:dyDescent="0.25">
      <c r="B52" s="1" t="s">
        <v>265</v>
      </c>
      <c r="C52" t="b">
        <f>B52=Tabela_3__Validação_da_Tabela_PerguntaFormularioTipoAvaliacao[[#This Row],[DescTituloPerguntaFormularioTipoAvaliacao]]</f>
        <v>1</v>
      </c>
      <c r="N52" s="52">
        <v>5</v>
      </c>
      <c r="O52" s="2">
        <v>5</v>
      </c>
      <c r="P52" t="b">
        <f t="shared" si="2"/>
        <v>1</v>
      </c>
      <c r="Y52" s="58" t="s">
        <v>521</v>
      </c>
      <c r="Z52" s="3" t="s">
        <v>521</v>
      </c>
      <c r="AA52" t="b">
        <f t="shared" si="4"/>
        <v>1</v>
      </c>
    </row>
    <row r="53" spans="2:28" ht="17.25" customHeight="1" x14ac:dyDescent="0.25">
      <c r="B53" s="8" t="s">
        <v>268</v>
      </c>
      <c r="C53" t="b">
        <f>B53=Tabela_3__Validação_da_Tabela_PerguntaFormularioTipoAvaliacao[[#This Row],[DescTituloPerguntaFormularioTipoAvaliacao]]</f>
        <v>1</v>
      </c>
      <c r="N53" s="54">
        <v>25</v>
      </c>
      <c r="O53" s="9">
        <v>25</v>
      </c>
      <c r="P53" t="b">
        <f t="shared" si="2"/>
        <v>1</v>
      </c>
      <c r="Y53" s="59" t="s">
        <v>522</v>
      </c>
      <c r="Z53" s="3" t="s">
        <v>522</v>
      </c>
      <c r="AA53" t="b">
        <f t="shared" si="4"/>
        <v>1</v>
      </c>
    </row>
    <row r="54" spans="2:28" ht="17.25" customHeight="1" x14ac:dyDescent="0.25">
      <c r="B54" s="4" t="s">
        <v>273</v>
      </c>
      <c r="C54" t="b">
        <f>B54=Tabela_3__Validação_da_Tabela_PerguntaFormularioTipoAvaliacao[[#This Row],[DescTituloPerguntaFormularioTipoAvaliacao]]</f>
        <v>1</v>
      </c>
      <c r="N54" s="52">
        <v>20</v>
      </c>
      <c r="O54" s="2">
        <v>20</v>
      </c>
      <c r="P54" t="b">
        <f t="shared" si="2"/>
        <v>1</v>
      </c>
      <c r="Y54" s="58" t="s">
        <v>523</v>
      </c>
      <c r="Z54" s="3" t="s">
        <v>523</v>
      </c>
      <c r="AA54" t="b">
        <f t="shared" si="4"/>
        <v>1</v>
      </c>
    </row>
    <row r="55" spans="2:28" ht="17.25" customHeight="1" x14ac:dyDescent="0.25">
      <c r="B55" s="3" t="s">
        <v>275</v>
      </c>
      <c r="C55" t="b">
        <f>B55=Tabela_3__Validação_da_Tabela_PerguntaFormularioTipoAvaliacao[[#This Row],[DescTituloPerguntaFormularioTipoAvaliacao]]</f>
        <v>1</v>
      </c>
      <c r="N55" s="54">
        <v>25</v>
      </c>
      <c r="O55" s="11">
        <v>25</v>
      </c>
      <c r="P55" t="b">
        <f t="shared" si="2"/>
        <v>1</v>
      </c>
      <c r="Y55" s="59" t="s">
        <v>524</v>
      </c>
      <c r="Z55" s="36" t="s">
        <v>524</v>
      </c>
      <c r="AA55" t="b">
        <f t="shared" si="4"/>
        <v>1</v>
      </c>
    </row>
    <row r="56" spans="2:28" ht="17.25" customHeight="1" x14ac:dyDescent="0.25">
      <c r="B56" s="3" t="s">
        <v>525</v>
      </c>
      <c r="C56" t="b">
        <f>B56=Tabela_3__Validação_da_Tabela_PerguntaFormularioTipoAvaliacao[[#This Row],[DescTituloPerguntaFormularioTipoAvaliacao]]</f>
        <v>1</v>
      </c>
      <c r="N56" s="52">
        <v>18</v>
      </c>
      <c r="O56" s="11">
        <v>18</v>
      </c>
      <c r="P56" t="b">
        <f t="shared" si="2"/>
        <v>1</v>
      </c>
      <c r="Y56" s="58" t="s">
        <v>526</v>
      </c>
      <c r="Z56" s="36" t="s">
        <v>526</v>
      </c>
      <c r="AA56" t="b">
        <f t="shared" si="4"/>
        <v>1</v>
      </c>
    </row>
    <row r="57" spans="2:28" ht="17.25" customHeight="1" x14ac:dyDescent="0.25">
      <c r="B57" s="10" t="s">
        <v>279</v>
      </c>
      <c r="C57" t="b">
        <f>B57=Tabela_3__Validação_da_Tabela_PerguntaFormularioTipoAvaliacao[[#This Row],[DescTituloPerguntaFormularioTipoAvaliacao]]</f>
        <v>1</v>
      </c>
      <c r="N57" s="54">
        <v>5</v>
      </c>
      <c r="O57" s="11">
        <v>5</v>
      </c>
      <c r="P57" t="b">
        <f t="shared" si="2"/>
        <v>1</v>
      </c>
      <c r="Y57" s="59" t="s">
        <v>527</v>
      </c>
      <c r="Z57" s="36" t="s">
        <v>527</v>
      </c>
      <c r="AA57" t="b">
        <f t="shared" si="4"/>
        <v>1</v>
      </c>
    </row>
    <row r="58" spans="2:28" ht="17.25" customHeight="1" x14ac:dyDescent="0.25">
      <c r="B58" s="4" t="s">
        <v>281</v>
      </c>
      <c r="C58" t="b">
        <f>B58=Tabela_3__Validação_da_Tabela_PerguntaFormularioTipoAvaliacao[[#This Row],[DescTituloPerguntaFormularioTipoAvaliacao]]</f>
        <v>1</v>
      </c>
      <c r="N58" s="52">
        <v>20</v>
      </c>
      <c r="O58" s="2">
        <v>20</v>
      </c>
      <c r="P58" t="b">
        <f t="shared" si="2"/>
        <v>1</v>
      </c>
      <c r="Y58" s="58" t="s">
        <v>528</v>
      </c>
      <c r="Z58" s="3" t="s">
        <v>528</v>
      </c>
      <c r="AA58" t="b">
        <f t="shared" si="4"/>
        <v>1</v>
      </c>
    </row>
    <row r="59" spans="2:28" ht="17.25" customHeight="1" x14ac:dyDescent="0.25">
      <c r="B59" s="3" t="s">
        <v>283</v>
      </c>
      <c r="C59" t="b">
        <f>B59=Tabela_3__Validação_da_Tabela_PerguntaFormularioTipoAvaliacao[[#This Row],[DescTituloPerguntaFormularioTipoAvaliacao]]</f>
        <v>1</v>
      </c>
      <c r="N59" s="54">
        <v>25</v>
      </c>
      <c r="O59" s="2">
        <v>25</v>
      </c>
      <c r="P59" t="b">
        <f t="shared" si="2"/>
        <v>1</v>
      </c>
      <c r="Y59" s="59" t="s">
        <v>529</v>
      </c>
      <c r="Z59" s="3" t="s">
        <v>529</v>
      </c>
      <c r="AA59" t="b">
        <f t="shared" si="4"/>
        <v>1</v>
      </c>
    </row>
    <row r="60" spans="2:28" ht="17.25" customHeight="1" x14ac:dyDescent="0.25">
      <c r="B60" s="8" t="s">
        <v>284</v>
      </c>
      <c r="C60" t="b">
        <f>B60=Tabela_3__Validação_da_Tabela_PerguntaFormularioTipoAvaliacao[[#This Row],[DescTituloPerguntaFormularioTipoAvaliacao]]</f>
        <v>1</v>
      </c>
      <c r="N60" s="52">
        <v>5</v>
      </c>
      <c r="O60" s="9">
        <v>5</v>
      </c>
      <c r="P60" t="b">
        <f t="shared" si="2"/>
        <v>1</v>
      </c>
      <c r="Y60" s="58" t="s">
        <v>530</v>
      </c>
      <c r="Z60" s="3" t="s">
        <v>530</v>
      </c>
      <c r="AA60" t="b">
        <f t="shared" si="4"/>
        <v>1</v>
      </c>
    </row>
    <row r="61" spans="2:28" ht="17.25" customHeight="1" x14ac:dyDescent="0.25">
      <c r="B61" s="4" t="s">
        <v>289</v>
      </c>
      <c r="C61" t="b">
        <f>B61=Tabela_3__Validação_da_Tabela_PerguntaFormularioTipoAvaliacao[[#This Row],[DescTituloPerguntaFormularioTipoAvaliacao]]</f>
        <v>1</v>
      </c>
      <c r="N61" s="54">
        <v>20</v>
      </c>
      <c r="O61" s="2">
        <v>20</v>
      </c>
      <c r="P61" t="b">
        <f t="shared" si="2"/>
        <v>1</v>
      </c>
      <c r="Y61" s="59" t="s">
        <v>531</v>
      </c>
      <c r="Z61" s="3" t="s">
        <v>531</v>
      </c>
      <c r="AA61" t="b">
        <f t="shared" si="4"/>
        <v>1</v>
      </c>
    </row>
    <row r="62" spans="2:28" ht="17.25" customHeight="1" x14ac:dyDescent="0.25">
      <c r="B62" s="3" t="s">
        <v>290</v>
      </c>
      <c r="C62" t="b">
        <f>B62=Tabela_3__Validação_da_Tabela_PerguntaFormularioTipoAvaliacao[[#This Row],[DescTituloPerguntaFormularioTipoAvaliacao]]</f>
        <v>1</v>
      </c>
      <c r="N62" s="52">
        <v>5</v>
      </c>
      <c r="O62" s="2">
        <v>5</v>
      </c>
      <c r="P62" t="b">
        <f t="shared" si="2"/>
        <v>1</v>
      </c>
      <c r="Y62" s="58" t="s">
        <v>532</v>
      </c>
      <c r="Z62" s="3" t="s">
        <v>610</v>
      </c>
      <c r="AA62" s="61" t="b">
        <f t="shared" si="4"/>
        <v>0</v>
      </c>
      <c r="AB62" t="s">
        <v>589</v>
      </c>
    </row>
    <row r="63" spans="2:28" ht="17.25" customHeight="1" x14ac:dyDescent="0.25">
      <c r="B63" s="12" t="s">
        <v>292</v>
      </c>
      <c r="C63" t="b">
        <f>B63=Tabela_3__Validação_da_Tabela_PerguntaFormularioTipoAvaliacao[[#This Row],[DescTituloPerguntaFormularioTipoAvaliacao]]</f>
        <v>1</v>
      </c>
      <c r="N63" s="54">
        <v>5</v>
      </c>
      <c r="O63" s="2">
        <v>5</v>
      </c>
      <c r="P63" t="b">
        <f t="shared" si="2"/>
        <v>1</v>
      </c>
      <c r="Y63" s="59" t="s">
        <v>532</v>
      </c>
      <c r="Z63" s="3" t="s">
        <v>532</v>
      </c>
      <c r="AA63" t="b">
        <f t="shared" si="4"/>
        <v>1</v>
      </c>
    </row>
    <row r="64" spans="2:28" ht="17.25" customHeight="1" x14ac:dyDescent="0.25">
      <c r="B64" s="12" t="s">
        <v>294</v>
      </c>
      <c r="C64" t="b">
        <f>B64=Tabela_3__Validação_da_Tabela_PerguntaFormularioTipoAvaliacao[[#This Row],[DescTituloPerguntaFormularioTipoAvaliacao]]</f>
        <v>1</v>
      </c>
      <c r="N64" s="52">
        <v>15</v>
      </c>
      <c r="O64" s="2">
        <v>15</v>
      </c>
      <c r="P64" t="b">
        <f t="shared" si="2"/>
        <v>1</v>
      </c>
      <c r="Y64" s="58" t="s">
        <v>533</v>
      </c>
      <c r="Z64" s="3" t="s">
        <v>533</v>
      </c>
      <c r="AA64" t="b">
        <f t="shared" si="4"/>
        <v>1</v>
      </c>
    </row>
    <row r="65" spans="2:27" ht="17.25" customHeight="1" x14ac:dyDescent="0.25">
      <c r="B65" s="12" t="s">
        <v>534</v>
      </c>
      <c r="C65" t="b">
        <f>B65=Tabela_3__Validação_da_Tabela_PerguntaFormularioTipoAvaliacao[[#This Row],[DescTituloPerguntaFormularioTipoAvaliacao]]</f>
        <v>1</v>
      </c>
      <c r="N65" s="54">
        <v>15</v>
      </c>
      <c r="O65" s="2">
        <v>15</v>
      </c>
      <c r="P65" t="b">
        <f t="shared" si="2"/>
        <v>1</v>
      </c>
      <c r="Y65" s="59" t="s">
        <v>535</v>
      </c>
      <c r="Z65" s="3" t="s">
        <v>535</v>
      </c>
      <c r="AA65" t="b">
        <f t="shared" si="4"/>
        <v>1</v>
      </c>
    </row>
    <row r="66" spans="2:27" ht="17.25" customHeight="1" x14ac:dyDescent="0.25">
      <c r="B66" s="12" t="s">
        <v>299</v>
      </c>
      <c r="C66" t="b">
        <f>B66=Tabela_3__Validação_da_Tabela_PerguntaFormularioTipoAvaliacao[[#This Row],[DescTituloPerguntaFormularioTipoAvaliacao]]</f>
        <v>1</v>
      </c>
      <c r="N66" s="52">
        <v>5</v>
      </c>
      <c r="O66" s="2">
        <v>5</v>
      </c>
      <c r="P66" t="b">
        <f t="shared" si="2"/>
        <v>1</v>
      </c>
      <c r="Y66" s="58" t="s">
        <v>536</v>
      </c>
      <c r="Z66" s="3" t="s">
        <v>536</v>
      </c>
      <c r="AA66" t="b">
        <f t="shared" si="4"/>
        <v>1</v>
      </c>
    </row>
    <row r="67" spans="2:27" ht="17.25" customHeight="1" x14ac:dyDescent="0.25">
      <c r="B67" s="12" t="s">
        <v>302</v>
      </c>
      <c r="C67" t="b">
        <f>B67=Tabela_3__Validação_da_Tabela_PerguntaFormularioTipoAvaliacao[[#This Row],[DescTituloPerguntaFormularioTipoAvaliacao]]</f>
        <v>1</v>
      </c>
      <c r="N67" s="54">
        <v>5</v>
      </c>
      <c r="O67" s="2">
        <v>5</v>
      </c>
      <c r="P67" t="b">
        <f t="shared" ref="P67:P119" si="9">N67=O67</f>
        <v>1</v>
      </c>
      <c r="Y67" s="59" t="s">
        <v>537</v>
      </c>
      <c r="Z67" s="3" t="s">
        <v>537</v>
      </c>
      <c r="AA67" t="b">
        <f t="shared" ref="AA67:AA119" si="10">Y67=Z67</f>
        <v>1</v>
      </c>
    </row>
    <row r="68" spans="2:27" ht="17.25" customHeight="1" x14ac:dyDescent="0.25">
      <c r="B68" s="12" t="s">
        <v>305</v>
      </c>
      <c r="C68" t="b">
        <f>B68=Tabela_3__Validação_da_Tabela_PerguntaFormularioTipoAvaliacao[[#This Row],[DescTituloPerguntaFormularioTipoAvaliacao]]</f>
        <v>1</v>
      </c>
      <c r="N68" s="52">
        <v>18</v>
      </c>
      <c r="O68" s="2">
        <v>18</v>
      </c>
      <c r="P68" t="b">
        <f t="shared" si="9"/>
        <v>1</v>
      </c>
      <c r="Y68" s="58" t="s">
        <v>538</v>
      </c>
      <c r="Z68" s="3" t="s">
        <v>538</v>
      </c>
      <c r="AA68" t="b">
        <f t="shared" si="10"/>
        <v>1</v>
      </c>
    </row>
    <row r="69" spans="2:27" ht="17.25" customHeight="1" x14ac:dyDescent="0.25">
      <c r="B69" s="13" t="s">
        <v>308</v>
      </c>
      <c r="C69" t="b">
        <f>B69=Tabela_3__Validação_da_Tabela_PerguntaFormularioTipoAvaliacao[[#This Row],[DescTituloPerguntaFormularioTipoAvaliacao]]</f>
        <v>1</v>
      </c>
      <c r="N69" s="54">
        <v>18</v>
      </c>
      <c r="O69" s="9">
        <v>18</v>
      </c>
      <c r="P69" t="b">
        <f t="shared" si="9"/>
        <v>1</v>
      </c>
      <c r="Y69" s="59" t="s">
        <v>539</v>
      </c>
      <c r="Z69" s="3" t="s">
        <v>539</v>
      </c>
      <c r="AA69" t="b">
        <f t="shared" si="10"/>
        <v>1</v>
      </c>
    </row>
    <row r="70" spans="2:27" ht="17.25" customHeight="1" x14ac:dyDescent="0.25">
      <c r="B70" s="4" t="s">
        <v>313</v>
      </c>
      <c r="C70" t="b">
        <f>B70=Tabela_3__Validação_da_Tabela_PerguntaFormularioTipoAvaliacao[[#This Row],[DescTituloPerguntaFormularioTipoAvaliacao]]</f>
        <v>1</v>
      </c>
      <c r="N70" s="52">
        <v>0</v>
      </c>
      <c r="O70" s="2">
        <v>0</v>
      </c>
      <c r="P70" t="b">
        <f t="shared" si="9"/>
        <v>1</v>
      </c>
      <c r="Y70" s="58" t="s">
        <v>482</v>
      </c>
      <c r="Z70" s="3"/>
      <c r="AA70" t="b">
        <f t="shared" si="10"/>
        <v>1</v>
      </c>
    </row>
    <row r="71" spans="2:27" ht="17.25" customHeight="1" x14ac:dyDescent="0.25">
      <c r="B71" s="4" t="s">
        <v>314</v>
      </c>
      <c r="C71" t="b">
        <f>B71=Tabela_3__Validação_da_Tabela_PerguntaFormularioTipoAvaliacao[[#This Row],[DescTituloPerguntaFormularioTipoAvaliacao]]</f>
        <v>1</v>
      </c>
      <c r="N71" s="54">
        <v>20</v>
      </c>
      <c r="O71" s="2">
        <v>20</v>
      </c>
      <c r="P71" t="b">
        <f t="shared" si="9"/>
        <v>1</v>
      </c>
      <c r="Y71" s="59" t="s">
        <v>540</v>
      </c>
      <c r="Z71" s="3" t="s">
        <v>540</v>
      </c>
      <c r="AA71" t="b">
        <f t="shared" si="10"/>
        <v>1</v>
      </c>
    </row>
    <row r="72" spans="2:27" ht="17.25" customHeight="1" x14ac:dyDescent="0.25">
      <c r="B72" s="3" t="s">
        <v>316</v>
      </c>
      <c r="C72" t="b">
        <f>B72=Tabela_3__Validação_da_Tabela_PerguntaFormularioTipoAvaliacao[[#This Row],[DescTituloPerguntaFormularioTipoAvaliacao]]</f>
        <v>1</v>
      </c>
      <c r="N72" s="52">
        <v>5</v>
      </c>
      <c r="O72" s="2">
        <v>5</v>
      </c>
      <c r="P72" t="b">
        <f t="shared" si="9"/>
        <v>1</v>
      </c>
      <c r="Y72" s="58" t="s">
        <v>541</v>
      </c>
      <c r="Z72" s="3" t="s">
        <v>541</v>
      </c>
      <c r="AA72" t="b">
        <f t="shared" si="10"/>
        <v>1</v>
      </c>
    </row>
    <row r="73" spans="2:27" ht="17.25" customHeight="1" x14ac:dyDescent="0.25">
      <c r="B73" s="3" t="s">
        <v>318</v>
      </c>
      <c r="C73" t="b">
        <f>B73=Tabela_3__Validação_da_Tabela_PerguntaFormularioTipoAvaliacao[[#This Row],[DescTituloPerguntaFormularioTipoAvaliacao]]</f>
        <v>1</v>
      </c>
      <c r="N73" s="54">
        <v>5</v>
      </c>
      <c r="O73" s="2">
        <v>5</v>
      </c>
      <c r="P73" t="b">
        <f t="shared" si="9"/>
        <v>1</v>
      </c>
      <c r="Y73" s="59" t="s">
        <v>542</v>
      </c>
      <c r="Z73" s="3" t="s">
        <v>542</v>
      </c>
      <c r="AA73" t="b">
        <f t="shared" si="10"/>
        <v>1</v>
      </c>
    </row>
    <row r="74" spans="2:27" ht="17.25" customHeight="1" x14ac:dyDescent="0.25">
      <c r="B74" s="3" t="s">
        <v>321</v>
      </c>
      <c r="C74" t="b">
        <f>B74=Tabela_3__Validação_da_Tabela_PerguntaFormularioTipoAvaliacao[[#This Row],[DescTituloPerguntaFormularioTipoAvaliacao]]</f>
        <v>1</v>
      </c>
      <c r="N74" s="52">
        <v>5</v>
      </c>
      <c r="O74" s="2">
        <v>5</v>
      </c>
      <c r="P74" t="b">
        <f t="shared" si="9"/>
        <v>1</v>
      </c>
      <c r="Y74" s="58" t="s">
        <v>543</v>
      </c>
      <c r="Z74" s="3" t="s">
        <v>543</v>
      </c>
      <c r="AA74" t="b">
        <f t="shared" si="10"/>
        <v>1</v>
      </c>
    </row>
    <row r="75" spans="2:27" ht="17.25" customHeight="1" x14ac:dyDescent="0.25">
      <c r="B75" s="3" t="s">
        <v>323</v>
      </c>
      <c r="C75" t="b">
        <f>B75=Tabela_3__Validação_da_Tabela_PerguntaFormularioTipoAvaliacao[[#This Row],[DescTituloPerguntaFormularioTipoAvaliacao]]</f>
        <v>1</v>
      </c>
      <c r="N75" s="54">
        <v>18</v>
      </c>
      <c r="O75" s="2">
        <v>18</v>
      </c>
      <c r="P75" t="b">
        <f t="shared" si="9"/>
        <v>1</v>
      </c>
      <c r="Y75" s="59" t="s">
        <v>544</v>
      </c>
      <c r="Z75" s="3" t="s">
        <v>544</v>
      </c>
      <c r="AA75" t="b">
        <f t="shared" si="10"/>
        <v>1</v>
      </c>
    </row>
    <row r="76" spans="2:27" ht="17.25" customHeight="1" x14ac:dyDescent="0.25">
      <c r="B76" s="10" t="s">
        <v>325</v>
      </c>
      <c r="C76" t="b">
        <f>B76=Tabela_3__Validação_da_Tabela_PerguntaFormularioTipoAvaliacao[[#This Row],[DescTituloPerguntaFormularioTipoAvaliacao]]</f>
        <v>1</v>
      </c>
      <c r="N76" s="52">
        <v>0</v>
      </c>
      <c r="O76" s="12">
        <v>0</v>
      </c>
      <c r="P76" t="b">
        <f t="shared" si="9"/>
        <v>1</v>
      </c>
      <c r="Y76" s="58" t="s">
        <v>482</v>
      </c>
      <c r="Z76" s="3"/>
      <c r="AA76" t="b">
        <f t="shared" si="10"/>
        <v>1</v>
      </c>
    </row>
    <row r="77" spans="2:27" ht="17.25" customHeight="1" x14ac:dyDescent="0.25">
      <c r="B77" s="3" t="s">
        <v>326</v>
      </c>
      <c r="C77" t="b">
        <f>B77=Tabela_3__Validação_da_Tabela_PerguntaFormularioTipoAvaliacao[[#This Row],[DescTituloPerguntaFormularioTipoAvaliacao]]</f>
        <v>1</v>
      </c>
      <c r="N77" s="54">
        <v>5</v>
      </c>
      <c r="O77" s="2">
        <v>5</v>
      </c>
      <c r="P77" t="b">
        <f t="shared" si="9"/>
        <v>1</v>
      </c>
      <c r="Y77" s="59" t="s">
        <v>545</v>
      </c>
      <c r="Z77" s="3" t="s">
        <v>545</v>
      </c>
      <c r="AA77" t="b">
        <f t="shared" si="10"/>
        <v>1</v>
      </c>
    </row>
    <row r="78" spans="2:27" ht="17.25" customHeight="1" x14ac:dyDescent="0.25">
      <c r="B78" s="3" t="s">
        <v>328</v>
      </c>
      <c r="C78" t="b">
        <f>B78=Tabela_3__Validação_da_Tabela_PerguntaFormularioTipoAvaliacao[[#This Row],[DescTituloPerguntaFormularioTipoAvaliacao]]</f>
        <v>1</v>
      </c>
      <c r="N78" s="52">
        <v>5</v>
      </c>
      <c r="O78" s="2">
        <v>5</v>
      </c>
      <c r="P78" t="b">
        <f t="shared" si="9"/>
        <v>1</v>
      </c>
      <c r="Y78" s="58" t="s">
        <v>546</v>
      </c>
      <c r="Z78" s="3" t="s">
        <v>546</v>
      </c>
      <c r="AA78" t="b">
        <f t="shared" si="10"/>
        <v>1</v>
      </c>
    </row>
    <row r="79" spans="2:27" ht="17.25" customHeight="1" x14ac:dyDescent="0.25">
      <c r="B79" s="3" t="s">
        <v>330</v>
      </c>
      <c r="C79" t="b">
        <f>B79=Tabela_3__Validação_da_Tabela_PerguntaFormularioTipoAvaliacao[[#This Row],[DescTituloPerguntaFormularioTipoAvaliacao]]</f>
        <v>1</v>
      </c>
      <c r="N79" s="54">
        <v>18</v>
      </c>
      <c r="O79" s="2">
        <v>18</v>
      </c>
      <c r="P79" t="b">
        <f t="shared" si="9"/>
        <v>1</v>
      </c>
      <c r="Y79" s="59" t="s">
        <v>547</v>
      </c>
      <c r="Z79" s="3" t="s">
        <v>547</v>
      </c>
      <c r="AA79" t="b">
        <f t="shared" si="10"/>
        <v>1</v>
      </c>
    </row>
    <row r="80" spans="2:27" ht="17.25" customHeight="1" x14ac:dyDescent="0.25">
      <c r="B80" s="3" t="s">
        <v>333</v>
      </c>
      <c r="C80" t="b">
        <f>B80=Tabela_3__Validação_da_Tabela_PerguntaFormularioTipoAvaliacao[[#This Row],[DescTituloPerguntaFormularioTipoAvaliacao]]</f>
        <v>1</v>
      </c>
      <c r="N80" s="52">
        <v>15</v>
      </c>
      <c r="O80" s="2">
        <v>15</v>
      </c>
      <c r="P80" t="b">
        <f t="shared" si="9"/>
        <v>1</v>
      </c>
      <c r="Y80" s="58" t="s">
        <v>548</v>
      </c>
      <c r="Z80" s="3" t="s">
        <v>548</v>
      </c>
      <c r="AA80" t="b">
        <f t="shared" si="10"/>
        <v>1</v>
      </c>
    </row>
    <row r="81" spans="2:28" ht="17.25" customHeight="1" x14ac:dyDescent="0.25">
      <c r="B81" s="8" t="s">
        <v>337</v>
      </c>
      <c r="C81" t="b">
        <f>B81=Tabela_3__Validação_da_Tabela_PerguntaFormularioTipoAvaliacao[[#This Row],[DescTituloPerguntaFormularioTipoAvaliacao]]</f>
        <v>1</v>
      </c>
      <c r="N81" s="54">
        <v>18</v>
      </c>
      <c r="O81" s="9">
        <v>18</v>
      </c>
      <c r="P81" t="b">
        <f t="shared" si="9"/>
        <v>1</v>
      </c>
      <c r="Y81" s="59" t="s">
        <v>549</v>
      </c>
      <c r="Z81" s="3" t="s">
        <v>549</v>
      </c>
      <c r="AA81" t="b">
        <f t="shared" si="10"/>
        <v>1</v>
      </c>
    </row>
    <row r="82" spans="2:28" ht="17.25" customHeight="1" x14ac:dyDescent="0.25">
      <c r="B82" s="4" t="s">
        <v>343</v>
      </c>
      <c r="C82" t="b">
        <f>B82=Tabela_3__Validação_da_Tabela_PerguntaFormularioTipoAvaliacao[[#This Row],[DescTituloPerguntaFormularioTipoAvaliacao]]</f>
        <v>1</v>
      </c>
      <c r="N82" s="52">
        <v>20</v>
      </c>
      <c r="O82" s="2">
        <v>20</v>
      </c>
      <c r="P82" t="b">
        <f t="shared" si="9"/>
        <v>1</v>
      </c>
      <c r="Y82" s="58" t="s">
        <v>550</v>
      </c>
      <c r="Z82" s="3" t="s">
        <v>550</v>
      </c>
      <c r="AA82" t="b">
        <f t="shared" si="10"/>
        <v>1</v>
      </c>
    </row>
    <row r="83" spans="2:28" ht="17.25" customHeight="1" x14ac:dyDescent="0.25">
      <c r="B83" s="3" t="s">
        <v>345</v>
      </c>
      <c r="C83" t="b">
        <f>B83=Tabela_3__Validação_da_Tabela_PerguntaFormularioTipoAvaliacao[[#This Row],[DescTituloPerguntaFormularioTipoAvaliacao]]</f>
        <v>1</v>
      </c>
      <c r="N83" s="54">
        <v>0</v>
      </c>
      <c r="O83" s="2"/>
      <c r="P83" t="b">
        <f t="shared" si="9"/>
        <v>1</v>
      </c>
      <c r="Y83" s="59" t="s">
        <v>482</v>
      </c>
      <c r="Z83" s="3"/>
      <c r="AA83" t="b">
        <f t="shared" si="10"/>
        <v>1</v>
      </c>
    </row>
    <row r="84" spans="2:28" ht="17.25" customHeight="1" x14ac:dyDescent="0.25">
      <c r="B84" s="3" t="s">
        <v>346</v>
      </c>
      <c r="C84" t="b">
        <f>B84=Tabela_3__Validação_da_Tabela_PerguntaFormularioTipoAvaliacao[[#This Row],[DescTituloPerguntaFormularioTipoAvaliacao]]</f>
        <v>1</v>
      </c>
      <c r="N84" s="52">
        <v>5</v>
      </c>
      <c r="O84" s="2">
        <v>5</v>
      </c>
      <c r="P84" t="b">
        <f t="shared" si="9"/>
        <v>1</v>
      </c>
      <c r="Y84" s="58" t="s">
        <v>551</v>
      </c>
      <c r="Z84" s="3" t="s">
        <v>551</v>
      </c>
      <c r="AA84" t="b">
        <f t="shared" si="10"/>
        <v>1</v>
      </c>
    </row>
    <row r="85" spans="2:28" ht="17.25" customHeight="1" x14ac:dyDescent="0.25">
      <c r="B85" s="3" t="s">
        <v>348</v>
      </c>
      <c r="C85" t="b">
        <f>B85=Tabela_3__Validação_da_Tabela_PerguntaFormularioTipoAvaliacao[[#This Row],[DescTituloPerguntaFormularioTipoAvaliacao]]</f>
        <v>1</v>
      </c>
      <c r="N85" s="54">
        <v>5</v>
      </c>
      <c r="O85" s="2">
        <v>5</v>
      </c>
      <c r="P85" t="b">
        <f t="shared" si="9"/>
        <v>1</v>
      </c>
      <c r="Y85" s="59" t="s">
        <v>552</v>
      </c>
      <c r="Z85" s="3" t="s">
        <v>552</v>
      </c>
      <c r="AA85" t="b">
        <f t="shared" si="10"/>
        <v>1</v>
      </c>
    </row>
    <row r="86" spans="2:28" ht="17.25" customHeight="1" x14ac:dyDescent="0.25">
      <c r="B86" s="3" t="s">
        <v>350</v>
      </c>
      <c r="C86" t="b">
        <f>B86=Tabela_3__Validação_da_Tabela_PerguntaFormularioTipoAvaliacao[[#This Row],[DescTituloPerguntaFormularioTipoAvaliacao]]</f>
        <v>1</v>
      </c>
      <c r="N86" s="52">
        <v>5</v>
      </c>
      <c r="O86" s="2">
        <v>5</v>
      </c>
      <c r="P86" t="b">
        <f t="shared" si="9"/>
        <v>1</v>
      </c>
      <c r="Y86" s="58" t="s">
        <v>553</v>
      </c>
      <c r="Z86" s="3" t="s">
        <v>553</v>
      </c>
      <c r="AA86" t="b">
        <f t="shared" si="10"/>
        <v>1</v>
      </c>
    </row>
    <row r="87" spans="2:28" ht="17.25" customHeight="1" x14ac:dyDescent="0.25">
      <c r="B87" s="3" t="s">
        <v>352</v>
      </c>
      <c r="C87" t="b">
        <f>B87=Tabela_3__Validação_da_Tabela_PerguntaFormularioTipoAvaliacao[[#This Row],[DescTituloPerguntaFormularioTipoAvaliacao]]</f>
        <v>1</v>
      </c>
      <c r="N87" s="54">
        <v>25</v>
      </c>
      <c r="O87" s="2">
        <v>25</v>
      </c>
      <c r="P87" t="b">
        <f t="shared" si="9"/>
        <v>1</v>
      </c>
      <c r="Y87" s="59" t="s">
        <v>482</v>
      </c>
      <c r="Z87" s="3"/>
      <c r="AA87" t="b">
        <f t="shared" si="10"/>
        <v>1</v>
      </c>
    </row>
    <row r="88" spans="2:28" ht="17.25" customHeight="1" x14ac:dyDescent="0.25">
      <c r="B88" s="3" t="s">
        <v>354</v>
      </c>
      <c r="C88" t="b">
        <f>B88=Tabela_3__Validação_da_Tabela_PerguntaFormularioTipoAvaliacao[[#This Row],[DescTituloPerguntaFormularioTipoAvaliacao]]</f>
        <v>1</v>
      </c>
      <c r="N88" s="52">
        <v>15</v>
      </c>
      <c r="O88" s="2">
        <v>15</v>
      </c>
      <c r="P88" t="b">
        <f t="shared" si="9"/>
        <v>1</v>
      </c>
      <c r="Y88" s="58" t="s">
        <v>554</v>
      </c>
      <c r="Z88" s="3" t="s">
        <v>554</v>
      </c>
      <c r="AA88" t="b">
        <f t="shared" si="10"/>
        <v>1</v>
      </c>
    </row>
    <row r="89" spans="2:28" ht="17.25" customHeight="1" x14ac:dyDescent="0.25">
      <c r="B89" s="3" t="s">
        <v>356</v>
      </c>
      <c r="C89" t="b">
        <f>B89=Tabela_3__Validação_da_Tabela_PerguntaFormularioTipoAvaliacao[[#This Row],[DescTituloPerguntaFormularioTipoAvaliacao]]</f>
        <v>1</v>
      </c>
      <c r="N89" s="54">
        <v>0</v>
      </c>
      <c r="O89" s="2">
        <v>0</v>
      </c>
      <c r="P89" t="b">
        <f t="shared" si="9"/>
        <v>1</v>
      </c>
      <c r="Y89" s="59" t="s">
        <v>482</v>
      </c>
      <c r="Z89" s="3"/>
      <c r="AA89" t="b">
        <f t="shared" si="10"/>
        <v>1</v>
      </c>
    </row>
    <row r="90" spans="2:28" ht="17.25" customHeight="1" x14ac:dyDescent="0.25">
      <c r="B90" s="3" t="s">
        <v>357</v>
      </c>
      <c r="C90" t="b">
        <f>B90=Tabela_3__Validação_da_Tabela_PerguntaFormularioTipoAvaliacao[[#This Row],[DescTituloPerguntaFormularioTipoAvaliacao]]</f>
        <v>1</v>
      </c>
      <c r="N90" s="52">
        <v>5</v>
      </c>
      <c r="O90" s="2">
        <v>5</v>
      </c>
      <c r="P90" t="b">
        <f t="shared" si="9"/>
        <v>1</v>
      </c>
      <c r="Y90" s="58" t="s">
        <v>555</v>
      </c>
      <c r="Z90" s="3" t="s">
        <v>611</v>
      </c>
      <c r="AA90" s="61" t="b">
        <f t="shared" si="10"/>
        <v>0</v>
      </c>
      <c r="AB90" t="s">
        <v>589</v>
      </c>
    </row>
    <row r="91" spans="2:28" ht="17.25" customHeight="1" x14ac:dyDescent="0.25">
      <c r="B91" s="3" t="s">
        <v>359</v>
      </c>
      <c r="C91" t="b">
        <f>B91=Tabela_3__Validação_da_Tabela_PerguntaFormularioTipoAvaliacao[[#This Row],[DescTituloPerguntaFormularioTipoAvaliacao]]</f>
        <v>1</v>
      </c>
      <c r="N91" s="54">
        <v>5</v>
      </c>
      <c r="O91" s="2">
        <v>5</v>
      </c>
      <c r="P91" t="b">
        <f t="shared" si="9"/>
        <v>1</v>
      </c>
      <c r="Y91" s="59" t="s">
        <v>555</v>
      </c>
      <c r="Z91" s="3" t="s">
        <v>555</v>
      </c>
      <c r="AA91" t="b">
        <f t="shared" si="10"/>
        <v>1</v>
      </c>
    </row>
    <row r="92" spans="2:28" ht="17.25" customHeight="1" x14ac:dyDescent="0.25">
      <c r="B92" s="10" t="s">
        <v>361</v>
      </c>
      <c r="C92" t="b">
        <f>B92=Tabela_3__Validação_da_Tabela_PerguntaFormularioTipoAvaliacao[[#This Row],[DescTituloPerguntaFormularioTipoAvaliacao]]</f>
        <v>1</v>
      </c>
      <c r="N92" s="52">
        <v>18</v>
      </c>
      <c r="O92" s="2">
        <v>18</v>
      </c>
      <c r="P92" t="b">
        <f t="shared" si="9"/>
        <v>1</v>
      </c>
      <c r="Y92" s="58" t="s">
        <v>556</v>
      </c>
      <c r="Z92" s="3" t="s">
        <v>556</v>
      </c>
      <c r="AA92" t="b">
        <f t="shared" si="10"/>
        <v>1</v>
      </c>
    </row>
    <row r="93" spans="2:28" ht="17.25" customHeight="1" x14ac:dyDescent="0.25">
      <c r="B93" s="3" t="s">
        <v>366</v>
      </c>
      <c r="C93" t="b">
        <f>B93=Tabela_3__Validação_da_Tabela_PerguntaFormularioTipoAvaliacao[[#This Row],[DescTituloPerguntaFormularioTipoAvaliacao]]</f>
        <v>1</v>
      </c>
      <c r="N93" s="54">
        <v>0</v>
      </c>
      <c r="O93" s="2">
        <v>0</v>
      </c>
      <c r="P93" t="b">
        <f t="shared" si="9"/>
        <v>1</v>
      </c>
      <c r="Y93" s="59" t="s">
        <v>482</v>
      </c>
      <c r="Z93" s="3"/>
      <c r="AA93" t="b">
        <f t="shared" si="10"/>
        <v>1</v>
      </c>
    </row>
    <row r="94" spans="2:28" ht="17.25" customHeight="1" x14ac:dyDescent="0.25">
      <c r="B94" s="3" t="s">
        <v>367</v>
      </c>
      <c r="C94" t="b">
        <f>B94=Tabela_3__Validação_da_Tabela_PerguntaFormularioTipoAvaliacao[[#This Row],[DescTituloPerguntaFormularioTipoAvaliacao]]</f>
        <v>1</v>
      </c>
      <c r="N94" s="52">
        <v>5</v>
      </c>
      <c r="O94" s="2">
        <v>5</v>
      </c>
      <c r="P94" t="b">
        <f t="shared" si="9"/>
        <v>1</v>
      </c>
      <c r="Y94" s="58" t="s">
        <v>557</v>
      </c>
      <c r="Z94" s="3" t="s">
        <v>557</v>
      </c>
      <c r="AA94" t="b">
        <f t="shared" si="10"/>
        <v>1</v>
      </c>
    </row>
    <row r="95" spans="2:28" ht="17.25" customHeight="1" x14ac:dyDescent="0.25">
      <c r="B95" s="3" t="s">
        <v>368</v>
      </c>
      <c r="C95" t="b">
        <f>B95=Tabela_3__Validação_da_Tabela_PerguntaFormularioTipoAvaliacao[[#This Row],[DescTituloPerguntaFormularioTipoAvaliacao]]</f>
        <v>1</v>
      </c>
      <c r="N95" s="54">
        <v>5</v>
      </c>
      <c r="O95" s="2">
        <v>5</v>
      </c>
      <c r="P95" t="b">
        <f t="shared" si="9"/>
        <v>1</v>
      </c>
      <c r="Y95" s="59" t="s">
        <v>558</v>
      </c>
      <c r="Z95" s="3" t="s">
        <v>558</v>
      </c>
      <c r="AA95" t="b">
        <f t="shared" si="10"/>
        <v>1</v>
      </c>
    </row>
    <row r="96" spans="2:28" ht="17.25" customHeight="1" x14ac:dyDescent="0.25">
      <c r="B96" s="3" t="s">
        <v>369</v>
      </c>
      <c r="C96" t="b">
        <f>B96=Tabela_3__Validação_da_Tabela_PerguntaFormularioTipoAvaliacao[[#This Row],[DescTituloPerguntaFormularioTipoAvaliacao]]</f>
        <v>1</v>
      </c>
      <c r="N96" s="52">
        <v>5</v>
      </c>
      <c r="O96" s="2">
        <v>5</v>
      </c>
      <c r="P96" t="b">
        <f t="shared" si="9"/>
        <v>1</v>
      </c>
      <c r="Y96" s="58" t="s">
        <v>559</v>
      </c>
      <c r="Z96" s="3" t="s">
        <v>559</v>
      </c>
      <c r="AA96" t="b">
        <f t="shared" si="10"/>
        <v>1</v>
      </c>
    </row>
    <row r="97" spans="2:27" ht="17.25" customHeight="1" x14ac:dyDescent="0.25">
      <c r="B97" s="3" t="s">
        <v>370</v>
      </c>
      <c r="C97" t="b">
        <f>B97=Tabela_3__Validação_da_Tabela_PerguntaFormularioTipoAvaliacao[[#This Row],[DescTituloPerguntaFormularioTipoAvaliacao]]</f>
        <v>1</v>
      </c>
      <c r="N97" s="54">
        <v>5</v>
      </c>
      <c r="O97" s="2">
        <v>5</v>
      </c>
      <c r="P97" t="b">
        <f t="shared" si="9"/>
        <v>1</v>
      </c>
      <c r="Y97" s="59" t="s">
        <v>560</v>
      </c>
      <c r="Z97" s="3" t="s">
        <v>560</v>
      </c>
      <c r="AA97" t="b">
        <f t="shared" si="10"/>
        <v>1</v>
      </c>
    </row>
    <row r="98" spans="2:27" ht="17.25" customHeight="1" x14ac:dyDescent="0.25">
      <c r="B98" s="1" t="s">
        <v>371</v>
      </c>
      <c r="C98" t="b">
        <f>B98=Tabela_3__Validação_da_Tabela_PerguntaFormularioTipoAvaliacao[[#This Row],[DescTituloPerguntaFormularioTipoAvaliacao]]</f>
        <v>1</v>
      </c>
      <c r="N98" s="52">
        <v>18</v>
      </c>
      <c r="O98" s="14">
        <v>18</v>
      </c>
      <c r="P98" t="b">
        <f t="shared" si="9"/>
        <v>1</v>
      </c>
      <c r="Y98" s="58" t="s">
        <v>561</v>
      </c>
      <c r="Z98" s="3" t="s">
        <v>561</v>
      </c>
      <c r="AA98" t="b">
        <f t="shared" si="10"/>
        <v>1</v>
      </c>
    </row>
    <row r="99" spans="2:27" ht="17.25" customHeight="1" x14ac:dyDescent="0.25">
      <c r="B99" s="4" t="s">
        <v>376</v>
      </c>
      <c r="C99" t="b">
        <f>B99=Tabela_3__Validação_da_Tabela_PerguntaFormularioTipoAvaliacao[[#This Row],[DescTituloPerguntaFormularioTipoAvaliacao]]</f>
        <v>1</v>
      </c>
      <c r="N99" s="54">
        <v>20</v>
      </c>
      <c r="O99" s="2">
        <v>20</v>
      </c>
      <c r="P99" t="b">
        <f t="shared" si="9"/>
        <v>1</v>
      </c>
      <c r="Y99" s="59" t="s">
        <v>562</v>
      </c>
      <c r="Z99" s="3" t="s">
        <v>562</v>
      </c>
      <c r="AA99" t="b">
        <f t="shared" si="10"/>
        <v>1</v>
      </c>
    </row>
    <row r="100" spans="2:27" ht="17.25" customHeight="1" x14ac:dyDescent="0.25">
      <c r="B100" s="3" t="s">
        <v>378</v>
      </c>
      <c r="C100" t="b">
        <f>B100=Tabela_3__Validação_da_Tabela_PerguntaFormularioTipoAvaliacao[[#This Row],[DescTituloPerguntaFormularioTipoAvaliacao]]</f>
        <v>1</v>
      </c>
      <c r="N100" s="52">
        <v>0</v>
      </c>
      <c r="O100" s="2">
        <v>0</v>
      </c>
      <c r="P100" t="b">
        <f t="shared" si="9"/>
        <v>1</v>
      </c>
      <c r="Y100" s="58" t="s">
        <v>482</v>
      </c>
      <c r="Z100" s="3"/>
      <c r="AA100" t="b">
        <f t="shared" si="10"/>
        <v>1</v>
      </c>
    </row>
    <row r="101" spans="2:27" ht="17.25" customHeight="1" x14ac:dyDescent="0.25">
      <c r="B101" s="3" t="s">
        <v>379</v>
      </c>
      <c r="C101" t="b">
        <f>B101=Tabela_3__Validação_da_Tabela_PerguntaFormularioTipoAvaliacao[[#This Row],[DescTituloPerguntaFormularioTipoAvaliacao]]</f>
        <v>1</v>
      </c>
      <c r="N101" s="54">
        <v>5</v>
      </c>
      <c r="O101" s="2">
        <v>5</v>
      </c>
      <c r="P101" t="b">
        <f t="shared" si="9"/>
        <v>1</v>
      </c>
      <c r="Y101" s="59" t="s">
        <v>563</v>
      </c>
      <c r="Z101" s="3" t="s">
        <v>563</v>
      </c>
      <c r="AA101" t="b">
        <f t="shared" si="10"/>
        <v>1</v>
      </c>
    </row>
    <row r="102" spans="2:27" ht="17.25" customHeight="1" x14ac:dyDescent="0.25">
      <c r="B102" s="3" t="s">
        <v>381</v>
      </c>
      <c r="C102" t="b">
        <f>B102=Tabela_3__Validação_da_Tabela_PerguntaFormularioTipoAvaliacao[[#This Row],[DescTituloPerguntaFormularioTipoAvaliacao]]</f>
        <v>1</v>
      </c>
      <c r="N102" s="52">
        <v>5</v>
      </c>
      <c r="O102" s="2">
        <v>5</v>
      </c>
      <c r="P102" t="b">
        <f t="shared" si="9"/>
        <v>1</v>
      </c>
      <c r="Y102" s="58" t="s">
        <v>564</v>
      </c>
      <c r="Z102" s="3" t="s">
        <v>564</v>
      </c>
      <c r="AA102" t="b">
        <f t="shared" si="10"/>
        <v>1</v>
      </c>
    </row>
    <row r="103" spans="2:27" ht="17.25" customHeight="1" x14ac:dyDescent="0.25">
      <c r="B103" s="3" t="s">
        <v>382</v>
      </c>
      <c r="C103" t="b">
        <f>B103=Tabela_3__Validação_da_Tabela_PerguntaFormularioTipoAvaliacao[[#This Row],[DescTituloPerguntaFormularioTipoAvaliacao]]</f>
        <v>1</v>
      </c>
      <c r="N103" s="54">
        <v>5</v>
      </c>
      <c r="O103" s="2">
        <v>5</v>
      </c>
      <c r="P103" t="b">
        <f t="shared" si="9"/>
        <v>1</v>
      </c>
      <c r="Y103" s="59" t="s">
        <v>565</v>
      </c>
      <c r="Z103" s="3" t="s">
        <v>565</v>
      </c>
      <c r="AA103" t="b">
        <f t="shared" si="10"/>
        <v>1</v>
      </c>
    </row>
    <row r="104" spans="2:27" ht="17.25" customHeight="1" x14ac:dyDescent="0.25">
      <c r="B104" s="3" t="s">
        <v>384</v>
      </c>
      <c r="C104" t="b">
        <f>B104=Tabela_3__Validação_da_Tabela_PerguntaFormularioTipoAvaliacao[[#This Row],[DescTituloPerguntaFormularioTipoAvaliacao]]</f>
        <v>1</v>
      </c>
      <c r="N104" s="52">
        <v>0</v>
      </c>
      <c r="O104" s="2">
        <v>0</v>
      </c>
      <c r="P104" t="b">
        <f t="shared" si="9"/>
        <v>1</v>
      </c>
      <c r="Y104" s="58" t="s">
        <v>482</v>
      </c>
      <c r="Z104" s="3"/>
      <c r="AA104" t="b">
        <f t="shared" si="10"/>
        <v>1</v>
      </c>
    </row>
    <row r="105" spans="2:27" ht="17.25" customHeight="1" x14ac:dyDescent="0.25">
      <c r="B105" s="3" t="s">
        <v>385</v>
      </c>
      <c r="C105" t="b">
        <f>B105=Tabela_3__Validação_da_Tabela_PerguntaFormularioTipoAvaliacao[[#This Row],[DescTituloPerguntaFormularioTipoAvaliacao]]</f>
        <v>1</v>
      </c>
      <c r="N105" s="54">
        <v>15</v>
      </c>
      <c r="O105" s="2">
        <v>15</v>
      </c>
      <c r="P105" t="b">
        <f t="shared" si="9"/>
        <v>1</v>
      </c>
      <c r="Y105" s="59" t="s">
        <v>566</v>
      </c>
      <c r="Z105" s="3" t="s">
        <v>566</v>
      </c>
      <c r="AA105" t="b">
        <f t="shared" si="10"/>
        <v>1</v>
      </c>
    </row>
    <row r="106" spans="2:27" ht="17.25" customHeight="1" x14ac:dyDescent="0.25">
      <c r="B106" s="3" t="s">
        <v>387</v>
      </c>
      <c r="C106" t="b">
        <f>B106=Tabela_3__Validação_da_Tabela_PerguntaFormularioTipoAvaliacao[[#This Row],[DescTituloPerguntaFormularioTipoAvaliacao]]</f>
        <v>1</v>
      </c>
      <c r="N106" s="52">
        <v>15</v>
      </c>
      <c r="O106" s="2">
        <v>15</v>
      </c>
      <c r="P106" t="b">
        <f t="shared" si="9"/>
        <v>1</v>
      </c>
      <c r="Y106" s="58" t="s">
        <v>567</v>
      </c>
      <c r="Z106" s="3" t="s">
        <v>567</v>
      </c>
      <c r="AA106" t="b">
        <f t="shared" si="10"/>
        <v>1</v>
      </c>
    </row>
    <row r="107" spans="2:27" ht="17.25" customHeight="1" x14ac:dyDescent="0.25">
      <c r="B107" s="8" t="s">
        <v>389</v>
      </c>
      <c r="C107" t="b">
        <f>B107=Tabela_3__Validação_da_Tabela_PerguntaFormularioTipoAvaliacao[[#This Row],[DescTituloPerguntaFormularioTipoAvaliacao]]</f>
        <v>1</v>
      </c>
      <c r="N107" s="54">
        <v>18</v>
      </c>
      <c r="O107" s="9">
        <v>18</v>
      </c>
      <c r="P107" t="b">
        <f t="shared" si="9"/>
        <v>1</v>
      </c>
      <c r="Y107" s="59" t="s">
        <v>568</v>
      </c>
      <c r="Z107" s="3" t="s">
        <v>568</v>
      </c>
      <c r="AA107" t="b">
        <f t="shared" si="10"/>
        <v>1</v>
      </c>
    </row>
    <row r="108" spans="2:27" ht="17.25" customHeight="1" x14ac:dyDescent="0.25">
      <c r="B108" s="3" t="s">
        <v>396</v>
      </c>
      <c r="C108" t="b">
        <f>B108=Tabela_3__Validação_da_Tabela_PerguntaFormularioTipoAvaliacao[[#This Row],[DescTituloPerguntaFormularioTipoAvaliacao]]</f>
        <v>1</v>
      </c>
      <c r="N108" s="52">
        <v>5</v>
      </c>
      <c r="O108" s="2">
        <v>5</v>
      </c>
      <c r="P108" t="b">
        <f t="shared" si="9"/>
        <v>1</v>
      </c>
      <c r="Y108" s="58" t="s">
        <v>569</v>
      </c>
      <c r="Z108" s="3" t="s">
        <v>569</v>
      </c>
      <c r="AA108" t="b">
        <f t="shared" si="10"/>
        <v>1</v>
      </c>
    </row>
    <row r="109" spans="2:27" ht="17.25" customHeight="1" x14ac:dyDescent="0.25">
      <c r="B109" s="3" t="s">
        <v>399</v>
      </c>
      <c r="C109" t="b">
        <f>B109=Tabela_3__Validação_da_Tabela_PerguntaFormularioTipoAvaliacao[[#This Row],[DescTituloPerguntaFormularioTipoAvaliacao]]</f>
        <v>1</v>
      </c>
      <c r="N109" s="54">
        <v>5</v>
      </c>
      <c r="O109" s="2">
        <v>5</v>
      </c>
      <c r="P109" t="b">
        <f t="shared" si="9"/>
        <v>1</v>
      </c>
      <c r="Y109" s="59" t="s">
        <v>570</v>
      </c>
      <c r="Z109" s="3" t="s">
        <v>570</v>
      </c>
      <c r="AA109" t="b">
        <f t="shared" si="10"/>
        <v>1</v>
      </c>
    </row>
    <row r="110" spans="2:27" ht="17.25" customHeight="1" x14ac:dyDescent="0.25">
      <c r="B110" s="3" t="s">
        <v>403</v>
      </c>
      <c r="C110" t="b">
        <f>B110=Tabela_3__Validação_da_Tabela_PerguntaFormularioTipoAvaliacao[[#This Row],[DescTituloPerguntaFormularioTipoAvaliacao]]</f>
        <v>1</v>
      </c>
      <c r="N110" s="52">
        <v>5</v>
      </c>
      <c r="O110" s="2">
        <v>5</v>
      </c>
      <c r="P110" t="b">
        <f t="shared" si="9"/>
        <v>1</v>
      </c>
      <c r="Y110" s="58" t="s">
        <v>571</v>
      </c>
      <c r="Z110" s="3" t="s">
        <v>571</v>
      </c>
      <c r="AA110" t="b">
        <f t="shared" si="10"/>
        <v>1</v>
      </c>
    </row>
    <row r="111" spans="2:27" ht="17.25" customHeight="1" x14ac:dyDescent="0.25">
      <c r="B111" s="3" t="s">
        <v>405</v>
      </c>
      <c r="C111" t="b">
        <f>B111=Tabela_3__Validação_da_Tabela_PerguntaFormularioTipoAvaliacao[[#This Row],[DescTituloPerguntaFormularioTipoAvaliacao]]</f>
        <v>1</v>
      </c>
      <c r="N111" s="54">
        <v>5</v>
      </c>
      <c r="O111" s="2">
        <v>5</v>
      </c>
      <c r="P111" t="b">
        <f t="shared" si="9"/>
        <v>1</v>
      </c>
      <c r="Y111" s="59" t="s">
        <v>572</v>
      </c>
      <c r="Z111" s="3" t="s">
        <v>572</v>
      </c>
      <c r="AA111" t="b">
        <f t="shared" si="10"/>
        <v>1</v>
      </c>
    </row>
    <row r="112" spans="2:27" ht="17.25" customHeight="1" x14ac:dyDescent="0.25">
      <c r="B112" s="4" t="s">
        <v>408</v>
      </c>
      <c r="C112" t="b">
        <f>B112=Tabela_3__Validação_da_Tabela_PerguntaFormularioTipoAvaliacao[[#This Row],[DescTituloPerguntaFormularioTipoAvaliacao]]</f>
        <v>1</v>
      </c>
      <c r="N112" s="52">
        <v>20</v>
      </c>
      <c r="O112" s="2">
        <v>20</v>
      </c>
      <c r="P112" t="b">
        <f t="shared" si="9"/>
        <v>1</v>
      </c>
      <c r="Y112" s="58" t="s">
        <v>573</v>
      </c>
      <c r="Z112" s="3" t="s">
        <v>573</v>
      </c>
      <c r="AA112" t="b">
        <f t="shared" si="10"/>
        <v>1</v>
      </c>
    </row>
    <row r="113" spans="2:27" ht="17.25" customHeight="1" x14ac:dyDescent="0.25">
      <c r="B113" s="3" t="s">
        <v>410</v>
      </c>
      <c r="C113" t="b">
        <f>B113=Tabela_3__Validação_da_Tabela_PerguntaFormularioTipoAvaliacao[[#This Row],[DescTituloPerguntaFormularioTipoAvaliacao]]</f>
        <v>1</v>
      </c>
      <c r="N113" s="54">
        <v>0</v>
      </c>
      <c r="O113" s="2">
        <v>0</v>
      </c>
      <c r="P113" t="b">
        <f t="shared" si="9"/>
        <v>1</v>
      </c>
      <c r="Y113" s="59" t="s">
        <v>482</v>
      </c>
      <c r="Z113" s="3"/>
      <c r="AA113" t="b">
        <f t="shared" si="10"/>
        <v>1</v>
      </c>
    </row>
    <row r="114" spans="2:27" ht="17.25" customHeight="1" x14ac:dyDescent="0.25">
      <c r="B114" s="3" t="s">
        <v>411</v>
      </c>
      <c r="C114" t="b">
        <f>B114=Tabela_3__Validação_da_Tabela_PerguntaFormularioTipoAvaliacao[[#This Row],[DescTituloPerguntaFormularioTipoAvaliacao]]</f>
        <v>1</v>
      </c>
      <c r="N114" s="52">
        <v>5</v>
      </c>
      <c r="O114" s="2">
        <v>5</v>
      </c>
      <c r="P114" t="b">
        <f t="shared" si="9"/>
        <v>1</v>
      </c>
      <c r="Y114" s="58" t="s">
        <v>574</v>
      </c>
      <c r="Z114" s="3" t="s">
        <v>574</v>
      </c>
      <c r="AA114" t="b">
        <f t="shared" si="10"/>
        <v>1</v>
      </c>
    </row>
    <row r="115" spans="2:27" ht="17.25" customHeight="1" x14ac:dyDescent="0.25">
      <c r="B115" s="3" t="s">
        <v>413</v>
      </c>
      <c r="C115" t="b">
        <f>B115=Tabela_3__Validação_da_Tabela_PerguntaFormularioTipoAvaliacao[[#This Row],[DescTituloPerguntaFormularioTipoAvaliacao]]</f>
        <v>1</v>
      </c>
      <c r="N115" s="54">
        <v>5</v>
      </c>
      <c r="O115" s="2">
        <v>5</v>
      </c>
      <c r="P115" t="b">
        <f t="shared" si="9"/>
        <v>1</v>
      </c>
      <c r="Y115" s="59" t="s">
        <v>575</v>
      </c>
      <c r="Z115" s="3" t="s">
        <v>575</v>
      </c>
      <c r="AA115" t="b">
        <f t="shared" si="10"/>
        <v>1</v>
      </c>
    </row>
    <row r="116" spans="2:27" ht="17.25" customHeight="1" x14ac:dyDescent="0.25">
      <c r="B116" s="3" t="s">
        <v>415</v>
      </c>
      <c r="C116" t="b">
        <f>B116=Tabela_3__Validação_da_Tabela_PerguntaFormularioTipoAvaliacao[[#This Row],[DescTituloPerguntaFormularioTipoAvaliacao]]</f>
        <v>1</v>
      </c>
      <c r="N116" s="52">
        <v>5</v>
      </c>
      <c r="O116" s="2">
        <v>5</v>
      </c>
      <c r="P116" t="b">
        <f t="shared" si="9"/>
        <v>1</v>
      </c>
      <c r="Y116" s="58" t="s">
        <v>576</v>
      </c>
      <c r="Z116" s="3" t="s">
        <v>576</v>
      </c>
      <c r="AA116" t="b">
        <f t="shared" si="10"/>
        <v>1</v>
      </c>
    </row>
    <row r="117" spans="2:27" ht="17.25" customHeight="1" x14ac:dyDescent="0.25">
      <c r="B117" s="3" t="s">
        <v>416</v>
      </c>
      <c r="C117" t="b">
        <f>B117=Tabela_3__Validação_da_Tabela_PerguntaFormularioTipoAvaliacao[[#This Row],[DescTituloPerguntaFormularioTipoAvaliacao]]</f>
        <v>1</v>
      </c>
      <c r="N117" s="54">
        <v>5</v>
      </c>
      <c r="O117" s="2">
        <v>5</v>
      </c>
      <c r="P117" t="b">
        <f t="shared" si="9"/>
        <v>1</v>
      </c>
      <c r="Y117" s="59" t="s">
        <v>577</v>
      </c>
      <c r="Z117" s="3" t="s">
        <v>577</v>
      </c>
      <c r="AA117" t="b">
        <f t="shared" si="10"/>
        <v>1</v>
      </c>
    </row>
    <row r="118" spans="2:27" ht="17.25" customHeight="1" x14ac:dyDescent="0.25">
      <c r="B118" s="10" t="s">
        <v>418</v>
      </c>
      <c r="C118" t="b">
        <f>B118=Tabela_3__Validação_da_Tabela_PerguntaFormularioTipoAvaliacao[[#This Row],[DescTituloPerguntaFormularioTipoAvaliacao]]</f>
        <v>1</v>
      </c>
      <c r="N118" s="52">
        <v>5</v>
      </c>
      <c r="O118" s="2">
        <v>5</v>
      </c>
      <c r="P118" t="b">
        <f t="shared" si="9"/>
        <v>1</v>
      </c>
      <c r="Y118" s="58" t="s">
        <v>578</v>
      </c>
      <c r="Z118" s="3" t="s">
        <v>578</v>
      </c>
      <c r="AA118" t="b">
        <f t="shared" si="10"/>
        <v>1</v>
      </c>
    </row>
    <row r="119" spans="2:27" ht="17.25" customHeight="1" x14ac:dyDescent="0.25">
      <c r="B119" s="8" t="s">
        <v>419</v>
      </c>
      <c r="C119" t="b">
        <f>B119=Tabela_3__Validação_da_Tabela_PerguntaFormularioTipoAvaliacao[[#This Row],[DescTituloPerguntaFormularioTipoAvaliacao]]</f>
        <v>1</v>
      </c>
      <c r="N119" s="54">
        <v>18</v>
      </c>
      <c r="O119" s="9">
        <v>18</v>
      </c>
      <c r="P119" t="b">
        <f t="shared" si="9"/>
        <v>1</v>
      </c>
      <c r="Y119" s="59" t="s">
        <v>579</v>
      </c>
      <c r="Z119" s="3" t="s">
        <v>579</v>
      </c>
      <c r="AA119" t="b">
        <f t="shared" si="10"/>
        <v>1</v>
      </c>
    </row>
  </sheetData>
  <autoFilter ref="Y1:AB119" xr:uid="{93A803C9-39C8-40DF-BD6C-FFFD224CCE8E}"/>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FD50-FE66-48E9-87E7-E3D4ED5D7C6A}">
  <dimension ref="A1:G24"/>
  <sheetViews>
    <sheetView workbookViewId="0">
      <selection activeCell="A2" sqref="A2:A24"/>
    </sheetView>
  </sheetViews>
  <sheetFormatPr defaultRowHeight="15" x14ac:dyDescent="0.25"/>
  <cols>
    <col min="1" max="1" width="11.5703125" customWidth="1"/>
    <col min="2" max="2" width="36" customWidth="1"/>
    <col min="3" max="3" width="22.28515625" bestFit="1" customWidth="1"/>
    <col min="4" max="4" width="25.5703125" bestFit="1" customWidth="1"/>
    <col min="5" max="5" width="12.28515625" customWidth="1"/>
    <col min="6" max="6" width="7.7109375" customWidth="1"/>
    <col min="7" max="7" width="31.5703125" bestFit="1" customWidth="1"/>
  </cols>
  <sheetData>
    <row r="1" spans="1:7" x14ac:dyDescent="0.25">
      <c r="A1" t="s">
        <v>462</v>
      </c>
      <c r="B1" t="s">
        <v>612</v>
      </c>
      <c r="C1" t="s">
        <v>613</v>
      </c>
      <c r="D1" t="s">
        <v>614</v>
      </c>
      <c r="E1" t="s">
        <v>615</v>
      </c>
      <c r="F1" t="s">
        <v>616</v>
      </c>
      <c r="G1" t="s">
        <v>617</v>
      </c>
    </row>
    <row r="2" spans="1:7" x14ac:dyDescent="0.25">
      <c r="A2">
        <v>293</v>
      </c>
      <c r="B2" t="s">
        <v>147</v>
      </c>
      <c r="C2">
        <v>1</v>
      </c>
      <c r="D2">
        <v>0</v>
      </c>
      <c r="E2" s="66" t="s">
        <v>618</v>
      </c>
      <c r="F2" s="66">
        <v>48</v>
      </c>
      <c r="G2">
        <v>112</v>
      </c>
    </row>
    <row r="3" spans="1:7" x14ac:dyDescent="0.25">
      <c r="A3">
        <v>294</v>
      </c>
      <c r="B3" t="s">
        <v>162</v>
      </c>
      <c r="C3">
        <v>2</v>
      </c>
      <c r="D3">
        <v>0</v>
      </c>
      <c r="E3" s="66" t="s">
        <v>619</v>
      </c>
      <c r="F3" s="66">
        <v>53</v>
      </c>
      <c r="G3">
        <v>112</v>
      </c>
    </row>
    <row r="4" spans="1:7" x14ac:dyDescent="0.25">
      <c r="A4">
        <v>295</v>
      </c>
      <c r="B4" t="s">
        <v>171</v>
      </c>
      <c r="C4">
        <v>3</v>
      </c>
      <c r="D4">
        <v>0</v>
      </c>
      <c r="E4" s="66" t="s">
        <v>620</v>
      </c>
      <c r="F4" s="66">
        <v>53</v>
      </c>
      <c r="G4">
        <v>112</v>
      </c>
    </row>
    <row r="5" spans="1:7" x14ac:dyDescent="0.25">
      <c r="A5">
        <v>297</v>
      </c>
      <c r="B5" t="s">
        <v>185</v>
      </c>
      <c r="C5">
        <v>1</v>
      </c>
      <c r="D5">
        <v>0</v>
      </c>
      <c r="E5" s="66" t="s">
        <v>621</v>
      </c>
      <c r="F5" s="66">
        <v>68</v>
      </c>
      <c r="G5">
        <v>113</v>
      </c>
    </row>
    <row r="6" spans="1:7" x14ac:dyDescent="0.25">
      <c r="A6">
        <v>296</v>
      </c>
      <c r="B6" t="s">
        <v>194</v>
      </c>
      <c r="C6">
        <v>2</v>
      </c>
      <c r="D6">
        <v>0</v>
      </c>
      <c r="E6" s="66" t="s">
        <v>622</v>
      </c>
      <c r="F6" s="66">
        <v>40</v>
      </c>
      <c r="G6">
        <v>113</v>
      </c>
    </row>
    <row r="7" spans="1:7" x14ac:dyDescent="0.25">
      <c r="A7">
        <v>298</v>
      </c>
      <c r="B7" t="s">
        <v>202</v>
      </c>
      <c r="C7">
        <v>1</v>
      </c>
      <c r="D7">
        <v>0</v>
      </c>
      <c r="E7" s="66" t="s">
        <v>623</v>
      </c>
      <c r="F7" s="66">
        <v>78</v>
      </c>
      <c r="G7">
        <v>114</v>
      </c>
    </row>
    <row r="8" spans="1:7" x14ac:dyDescent="0.25">
      <c r="A8">
        <v>299</v>
      </c>
      <c r="B8" t="s">
        <v>224</v>
      </c>
      <c r="C8">
        <v>1</v>
      </c>
      <c r="D8">
        <v>0</v>
      </c>
      <c r="E8" s="66" t="s">
        <v>624</v>
      </c>
      <c r="F8" s="66">
        <v>91</v>
      </c>
      <c r="G8">
        <v>115</v>
      </c>
    </row>
    <row r="9" spans="1:7" x14ac:dyDescent="0.25">
      <c r="A9">
        <v>301</v>
      </c>
      <c r="B9" t="s">
        <v>246</v>
      </c>
      <c r="C9">
        <v>1</v>
      </c>
      <c r="D9">
        <v>0</v>
      </c>
      <c r="E9" s="66" t="s">
        <v>625</v>
      </c>
      <c r="F9" s="66">
        <v>65</v>
      </c>
      <c r="G9">
        <v>116</v>
      </c>
    </row>
    <row r="10" spans="1:7" x14ac:dyDescent="0.25">
      <c r="A10">
        <v>300</v>
      </c>
      <c r="B10" t="s">
        <v>257</v>
      </c>
      <c r="C10">
        <v>2</v>
      </c>
      <c r="D10">
        <v>0</v>
      </c>
      <c r="E10" s="66" t="s">
        <v>626</v>
      </c>
      <c r="F10" s="66">
        <v>65</v>
      </c>
      <c r="G10">
        <v>116</v>
      </c>
    </row>
    <row r="11" spans="1:7" x14ac:dyDescent="0.25">
      <c r="A11">
        <v>302</v>
      </c>
      <c r="B11" t="s">
        <v>272</v>
      </c>
      <c r="C11">
        <v>1</v>
      </c>
      <c r="D11">
        <v>0</v>
      </c>
      <c r="E11" s="66" t="s">
        <v>627</v>
      </c>
      <c r="F11" s="66">
        <v>68</v>
      </c>
      <c r="G11">
        <v>117</v>
      </c>
    </row>
    <row r="12" spans="1:7" x14ac:dyDescent="0.25">
      <c r="A12">
        <v>303</v>
      </c>
      <c r="B12" t="s">
        <v>280</v>
      </c>
      <c r="C12">
        <v>2</v>
      </c>
      <c r="D12">
        <v>0</v>
      </c>
      <c r="E12" s="66" t="s">
        <v>628</v>
      </c>
      <c r="F12" s="66">
        <v>50</v>
      </c>
      <c r="G12">
        <v>117</v>
      </c>
    </row>
    <row r="13" spans="1:7" x14ac:dyDescent="0.25">
      <c r="A13">
        <v>305</v>
      </c>
      <c r="B13" t="s">
        <v>288</v>
      </c>
      <c r="C13">
        <v>1</v>
      </c>
      <c r="D13">
        <v>0</v>
      </c>
      <c r="E13" s="66" t="s">
        <v>629</v>
      </c>
      <c r="F13" s="66">
        <v>45</v>
      </c>
      <c r="G13">
        <v>118</v>
      </c>
    </row>
    <row r="14" spans="1:7" x14ac:dyDescent="0.25">
      <c r="A14">
        <v>304</v>
      </c>
      <c r="B14" t="s">
        <v>296</v>
      </c>
      <c r="C14">
        <v>2</v>
      </c>
      <c r="D14">
        <v>0</v>
      </c>
      <c r="E14" s="66" t="s">
        <v>630</v>
      </c>
      <c r="F14" s="66">
        <v>61</v>
      </c>
      <c r="G14">
        <v>118</v>
      </c>
    </row>
    <row r="15" spans="1:7" x14ac:dyDescent="0.25">
      <c r="A15">
        <v>307</v>
      </c>
      <c r="B15" t="s">
        <v>312</v>
      </c>
      <c r="C15">
        <v>1</v>
      </c>
      <c r="D15">
        <v>0</v>
      </c>
      <c r="E15" s="66" t="s">
        <v>631</v>
      </c>
      <c r="F15" s="66">
        <v>53</v>
      </c>
      <c r="G15">
        <v>119</v>
      </c>
    </row>
    <row r="16" spans="1:7" x14ac:dyDescent="0.25">
      <c r="A16">
        <v>306</v>
      </c>
      <c r="B16" t="s">
        <v>324</v>
      </c>
      <c r="C16">
        <v>2</v>
      </c>
      <c r="D16">
        <v>0</v>
      </c>
      <c r="E16" s="66" t="s">
        <v>632</v>
      </c>
      <c r="F16" s="66">
        <v>28</v>
      </c>
      <c r="G16">
        <v>119</v>
      </c>
    </row>
    <row r="17" spans="1:7" x14ac:dyDescent="0.25">
      <c r="A17">
        <v>308</v>
      </c>
      <c r="B17" t="s">
        <v>332</v>
      </c>
      <c r="C17">
        <v>3</v>
      </c>
      <c r="D17">
        <v>0</v>
      </c>
      <c r="E17" s="66" t="s">
        <v>633</v>
      </c>
      <c r="F17" s="66">
        <v>33</v>
      </c>
      <c r="G17">
        <v>119</v>
      </c>
    </row>
    <row r="18" spans="1:7" x14ac:dyDescent="0.25">
      <c r="A18">
        <v>310</v>
      </c>
      <c r="B18" t="s">
        <v>342</v>
      </c>
      <c r="C18">
        <v>1</v>
      </c>
      <c r="D18">
        <v>0</v>
      </c>
      <c r="E18" s="66" t="s">
        <v>634</v>
      </c>
      <c r="F18" s="66">
        <v>60</v>
      </c>
      <c r="G18">
        <v>120</v>
      </c>
    </row>
    <row r="19" spans="1:7" x14ac:dyDescent="0.25">
      <c r="A19">
        <v>311</v>
      </c>
      <c r="B19" t="s">
        <v>353</v>
      </c>
      <c r="C19">
        <v>2</v>
      </c>
      <c r="D19">
        <v>0</v>
      </c>
      <c r="E19" s="66" t="s">
        <v>635</v>
      </c>
      <c r="F19" s="66">
        <v>43</v>
      </c>
      <c r="G19">
        <v>120</v>
      </c>
    </row>
    <row r="20" spans="1:7" x14ac:dyDescent="0.25">
      <c r="A20">
        <v>309</v>
      </c>
      <c r="B20" t="s">
        <v>365</v>
      </c>
      <c r="C20">
        <v>3</v>
      </c>
      <c r="D20">
        <v>0</v>
      </c>
      <c r="E20" s="66" t="s">
        <v>636</v>
      </c>
      <c r="F20" s="66">
        <v>38</v>
      </c>
      <c r="G20">
        <v>120</v>
      </c>
    </row>
    <row r="21" spans="1:7" x14ac:dyDescent="0.25">
      <c r="A21">
        <v>319</v>
      </c>
      <c r="B21" t="s">
        <v>375</v>
      </c>
      <c r="C21">
        <v>1</v>
      </c>
      <c r="D21">
        <v>0</v>
      </c>
      <c r="E21" s="66" t="s">
        <v>637</v>
      </c>
      <c r="F21" s="66">
        <v>83</v>
      </c>
      <c r="G21">
        <v>125</v>
      </c>
    </row>
    <row r="22" spans="1:7" x14ac:dyDescent="0.25">
      <c r="A22">
        <v>320</v>
      </c>
      <c r="B22" t="s">
        <v>395</v>
      </c>
      <c r="C22">
        <v>1</v>
      </c>
      <c r="D22">
        <v>0</v>
      </c>
      <c r="E22" s="66" t="s">
        <v>638</v>
      </c>
      <c r="F22" s="66">
        <v>10</v>
      </c>
      <c r="G22">
        <v>126</v>
      </c>
    </row>
    <row r="23" spans="1:7" x14ac:dyDescent="0.25">
      <c r="A23">
        <v>322</v>
      </c>
      <c r="B23" t="s">
        <v>402</v>
      </c>
      <c r="C23">
        <v>2</v>
      </c>
      <c r="D23">
        <v>0</v>
      </c>
      <c r="E23" s="66" t="s">
        <v>639</v>
      </c>
      <c r="F23" s="66">
        <v>10</v>
      </c>
      <c r="G23">
        <v>126</v>
      </c>
    </row>
    <row r="24" spans="1:7" x14ac:dyDescent="0.25">
      <c r="A24">
        <v>321</v>
      </c>
      <c r="B24" t="s">
        <v>407</v>
      </c>
      <c r="C24">
        <v>3</v>
      </c>
      <c r="D24">
        <v>0</v>
      </c>
      <c r="E24" s="66" t="s">
        <v>640</v>
      </c>
      <c r="F24" s="66">
        <v>63</v>
      </c>
      <c r="G24">
        <v>126</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5304-E826-4A41-9C31-7313766A0C7B}">
  <dimension ref="A2:B7"/>
  <sheetViews>
    <sheetView workbookViewId="0"/>
  </sheetViews>
  <sheetFormatPr defaultRowHeight="15" x14ac:dyDescent="0.25"/>
  <cols>
    <col min="1" max="1" width="26.7109375" customWidth="1"/>
    <col min="2" max="2" width="58.5703125" style="37" customWidth="1"/>
  </cols>
  <sheetData>
    <row r="2" spans="1:2" x14ac:dyDescent="0.25">
      <c r="A2" t="s">
        <v>641</v>
      </c>
    </row>
    <row r="3" spans="1:2" x14ac:dyDescent="0.25">
      <c r="A3" t="s">
        <v>148</v>
      </c>
      <c r="B3" s="37" t="s">
        <v>642</v>
      </c>
    </row>
    <row r="4" spans="1:2" x14ac:dyDescent="0.25">
      <c r="A4" t="s">
        <v>643</v>
      </c>
      <c r="B4" s="62" t="s">
        <v>644</v>
      </c>
    </row>
    <row r="5" spans="1:2" ht="45" x14ac:dyDescent="0.25">
      <c r="A5" s="37" t="s">
        <v>645</v>
      </c>
      <c r="B5" s="62" t="s">
        <v>646</v>
      </c>
    </row>
    <row r="6" spans="1:2" ht="45" x14ac:dyDescent="0.25">
      <c r="A6" s="37" t="s">
        <v>647</v>
      </c>
      <c r="B6" s="62" t="s">
        <v>648</v>
      </c>
    </row>
    <row r="7" spans="1:2" ht="45" x14ac:dyDescent="0.25">
      <c r="A7" s="37" t="s">
        <v>649</v>
      </c>
      <c r="B7" s="62" t="s">
        <v>650</v>
      </c>
    </row>
  </sheetData>
  <phoneticPr fontId="19" type="noConversion"/>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906C-69E6-43E2-99E2-66EE5E5EC313}">
  <dimension ref="A1:L12"/>
  <sheetViews>
    <sheetView workbookViewId="0">
      <selection activeCell="B3" sqref="B3:B4"/>
    </sheetView>
  </sheetViews>
  <sheetFormatPr defaultRowHeight="15" x14ac:dyDescent="0.25"/>
  <cols>
    <col min="1" max="1" width="31.5703125" bestFit="1" customWidth="1"/>
    <col min="2" max="2" width="81.28515625" bestFit="1" customWidth="1"/>
    <col min="3" max="3" width="22.28515625" bestFit="1" customWidth="1"/>
    <col min="4" max="4" width="25.5703125" bestFit="1" customWidth="1"/>
    <col min="5" max="5" width="31" bestFit="1" customWidth="1"/>
    <col min="6" max="6" width="17.28515625" bestFit="1" customWidth="1"/>
    <col min="8" max="8" width="12.28515625" bestFit="1" customWidth="1"/>
    <col min="11" max="11" width="93.7109375" customWidth="1"/>
    <col min="12" max="12" width="12.28515625" bestFit="1" customWidth="1"/>
  </cols>
  <sheetData>
    <row r="1" spans="1:12" x14ac:dyDescent="0.25">
      <c r="A1" t="s">
        <v>617</v>
      </c>
      <c r="B1" t="s">
        <v>651</v>
      </c>
      <c r="C1" t="s">
        <v>613</v>
      </c>
      <c r="D1" t="s">
        <v>614</v>
      </c>
      <c r="E1" t="s">
        <v>652</v>
      </c>
      <c r="F1" t="s">
        <v>653</v>
      </c>
      <c r="G1" t="s">
        <v>5</v>
      </c>
      <c r="H1" t="s">
        <v>143</v>
      </c>
      <c r="I1" s="20" t="s">
        <v>443</v>
      </c>
      <c r="J1" s="18"/>
    </row>
    <row r="2" spans="1:12" x14ac:dyDescent="0.25">
      <c r="A2">
        <v>112</v>
      </c>
      <c r="B2" t="s">
        <v>654</v>
      </c>
      <c r="C2">
        <v>1</v>
      </c>
      <c r="D2">
        <v>45</v>
      </c>
      <c r="E2" t="s">
        <v>655</v>
      </c>
      <c r="F2">
        <v>154</v>
      </c>
      <c r="G2" s="6">
        <f>SUMIFS('Formulário de Conformidade'!$G:$G,'Formulário de Conformidade'!$C:$C,"Questão",'Formulário de Conformidade'!$B:$B,I2)</f>
        <v>154</v>
      </c>
      <c r="H2" t="b">
        <f>dataareasgv[[#This Row],[ValNotaMaxima]]=dataareasgv[[#This Row],[Coluna1]]</f>
        <v>1</v>
      </c>
      <c r="I2" s="20" t="s">
        <v>144</v>
      </c>
      <c r="K2" s="50" t="s">
        <v>145</v>
      </c>
      <c r="L2" t="b">
        <f>dataareasgv[[#This Row],[NomAreaFormularioTipoAvaliacao]]=K2</f>
        <v>1</v>
      </c>
    </row>
    <row r="3" spans="1:12" x14ac:dyDescent="0.25">
      <c r="A3">
        <v>113</v>
      </c>
      <c r="B3" t="s">
        <v>656</v>
      </c>
      <c r="C3">
        <v>2</v>
      </c>
      <c r="D3">
        <v>45</v>
      </c>
      <c r="E3" t="s">
        <v>657</v>
      </c>
      <c r="F3">
        <v>108</v>
      </c>
      <c r="G3" s="6">
        <f>SUMIFS('Formulário de Conformidade'!$G:$G,'Formulário de Conformidade'!$C:$C,"Questão",'Formulário de Conformidade'!$B:$B,I3)</f>
        <v>108</v>
      </c>
      <c r="H3" t="b">
        <f>dataareasgv[[#This Row],[ValNotaMaxima]]=dataareasgv[[#This Row],[Coluna1]]</f>
        <v>1</v>
      </c>
      <c r="I3" s="20" t="s">
        <v>183</v>
      </c>
      <c r="K3" s="50" t="s">
        <v>184</v>
      </c>
      <c r="L3" t="b">
        <f>dataareasgv[[#This Row],[NomAreaFormularioTipoAvaliacao]]=K3</f>
        <v>1</v>
      </c>
    </row>
    <row r="4" spans="1:12" x14ac:dyDescent="0.25">
      <c r="A4">
        <v>114</v>
      </c>
      <c r="B4" t="s">
        <v>658</v>
      </c>
      <c r="C4">
        <v>3</v>
      </c>
      <c r="D4">
        <v>45</v>
      </c>
      <c r="E4" t="s">
        <v>623</v>
      </c>
      <c r="F4">
        <v>78</v>
      </c>
      <c r="G4" s="6">
        <f>SUMIFS('Formulário de Conformidade'!$G:$G,'Formulário de Conformidade'!$C:$C,"Questão",'Formulário de Conformidade'!$B:$B,I4)</f>
        <v>78</v>
      </c>
      <c r="H4" t="b">
        <f>dataareasgv[[#This Row],[ValNotaMaxima]]=dataareasgv[[#This Row],[Coluna1]]</f>
        <v>1</v>
      </c>
      <c r="I4" s="20" t="s">
        <v>200</v>
      </c>
      <c r="K4" s="50" t="s">
        <v>201</v>
      </c>
      <c r="L4" t="b">
        <f>dataareasgv[[#This Row],[NomAreaFormularioTipoAvaliacao]]=K4</f>
        <v>1</v>
      </c>
    </row>
    <row r="5" spans="1:12" x14ac:dyDescent="0.25">
      <c r="A5">
        <v>115</v>
      </c>
      <c r="B5" t="s">
        <v>223</v>
      </c>
      <c r="C5">
        <v>4</v>
      </c>
      <c r="D5">
        <v>45</v>
      </c>
      <c r="E5" t="s">
        <v>624</v>
      </c>
      <c r="F5">
        <v>91</v>
      </c>
      <c r="G5" s="6">
        <f>SUMIFS('Formulário de Conformidade'!$G:$G,'Formulário de Conformidade'!$C:$C,"Questão",'Formulário de Conformidade'!$B:$B,I5)</f>
        <v>91</v>
      </c>
      <c r="H5" t="b">
        <f>dataareasgv[[#This Row],[ValNotaMaxima]]=dataareasgv[[#This Row],[Coluna1]]</f>
        <v>1</v>
      </c>
      <c r="I5" s="20" t="s">
        <v>222</v>
      </c>
      <c r="K5" s="50" t="s">
        <v>223</v>
      </c>
      <c r="L5" t="b">
        <f>dataareasgv[[#This Row],[NomAreaFormularioTipoAvaliacao]]=K5</f>
        <v>1</v>
      </c>
    </row>
    <row r="6" spans="1:12" ht="25.5" x14ac:dyDescent="0.25">
      <c r="A6">
        <v>116</v>
      </c>
      <c r="B6" t="s">
        <v>245</v>
      </c>
      <c r="C6">
        <v>5</v>
      </c>
      <c r="D6">
        <v>45</v>
      </c>
      <c r="E6" t="s">
        <v>659</v>
      </c>
      <c r="F6">
        <v>130</v>
      </c>
      <c r="G6" s="6">
        <f>SUMIFS('Formulário de Conformidade'!$G:$G,'Formulário de Conformidade'!$C:$C,"Questão",'Formulário de Conformidade'!$B:$B,I6)</f>
        <v>130</v>
      </c>
      <c r="H6" t="b">
        <f>dataareasgv[[#This Row],[ValNotaMaxima]]=dataareasgv[[#This Row],[Coluna1]]</f>
        <v>1</v>
      </c>
      <c r="I6" s="20" t="s">
        <v>244</v>
      </c>
      <c r="K6" s="50" t="s">
        <v>245</v>
      </c>
      <c r="L6" t="b">
        <f>dataareasgv[[#This Row],[NomAreaFormularioTipoAvaliacao]]=K6</f>
        <v>1</v>
      </c>
    </row>
    <row r="7" spans="1:12" x14ac:dyDescent="0.25">
      <c r="A7">
        <v>117</v>
      </c>
      <c r="B7" t="s">
        <v>271</v>
      </c>
      <c r="C7">
        <v>6</v>
      </c>
      <c r="D7">
        <v>45</v>
      </c>
      <c r="E7" t="s">
        <v>660</v>
      </c>
      <c r="F7">
        <v>118</v>
      </c>
      <c r="G7" s="6">
        <f>SUMIFS('Formulário de Conformidade'!$G:$G,'Formulário de Conformidade'!$C:$C,"Questão",'Formulário de Conformidade'!$B:$B,I7)</f>
        <v>118</v>
      </c>
      <c r="H7" t="b">
        <f>dataareasgv[[#This Row],[ValNotaMaxima]]=dataareasgv[[#This Row],[Coluna1]]</f>
        <v>1</v>
      </c>
      <c r="I7" s="20" t="s">
        <v>270</v>
      </c>
      <c r="K7" s="50" t="s">
        <v>271</v>
      </c>
      <c r="L7" t="b">
        <f>dataareasgv[[#This Row],[NomAreaFormularioTipoAvaliacao]]=K7</f>
        <v>1</v>
      </c>
    </row>
    <row r="8" spans="1:12" x14ac:dyDescent="0.25">
      <c r="A8">
        <v>118</v>
      </c>
      <c r="B8" t="s">
        <v>287</v>
      </c>
      <c r="C8">
        <v>7</v>
      </c>
      <c r="D8">
        <v>45</v>
      </c>
      <c r="E8" t="s">
        <v>661</v>
      </c>
      <c r="F8">
        <v>106</v>
      </c>
      <c r="G8" s="6">
        <f>SUMIFS('Formulário de Conformidade'!$G:$G,'Formulário de Conformidade'!$C:$C,"Questão",'Formulário de Conformidade'!$B:$B,I8)</f>
        <v>106</v>
      </c>
      <c r="H8" t="b">
        <f>dataareasgv[[#This Row],[ValNotaMaxima]]=dataareasgv[[#This Row],[Coluna1]]</f>
        <v>1</v>
      </c>
      <c r="I8" s="20" t="s">
        <v>286</v>
      </c>
      <c r="K8" s="50" t="s">
        <v>287</v>
      </c>
      <c r="L8" t="b">
        <f>dataareasgv[[#This Row],[NomAreaFormularioTipoAvaliacao]]=K8</f>
        <v>1</v>
      </c>
    </row>
    <row r="9" spans="1:12" x14ac:dyDescent="0.25">
      <c r="A9">
        <v>119</v>
      </c>
      <c r="B9" t="s">
        <v>311</v>
      </c>
      <c r="C9">
        <v>8</v>
      </c>
      <c r="D9">
        <v>45</v>
      </c>
      <c r="E9" t="s">
        <v>662</v>
      </c>
      <c r="F9">
        <v>114</v>
      </c>
      <c r="G9" s="6">
        <f>SUMIFS('Formulário de Conformidade'!$G:$G,'Formulário de Conformidade'!$C:$C,"Questão",'Formulário de Conformidade'!$B:$B,I9)</f>
        <v>114</v>
      </c>
      <c r="H9" t="b">
        <f>dataareasgv[[#This Row],[ValNotaMaxima]]=dataareasgv[[#This Row],[Coluna1]]</f>
        <v>1</v>
      </c>
      <c r="I9" s="20" t="s">
        <v>310</v>
      </c>
      <c r="K9" s="50" t="s">
        <v>311</v>
      </c>
      <c r="L9" t="b">
        <f>dataareasgv[[#This Row],[NomAreaFormularioTipoAvaliacao]]=K9</f>
        <v>1</v>
      </c>
    </row>
    <row r="10" spans="1:12" x14ac:dyDescent="0.25">
      <c r="A10">
        <v>120</v>
      </c>
      <c r="B10" t="s">
        <v>341</v>
      </c>
      <c r="C10">
        <v>9</v>
      </c>
      <c r="D10">
        <v>45</v>
      </c>
      <c r="E10" t="s">
        <v>663</v>
      </c>
      <c r="F10">
        <v>141</v>
      </c>
      <c r="G10" s="6">
        <f>SUMIFS('Formulário de Conformidade'!$G:$G,'Formulário de Conformidade'!$C:$C,"Questão",'Formulário de Conformidade'!$B:$B,I10)</f>
        <v>141</v>
      </c>
      <c r="H10" t="b">
        <f>dataareasgv[[#This Row],[ValNotaMaxima]]=dataareasgv[[#This Row],[Coluna1]]</f>
        <v>1</v>
      </c>
      <c r="I10" s="20" t="s">
        <v>340</v>
      </c>
      <c r="K10" s="50" t="s">
        <v>341</v>
      </c>
      <c r="L10" t="b">
        <f>dataareasgv[[#This Row],[NomAreaFormularioTipoAvaliacao]]=K10</f>
        <v>1</v>
      </c>
    </row>
    <row r="11" spans="1:12" x14ac:dyDescent="0.25">
      <c r="A11">
        <v>125</v>
      </c>
      <c r="B11" t="s">
        <v>374</v>
      </c>
      <c r="C11">
        <v>10</v>
      </c>
      <c r="D11">
        <v>45</v>
      </c>
      <c r="E11" t="s">
        <v>637</v>
      </c>
      <c r="F11">
        <v>83</v>
      </c>
      <c r="G11" s="6">
        <f>SUMIFS('Formulário de Conformidade'!$G:$G,'Formulário de Conformidade'!$C:$C,"Questão",'Formulário de Conformidade'!$B:$B,I11)</f>
        <v>83</v>
      </c>
      <c r="H11" t="b">
        <f>dataareasgv[[#This Row],[ValNotaMaxima]]=dataareasgv[[#This Row],[Coluna1]]</f>
        <v>1</v>
      </c>
      <c r="I11" s="20" t="s">
        <v>373</v>
      </c>
      <c r="K11" s="50" t="s">
        <v>374</v>
      </c>
      <c r="L11" t="b">
        <f>dataareasgv[[#This Row],[NomAreaFormularioTipoAvaliacao]]=K11</f>
        <v>1</v>
      </c>
    </row>
    <row r="12" spans="1:12" x14ac:dyDescent="0.25">
      <c r="A12">
        <v>126</v>
      </c>
      <c r="B12" t="s">
        <v>394</v>
      </c>
      <c r="C12">
        <v>11</v>
      </c>
      <c r="D12">
        <v>45</v>
      </c>
      <c r="E12" t="s">
        <v>664</v>
      </c>
      <c r="F12">
        <v>83</v>
      </c>
      <c r="G12" s="6">
        <f>SUMIFS('Formulário de Conformidade'!$G:$G,'Formulário de Conformidade'!$C:$C,"Questão",'Formulário de Conformidade'!$B:$B,I12)</f>
        <v>83</v>
      </c>
      <c r="H12" t="b">
        <f>dataareasgv[[#This Row],[ValNotaMaxima]]=dataareasgv[[#This Row],[Coluna1]]</f>
        <v>1</v>
      </c>
      <c r="I12" s="20" t="s">
        <v>393</v>
      </c>
      <c r="K12" s="50" t="s">
        <v>394</v>
      </c>
      <c r="L12" t="b">
        <f>dataareasgv[[#This Row],[NomAreaFormularioTipoAvaliacao]]=K12</f>
        <v>1</v>
      </c>
    </row>
  </sheetData>
  <phoneticPr fontId="19" type="noConversion"/>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8F3E-884D-4EE8-9845-FA326075B239}">
  <dimension ref="A1:H43"/>
  <sheetViews>
    <sheetView workbookViewId="0"/>
  </sheetViews>
  <sheetFormatPr defaultRowHeight="15" x14ac:dyDescent="0.25"/>
  <cols>
    <col min="1" max="1" width="33.28515625" bestFit="1" customWidth="1"/>
    <col min="2" max="2" width="91.7109375" customWidth="1"/>
    <col min="3" max="3" width="35.7109375" bestFit="1" customWidth="1"/>
    <col min="4" max="4" width="12.7109375" bestFit="1" customWidth="1"/>
    <col min="5" max="5" width="60" customWidth="1"/>
    <col min="6" max="6" width="13.7109375" bestFit="1" customWidth="1"/>
    <col min="7" max="7" width="16.28515625" bestFit="1" customWidth="1"/>
    <col min="8" max="8" width="57" customWidth="1"/>
  </cols>
  <sheetData>
    <row r="1" spans="1:8" s="57" customFormat="1" x14ac:dyDescent="0.25">
      <c r="A1" s="57" t="s">
        <v>665</v>
      </c>
      <c r="B1" s="57" t="s">
        <v>666</v>
      </c>
      <c r="C1" s="57" t="s">
        <v>667</v>
      </c>
      <c r="D1" s="57" t="s">
        <v>668</v>
      </c>
      <c r="E1" s="56" t="s">
        <v>474</v>
      </c>
      <c r="F1" s="57" t="s">
        <v>469</v>
      </c>
      <c r="G1" s="57" t="s">
        <v>669</v>
      </c>
      <c r="H1" s="57" t="s">
        <v>670</v>
      </c>
    </row>
    <row r="2" spans="1:8" x14ac:dyDescent="0.25">
      <c r="A2">
        <v>81</v>
      </c>
      <c r="B2" t="s">
        <v>7</v>
      </c>
      <c r="C2" t="s">
        <v>671</v>
      </c>
      <c r="D2" t="s">
        <v>482</v>
      </c>
      <c r="E2" t="s">
        <v>8</v>
      </c>
      <c r="F2">
        <v>1</v>
      </c>
      <c r="G2" t="b">
        <v>1</v>
      </c>
    </row>
    <row r="3" spans="1:8" x14ac:dyDescent="0.25">
      <c r="A3">
        <v>81</v>
      </c>
      <c r="B3" t="s">
        <v>12</v>
      </c>
      <c r="C3" t="s">
        <v>672</v>
      </c>
      <c r="D3" t="s">
        <v>482</v>
      </c>
      <c r="E3" t="s">
        <v>585</v>
      </c>
      <c r="F3">
        <v>2</v>
      </c>
      <c r="G3" t="b">
        <v>1</v>
      </c>
    </row>
    <row r="4" spans="1:8" x14ac:dyDescent="0.25">
      <c r="A4">
        <v>81</v>
      </c>
      <c r="B4" t="s">
        <v>16</v>
      </c>
      <c r="C4" t="s">
        <v>672</v>
      </c>
      <c r="D4" t="s">
        <v>482</v>
      </c>
      <c r="E4" t="s">
        <v>17</v>
      </c>
      <c r="F4">
        <v>3</v>
      </c>
      <c r="G4" t="b">
        <v>1</v>
      </c>
    </row>
    <row r="5" spans="1:8" x14ac:dyDescent="0.25">
      <c r="A5">
        <v>81</v>
      </c>
      <c r="B5" t="s">
        <v>20</v>
      </c>
      <c r="C5" t="s">
        <v>671</v>
      </c>
      <c r="D5" t="s">
        <v>482</v>
      </c>
      <c r="E5" t="s">
        <v>586</v>
      </c>
      <c r="F5">
        <v>4</v>
      </c>
      <c r="G5" t="b">
        <v>1</v>
      </c>
    </row>
    <row r="6" spans="1:8" x14ac:dyDescent="0.25">
      <c r="A6">
        <v>81</v>
      </c>
      <c r="B6" t="s">
        <v>23</v>
      </c>
      <c r="C6" t="s">
        <v>671</v>
      </c>
      <c r="D6" t="s">
        <v>482</v>
      </c>
      <c r="E6" t="s">
        <v>24</v>
      </c>
      <c r="F6">
        <v>5</v>
      </c>
      <c r="G6" t="b">
        <v>1</v>
      </c>
    </row>
    <row r="7" spans="1:8" x14ac:dyDescent="0.25">
      <c r="A7">
        <v>81</v>
      </c>
      <c r="B7" t="s">
        <v>26</v>
      </c>
      <c r="C7" t="s">
        <v>672</v>
      </c>
      <c r="D7" t="s">
        <v>482</v>
      </c>
      <c r="E7" t="s">
        <v>27</v>
      </c>
      <c r="F7">
        <v>6</v>
      </c>
      <c r="G7" t="b">
        <v>1</v>
      </c>
    </row>
    <row r="8" spans="1:8" x14ac:dyDescent="0.25">
      <c r="A8">
        <v>82</v>
      </c>
      <c r="B8" t="s">
        <v>31</v>
      </c>
      <c r="C8" t="s">
        <v>673</v>
      </c>
      <c r="D8" t="s">
        <v>482</v>
      </c>
      <c r="E8" t="s">
        <v>32</v>
      </c>
      <c r="F8">
        <v>1</v>
      </c>
      <c r="G8" t="b">
        <v>1</v>
      </c>
    </row>
    <row r="9" spans="1:8" x14ac:dyDescent="0.25">
      <c r="A9">
        <v>82</v>
      </c>
      <c r="B9" t="s">
        <v>587</v>
      </c>
      <c r="C9" t="s">
        <v>673</v>
      </c>
      <c r="D9" t="s">
        <v>482</v>
      </c>
      <c r="E9" t="s">
        <v>36</v>
      </c>
      <c r="F9">
        <v>2</v>
      </c>
      <c r="G9" t="b">
        <v>1</v>
      </c>
    </row>
    <row r="10" spans="1:8" x14ac:dyDescent="0.25">
      <c r="A10">
        <v>82</v>
      </c>
      <c r="B10" t="s">
        <v>38</v>
      </c>
      <c r="C10" t="s">
        <v>673</v>
      </c>
      <c r="D10" t="s">
        <v>482</v>
      </c>
      <c r="E10" t="s">
        <v>39</v>
      </c>
      <c r="F10">
        <v>3</v>
      </c>
      <c r="G10" t="b">
        <v>1</v>
      </c>
    </row>
    <row r="11" spans="1:8" x14ac:dyDescent="0.25">
      <c r="A11">
        <v>82</v>
      </c>
      <c r="B11" t="s">
        <v>40</v>
      </c>
      <c r="C11" t="s">
        <v>671</v>
      </c>
      <c r="D11" t="s">
        <v>482</v>
      </c>
      <c r="E11" t="s">
        <v>41</v>
      </c>
      <c r="F11">
        <v>4</v>
      </c>
      <c r="G11" t="b">
        <v>1</v>
      </c>
    </row>
    <row r="12" spans="1:8" x14ac:dyDescent="0.25">
      <c r="A12">
        <v>82</v>
      </c>
      <c r="B12" t="s">
        <v>590</v>
      </c>
      <c r="C12" t="s">
        <v>674</v>
      </c>
      <c r="D12" t="s">
        <v>482</v>
      </c>
      <c r="E12" t="s">
        <v>45</v>
      </c>
      <c r="F12">
        <v>5</v>
      </c>
      <c r="G12" t="b">
        <v>1</v>
      </c>
    </row>
    <row r="13" spans="1:8" x14ac:dyDescent="0.25">
      <c r="A13">
        <v>82</v>
      </c>
      <c r="B13" t="s">
        <v>48</v>
      </c>
      <c r="C13" t="s">
        <v>671</v>
      </c>
      <c r="D13" t="s">
        <v>482</v>
      </c>
      <c r="E13" t="s">
        <v>49</v>
      </c>
      <c r="F13">
        <v>6</v>
      </c>
      <c r="G13" t="b">
        <v>1</v>
      </c>
      <c r="H13">
        <v>2469</v>
      </c>
    </row>
    <row r="14" spans="1:8" x14ac:dyDescent="0.25">
      <c r="A14">
        <v>82</v>
      </c>
      <c r="B14" t="s">
        <v>51</v>
      </c>
      <c r="C14" t="s">
        <v>671</v>
      </c>
      <c r="D14" t="s">
        <v>482</v>
      </c>
      <c r="E14" t="s">
        <v>52</v>
      </c>
      <c r="F14">
        <v>7</v>
      </c>
      <c r="G14" t="b">
        <v>1</v>
      </c>
      <c r="H14">
        <v>2469</v>
      </c>
    </row>
    <row r="15" spans="1:8" x14ac:dyDescent="0.25">
      <c r="A15">
        <v>82</v>
      </c>
      <c r="B15" t="s">
        <v>53</v>
      </c>
      <c r="C15" t="s">
        <v>671</v>
      </c>
      <c r="D15" t="s">
        <v>482</v>
      </c>
      <c r="E15" t="s">
        <v>54</v>
      </c>
      <c r="F15">
        <v>8</v>
      </c>
      <c r="G15" t="b">
        <v>1</v>
      </c>
      <c r="H15">
        <v>2469</v>
      </c>
    </row>
    <row r="16" spans="1:8" x14ac:dyDescent="0.25">
      <c r="A16">
        <v>82</v>
      </c>
      <c r="B16" t="s">
        <v>591</v>
      </c>
      <c r="C16" t="s">
        <v>674</v>
      </c>
      <c r="D16" t="s">
        <v>482</v>
      </c>
      <c r="E16" t="s">
        <v>57</v>
      </c>
      <c r="F16">
        <v>9</v>
      </c>
      <c r="G16" t="b">
        <v>1</v>
      </c>
    </row>
    <row r="17" spans="1:8" x14ac:dyDescent="0.25">
      <c r="A17">
        <v>82</v>
      </c>
      <c r="B17" t="s">
        <v>59</v>
      </c>
      <c r="C17" t="s">
        <v>671</v>
      </c>
      <c r="D17" t="s">
        <v>482</v>
      </c>
      <c r="E17" t="s">
        <v>592</v>
      </c>
      <c r="F17">
        <v>10</v>
      </c>
      <c r="G17" t="b">
        <v>1</v>
      </c>
      <c r="H17">
        <v>2471</v>
      </c>
    </row>
    <row r="18" spans="1:8" x14ac:dyDescent="0.25">
      <c r="A18">
        <v>82</v>
      </c>
      <c r="B18" t="s">
        <v>62</v>
      </c>
      <c r="C18" t="s">
        <v>673</v>
      </c>
      <c r="D18" t="s">
        <v>482</v>
      </c>
      <c r="E18" t="s">
        <v>63</v>
      </c>
      <c r="F18">
        <v>11</v>
      </c>
      <c r="G18" t="b">
        <v>1</v>
      </c>
    </row>
    <row r="19" spans="1:8" x14ac:dyDescent="0.25">
      <c r="A19">
        <v>82</v>
      </c>
      <c r="B19" t="s">
        <v>64</v>
      </c>
      <c r="C19" t="s">
        <v>675</v>
      </c>
      <c r="D19" t="s">
        <v>482</v>
      </c>
      <c r="E19" t="s">
        <v>593</v>
      </c>
      <c r="F19">
        <v>12</v>
      </c>
      <c r="G19" t="b">
        <v>1</v>
      </c>
    </row>
    <row r="20" spans="1:8" x14ac:dyDescent="0.25">
      <c r="A20">
        <v>83</v>
      </c>
      <c r="B20" t="s">
        <v>594</v>
      </c>
      <c r="C20" t="s">
        <v>674</v>
      </c>
      <c r="D20" t="s">
        <v>482</v>
      </c>
      <c r="E20" t="s">
        <v>45</v>
      </c>
      <c r="F20">
        <v>1</v>
      </c>
      <c r="G20" t="b">
        <v>1</v>
      </c>
    </row>
    <row r="21" spans="1:8" x14ac:dyDescent="0.25">
      <c r="A21">
        <v>83</v>
      </c>
      <c r="B21" t="s">
        <v>68</v>
      </c>
      <c r="C21" t="s">
        <v>671</v>
      </c>
      <c r="D21" t="s">
        <v>482</v>
      </c>
      <c r="E21" t="s">
        <v>69</v>
      </c>
      <c r="F21">
        <v>2</v>
      </c>
      <c r="G21" t="b">
        <v>1</v>
      </c>
      <c r="H21">
        <v>2484</v>
      </c>
    </row>
    <row r="22" spans="1:8" x14ac:dyDescent="0.25">
      <c r="A22">
        <v>83</v>
      </c>
      <c r="B22" t="s">
        <v>70</v>
      </c>
      <c r="C22" t="s">
        <v>673</v>
      </c>
      <c r="D22" t="s">
        <v>482</v>
      </c>
      <c r="E22" t="s">
        <v>71</v>
      </c>
      <c r="F22">
        <v>3</v>
      </c>
      <c r="G22" t="b">
        <v>1</v>
      </c>
    </row>
    <row r="23" spans="1:8" x14ac:dyDescent="0.25">
      <c r="A23">
        <v>83</v>
      </c>
      <c r="B23" t="s">
        <v>74</v>
      </c>
      <c r="C23" t="s">
        <v>671</v>
      </c>
      <c r="D23" t="s">
        <v>482</v>
      </c>
      <c r="E23" t="s">
        <v>75</v>
      </c>
      <c r="F23">
        <v>4</v>
      </c>
      <c r="G23" t="b">
        <v>1</v>
      </c>
      <c r="H23">
        <v>2486</v>
      </c>
    </row>
    <row r="24" spans="1:8" x14ac:dyDescent="0.25">
      <c r="A24">
        <v>83</v>
      </c>
      <c r="B24" t="s">
        <v>78</v>
      </c>
      <c r="C24" t="s">
        <v>673</v>
      </c>
      <c r="D24" t="s">
        <v>482</v>
      </c>
      <c r="E24" t="s">
        <v>79</v>
      </c>
      <c r="F24">
        <v>5</v>
      </c>
      <c r="G24" t="b">
        <v>1</v>
      </c>
    </row>
    <row r="25" spans="1:8" x14ac:dyDescent="0.25">
      <c r="A25">
        <v>83</v>
      </c>
      <c r="B25" t="s">
        <v>82</v>
      </c>
      <c r="C25" t="s">
        <v>673</v>
      </c>
      <c r="D25" t="s">
        <v>482</v>
      </c>
      <c r="E25" t="s">
        <v>83</v>
      </c>
      <c r="F25">
        <v>6</v>
      </c>
      <c r="G25" t="b">
        <v>1</v>
      </c>
    </row>
    <row r="26" spans="1:8" x14ac:dyDescent="0.25">
      <c r="A26">
        <v>83</v>
      </c>
      <c r="B26" t="s">
        <v>86</v>
      </c>
      <c r="C26" t="s">
        <v>673</v>
      </c>
      <c r="D26" t="s">
        <v>482</v>
      </c>
      <c r="E26" t="s">
        <v>595</v>
      </c>
      <c r="F26">
        <v>7</v>
      </c>
      <c r="G26" t="b">
        <v>1</v>
      </c>
    </row>
    <row r="27" spans="1:8" x14ac:dyDescent="0.25">
      <c r="A27">
        <v>83</v>
      </c>
      <c r="B27" t="s">
        <v>596</v>
      </c>
      <c r="C27" t="s">
        <v>674</v>
      </c>
      <c r="D27" t="s">
        <v>482</v>
      </c>
      <c r="E27" t="s">
        <v>90</v>
      </c>
      <c r="F27">
        <v>8</v>
      </c>
      <c r="G27" t="b">
        <v>1</v>
      </c>
    </row>
    <row r="28" spans="1:8" x14ac:dyDescent="0.25">
      <c r="A28">
        <v>83</v>
      </c>
      <c r="B28" t="s">
        <v>92</v>
      </c>
      <c r="C28" t="s">
        <v>671</v>
      </c>
      <c r="D28" t="s">
        <v>482</v>
      </c>
      <c r="E28" t="s">
        <v>93</v>
      </c>
      <c r="F28">
        <v>9</v>
      </c>
      <c r="G28" t="b">
        <v>1</v>
      </c>
      <c r="H28">
        <v>2498</v>
      </c>
    </row>
    <row r="29" spans="1:8" x14ac:dyDescent="0.25">
      <c r="A29">
        <v>83</v>
      </c>
      <c r="B29" t="s">
        <v>597</v>
      </c>
      <c r="C29" t="s">
        <v>674</v>
      </c>
      <c r="D29" t="s">
        <v>482</v>
      </c>
      <c r="E29" t="s">
        <v>96</v>
      </c>
      <c r="F29">
        <v>10</v>
      </c>
      <c r="G29" t="b">
        <v>1</v>
      </c>
    </row>
    <row r="30" spans="1:8" x14ac:dyDescent="0.25">
      <c r="A30">
        <v>83</v>
      </c>
      <c r="B30" t="s">
        <v>97</v>
      </c>
      <c r="C30" t="s">
        <v>671</v>
      </c>
      <c r="D30" t="s">
        <v>482</v>
      </c>
      <c r="E30" t="s">
        <v>98</v>
      </c>
      <c r="F30">
        <v>11</v>
      </c>
      <c r="G30" t="b">
        <v>1</v>
      </c>
      <c r="H30">
        <v>2500</v>
      </c>
    </row>
    <row r="31" spans="1:8" x14ac:dyDescent="0.25">
      <c r="A31">
        <v>84</v>
      </c>
      <c r="B31" t="s">
        <v>599</v>
      </c>
      <c r="C31" t="s">
        <v>674</v>
      </c>
      <c r="D31" t="s">
        <v>482</v>
      </c>
      <c r="E31" t="s">
        <v>45</v>
      </c>
      <c r="F31">
        <v>1</v>
      </c>
      <c r="G31" t="b">
        <v>1</v>
      </c>
    </row>
    <row r="32" spans="1:8" x14ac:dyDescent="0.25">
      <c r="A32">
        <v>84</v>
      </c>
      <c r="B32" t="s">
        <v>600</v>
      </c>
      <c r="C32" t="s">
        <v>674</v>
      </c>
      <c r="D32" t="s">
        <v>482</v>
      </c>
      <c r="E32" t="s">
        <v>45</v>
      </c>
      <c r="F32">
        <v>2</v>
      </c>
      <c r="G32" t="b">
        <v>1</v>
      </c>
    </row>
    <row r="33" spans="1:8" x14ac:dyDescent="0.25">
      <c r="A33">
        <v>85</v>
      </c>
      <c r="B33" t="s">
        <v>601</v>
      </c>
      <c r="C33" t="s">
        <v>674</v>
      </c>
      <c r="D33" t="s">
        <v>482</v>
      </c>
      <c r="E33" t="s">
        <v>45</v>
      </c>
      <c r="F33">
        <v>1</v>
      </c>
      <c r="G33" t="b">
        <v>1</v>
      </c>
    </row>
    <row r="34" spans="1:8" x14ac:dyDescent="0.25">
      <c r="A34">
        <v>85</v>
      </c>
      <c r="B34" t="s">
        <v>602</v>
      </c>
      <c r="C34" t="s">
        <v>671</v>
      </c>
      <c r="D34" t="s">
        <v>482</v>
      </c>
      <c r="E34" t="s">
        <v>603</v>
      </c>
      <c r="F34">
        <v>2</v>
      </c>
      <c r="G34" t="b">
        <v>1</v>
      </c>
      <c r="H34">
        <v>2505</v>
      </c>
    </row>
    <row r="35" spans="1:8" x14ac:dyDescent="0.25">
      <c r="A35">
        <v>86</v>
      </c>
      <c r="B35" t="s">
        <v>107</v>
      </c>
      <c r="C35" t="s">
        <v>673</v>
      </c>
      <c r="D35" t="s">
        <v>482</v>
      </c>
      <c r="E35" t="s">
        <v>604</v>
      </c>
      <c r="F35">
        <v>1</v>
      </c>
      <c r="G35" t="b">
        <v>1</v>
      </c>
    </row>
    <row r="36" spans="1:8" x14ac:dyDescent="0.25">
      <c r="A36">
        <v>86</v>
      </c>
      <c r="B36" t="s">
        <v>605</v>
      </c>
      <c r="C36" t="s">
        <v>671</v>
      </c>
      <c r="D36" t="s">
        <v>482</v>
      </c>
      <c r="E36" t="s">
        <v>111</v>
      </c>
      <c r="F36">
        <v>2</v>
      </c>
      <c r="G36" t="b">
        <v>1</v>
      </c>
    </row>
    <row r="37" spans="1:8" x14ac:dyDescent="0.25">
      <c r="A37">
        <v>86</v>
      </c>
      <c r="B37" t="s">
        <v>113</v>
      </c>
      <c r="C37" t="s">
        <v>675</v>
      </c>
      <c r="D37" t="s">
        <v>482</v>
      </c>
      <c r="E37" t="s">
        <v>114</v>
      </c>
      <c r="F37">
        <v>3</v>
      </c>
      <c r="G37" t="b">
        <v>1</v>
      </c>
    </row>
    <row r="38" spans="1:8" x14ac:dyDescent="0.25">
      <c r="A38">
        <v>86</v>
      </c>
      <c r="B38" t="s">
        <v>115</v>
      </c>
      <c r="C38" t="s">
        <v>675</v>
      </c>
      <c r="D38" t="s">
        <v>482</v>
      </c>
      <c r="E38" t="s">
        <v>606</v>
      </c>
      <c r="F38">
        <v>4</v>
      </c>
      <c r="G38" t="b">
        <v>1</v>
      </c>
    </row>
    <row r="39" spans="1:8" x14ac:dyDescent="0.25">
      <c r="A39">
        <v>86</v>
      </c>
      <c r="B39" t="s">
        <v>607</v>
      </c>
      <c r="C39" t="s">
        <v>674</v>
      </c>
      <c r="D39" t="s">
        <v>482</v>
      </c>
      <c r="E39" t="s">
        <v>45</v>
      </c>
      <c r="F39">
        <v>5</v>
      </c>
      <c r="G39" t="b">
        <v>1</v>
      </c>
    </row>
    <row r="40" spans="1:8" x14ac:dyDescent="0.25">
      <c r="A40">
        <v>86</v>
      </c>
      <c r="B40" t="s">
        <v>608</v>
      </c>
      <c r="C40" t="s">
        <v>674</v>
      </c>
      <c r="D40" t="s">
        <v>482</v>
      </c>
      <c r="E40" t="s">
        <v>45</v>
      </c>
      <c r="F40">
        <v>6</v>
      </c>
      <c r="G40" t="b">
        <v>1</v>
      </c>
    </row>
    <row r="41" spans="1:8" x14ac:dyDescent="0.25">
      <c r="A41">
        <v>86</v>
      </c>
      <c r="B41" t="s">
        <v>120</v>
      </c>
      <c r="C41" t="s">
        <v>671</v>
      </c>
      <c r="D41" t="s">
        <v>482</v>
      </c>
      <c r="E41" t="s">
        <v>121</v>
      </c>
      <c r="F41">
        <v>7</v>
      </c>
      <c r="G41" t="b">
        <v>1</v>
      </c>
      <c r="H41">
        <v>2516</v>
      </c>
    </row>
    <row r="42" spans="1:8" x14ac:dyDescent="0.25">
      <c r="A42">
        <v>86</v>
      </c>
      <c r="B42" t="s">
        <v>609</v>
      </c>
      <c r="C42" t="s">
        <v>674</v>
      </c>
      <c r="D42" t="s">
        <v>482</v>
      </c>
      <c r="E42" t="s">
        <v>45</v>
      </c>
      <c r="F42">
        <v>8</v>
      </c>
      <c r="G42" t="b">
        <v>1</v>
      </c>
    </row>
    <row r="43" spans="1:8" x14ac:dyDescent="0.25">
      <c r="A43">
        <v>86</v>
      </c>
      <c r="B43" t="s">
        <v>125</v>
      </c>
      <c r="C43" t="s">
        <v>671</v>
      </c>
      <c r="D43" t="s">
        <v>482</v>
      </c>
      <c r="E43" t="s">
        <v>126</v>
      </c>
      <c r="F43">
        <v>9</v>
      </c>
      <c r="G43" t="b">
        <v>1</v>
      </c>
      <c r="H43">
        <v>2518</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1F2133BC8728248B080FEA0EF7C453B" ma:contentTypeVersion="19" ma:contentTypeDescription="Crie um novo documento." ma:contentTypeScope="" ma:versionID="eaf7b05f4e55617800eefcbfc21b81e1">
  <xsd:schema xmlns:xsd="http://www.w3.org/2001/XMLSchema" xmlns:xs="http://www.w3.org/2001/XMLSchema" xmlns:p="http://schemas.microsoft.com/office/2006/metadata/properties" xmlns:ns2="21295805-eb8a-4d60-ae62-ff01cd9af3d1" xmlns:ns3="ac573853-6b09-4d3c-8f21-48abc8323ea0" targetNamespace="http://schemas.microsoft.com/office/2006/metadata/properties" ma:root="true" ma:fieldsID="a27c739c9b966c01edad2207cb7a3f84" ns2:_="" ns3:_="">
    <xsd:import namespace="21295805-eb8a-4d60-ae62-ff01cd9af3d1"/>
    <xsd:import namespace="ac573853-6b09-4d3c-8f21-48abc8323ea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295805-eb8a-4d60-ae62-ff01cd9af3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6f3fb4e8-0039-4ebb-8dac-0f2ebc2550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573853-6b09-4d3c-8f21-48abc8323ea0"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4670adad-3d3b-42e0-8809-79949f49c78b}" ma:internalName="TaxCatchAll" ma:showField="CatchAllData" ma:web="ac573853-6b09-4d3c-8f21-48abc8323e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295805-eb8a-4d60-ae62-ff01cd9af3d1">
      <Terms xmlns="http://schemas.microsoft.com/office/infopath/2007/PartnerControls"/>
    </lcf76f155ced4ddcb4097134ff3c332f>
    <TaxCatchAll xmlns="ac573853-6b09-4d3c-8f21-48abc8323ea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98D77C-E95B-4B1C-8EF4-DE149744F5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295805-eb8a-4d60-ae62-ff01cd9af3d1"/>
    <ds:schemaRef ds:uri="ac573853-6b09-4d3c-8f21-48abc8323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9D6770-9126-4DD9-85B1-27E77E12932B}">
  <ds:schemaRefs>
    <ds:schemaRef ds:uri="http://schemas.microsoft.com/DataMashup"/>
  </ds:schemaRefs>
</ds:datastoreItem>
</file>

<file path=customXml/itemProps3.xml><?xml version="1.0" encoding="utf-8"?>
<ds:datastoreItem xmlns:ds="http://schemas.openxmlformats.org/officeDocument/2006/customXml" ds:itemID="{40E089DD-4E7B-4E87-8A7F-84C67D2BC08F}">
  <ds:schemaRefs>
    <ds:schemaRef ds:uri="http://purl.org/dc/terms/"/>
    <ds:schemaRef ds:uri="http://schemas.microsoft.com/office/2006/documentManagement/types"/>
    <ds:schemaRef ds:uri="http://schemas.microsoft.com/office/infopath/2007/PartnerControls"/>
    <ds:schemaRef ds:uri="http://www.w3.org/XML/1998/namespace"/>
    <ds:schemaRef ds:uri="http://purl.org/dc/elements/1.1/"/>
    <ds:schemaRef ds:uri="http://schemas.openxmlformats.org/package/2006/metadata/core-properties"/>
    <ds:schemaRef ds:uri="http://purl.org/dc/dcmitype/"/>
    <ds:schemaRef ds:uri="ac573853-6b09-4d3c-8f21-48abc8323ea0"/>
    <ds:schemaRef ds:uri="21295805-eb8a-4d60-ae62-ff01cd9af3d1"/>
    <ds:schemaRef ds:uri="http://schemas.microsoft.com/office/2006/metadata/properties"/>
  </ds:schemaRefs>
</ds:datastoreItem>
</file>

<file path=customXml/itemProps4.xml><?xml version="1.0" encoding="utf-8"?>
<ds:datastoreItem xmlns:ds="http://schemas.openxmlformats.org/officeDocument/2006/customXml" ds:itemID="{1732D59E-971D-45D9-9AD7-C8D867167D45}">
  <ds:schemaRefs>
    <ds:schemaRef ds:uri="http://schemas.microsoft.com/sharepoint/v3/contenttype/forms"/>
  </ds:schemaRefs>
</ds:datastoreItem>
</file>

<file path=docMetadata/LabelInfo.xml><?xml version="1.0" encoding="utf-8"?>
<clbl:labelList xmlns:clbl="http://schemas.microsoft.com/office/2020/mipLabelMetadata">
  <clbl:label id="{2fddf1d2-f27b-4100-be0a-57aeecdebfa9}" enabled="1" method="Privileged" siteId="{9cf330a1-03c9-4d13-832f-16ec84f03daf}" contentBits="0" removed="0"/>
  <clbl:label id="{6678d9fe-0921-417d-8411-5f1c18defbbb}" enabled="0" method="" siteId="{6678d9fe-0921-417d-8411-5f1c18defb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1</vt:i4>
      </vt:variant>
    </vt:vector>
  </HeadingPairs>
  <TitlesOfParts>
    <vt:vector size="12" baseType="lpstr">
      <vt:lpstr>Formulário de Perfil</vt:lpstr>
      <vt:lpstr>Formulário de Conformidade</vt:lpstr>
      <vt:lpstr>Contadores</vt:lpstr>
      <vt:lpstr>Resultado</vt:lpstr>
      <vt:lpstr>Planilha2</vt:lpstr>
      <vt:lpstr>3  Validação da Tabela Pergunta</vt:lpstr>
      <vt:lpstr>Checklist SAMPI</vt:lpstr>
      <vt:lpstr>datablocosGV</vt:lpstr>
      <vt:lpstr>Planilha1</vt:lpstr>
      <vt:lpstr>dataareasgv</vt:lpstr>
      <vt:lpstr>dataFPGV</vt:lpstr>
      <vt:lpstr>'Formulário de Conformidade'!Area_de_impressao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Joao Victor da Silva Sousa</dc:creator>
  <cp:keywords/>
  <dc:description/>
  <cp:lastModifiedBy>Jose de Castro Barreto Junior</cp:lastModifiedBy>
  <cp:revision/>
  <cp:lastPrinted>2026-09-21T14:29:57Z</cp:lastPrinted>
  <dcterms:created xsi:type="dcterms:W3CDTF">2025-09-03T13:43:04Z</dcterms:created>
  <dcterms:modified xsi:type="dcterms:W3CDTF">2026-10-06T18:24:24Z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0x010100A1F2133BC8728248B080FEA0EF7C453B</vt:lpwstr>
  </property>
  <property fmtid="{D5CDD505-2E9C-101B-9397-08002B2CF9AE}" pid="3" name="MediaServiceImageTags">
    <vt:lpwstr/>
  </property>
</Properties>
</file>