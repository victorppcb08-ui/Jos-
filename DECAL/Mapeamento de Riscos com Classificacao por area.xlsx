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filterPrivacy="1"/>
  <xr:revisionPtr revIDLastSave="284" documentId="8_{647E4044-D289-41A6-971E-8AE892E3B17F}" xr6:coauthVersionLast="47" xr6:coauthVersionMax="47" xr10:uidLastSave="{C60C4908-8397-4E84-9D62-15996593FB3A}"/>
  <bookViews>
    <workbookView xWindow="-108" yWindow="-108" windowWidth="23256" windowHeight="12456" tabRatio="1000" xr2:uid="{00000000-000D-0000-FFFF-FFFF00000000}"/>
  </bookViews>
  <sheets>
    <sheet name="Menu" sheetId="4" r:id="rId1"/>
    <sheet name="Compliance" sheetId="1" r:id="rId2"/>
    <sheet name="Compras e Contas a Pagar" sheetId="2" r:id="rId3"/>
    <sheet name="Contabilidade" sheetId="6" r:id="rId4"/>
    <sheet name="Licenças" sheetId="7" r:id="rId5"/>
    <sheet name="Ope_Est_Man" sheetId="8" r:id="rId6"/>
    <sheet name="Qualidade" sheetId="9" r:id="rId7"/>
    <sheet name="Recursos Humanos" sheetId="10" r:id="rId8"/>
    <sheet name="Tecnologia da Informação" sheetId="11" r:id="rId9"/>
    <sheet name="Vendas e Contas a Receber" sheetId="12" r:id="rId10"/>
    <sheet name="Análise de Risco" sheetId="14" r:id="rId11"/>
    <sheet name="Gráfico de Riscos" sheetId="15" r:id="rId12"/>
    <sheet name="Revisão Geral" sheetId="16" r:id="rId13"/>
  </sheets>
  <definedNames>
    <definedName name="Grande">#REF!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4" l="1"/>
  <c r="C15" i="16"/>
  <c r="D15" i="16"/>
  <c r="E15" i="16"/>
  <c r="F15" i="16"/>
  <c r="G15" i="16"/>
  <c r="I8" i="9"/>
  <c r="J8" i="9" s="1"/>
  <c r="I9" i="9"/>
  <c r="J9" i="9" s="1"/>
  <c r="I8" i="10"/>
  <c r="J8" i="10" s="1"/>
  <c r="I9" i="10"/>
  <c r="J9" i="10" s="1"/>
  <c r="I10" i="10"/>
  <c r="J10" i="10" s="1"/>
  <c r="I11" i="10"/>
  <c r="J11" i="10" s="1"/>
  <c r="I12" i="10"/>
  <c r="J12" i="10" s="1"/>
  <c r="I13" i="10"/>
  <c r="J13" i="10" s="1"/>
  <c r="I8" i="8"/>
  <c r="J8" i="8" s="1"/>
  <c r="I9" i="8"/>
  <c r="J9" i="8" s="1"/>
  <c r="I10" i="8"/>
  <c r="J10" i="8" s="1"/>
  <c r="I11" i="8"/>
  <c r="J11" i="8" s="1"/>
  <c r="I12" i="8"/>
  <c r="J12" i="8" s="1"/>
  <c r="I13" i="8"/>
  <c r="J13" i="8" s="1"/>
  <c r="I14" i="8"/>
  <c r="J14" i="8" s="1"/>
  <c r="I15" i="8"/>
  <c r="J15" i="8" s="1"/>
  <c r="I8" i="11"/>
  <c r="J8" i="11" s="1"/>
  <c r="I9" i="11"/>
  <c r="J9" i="11" s="1"/>
  <c r="I10" i="11"/>
  <c r="J10" i="11" s="1"/>
  <c r="I8" i="12"/>
  <c r="J8" i="12" s="1"/>
  <c r="I9" i="12"/>
  <c r="J9" i="12" s="1"/>
  <c r="I8" i="7"/>
  <c r="J8" i="7" s="1"/>
  <c r="I9" i="7"/>
  <c r="J9" i="7" s="1"/>
  <c r="I10" i="7"/>
  <c r="J10" i="7" s="1"/>
  <c r="I8" i="6"/>
  <c r="J8" i="6" s="1"/>
  <c r="I9" i="2"/>
  <c r="J9" i="2" s="1"/>
  <c r="I10" i="2"/>
  <c r="J10" i="2" s="1"/>
  <c r="I11" i="2"/>
  <c r="J11" i="2" s="1"/>
  <c r="I12" i="2"/>
  <c r="J12" i="2" s="1"/>
  <c r="I13" i="2"/>
  <c r="J13" i="2" s="1"/>
  <c r="I14" i="2"/>
  <c r="J14" i="2" s="1"/>
  <c r="I15" i="2"/>
  <c r="J15" i="2" s="1"/>
  <c r="I16" i="2"/>
  <c r="J16" i="2"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H14" i="16" l="1"/>
  <c r="H13" i="16"/>
  <c r="H10" i="16"/>
  <c r="H9" i="16"/>
  <c r="H11" i="16"/>
  <c r="H8" i="16"/>
  <c r="H7" i="16"/>
  <c r="H6" i="16"/>
  <c r="H12" i="16"/>
  <c r="G39" i="14"/>
  <c r="F40" i="14" s="1"/>
  <c r="G38" i="14"/>
  <c r="F39" i="14" s="1"/>
  <c r="G37" i="14"/>
  <c r="F38" i="14" s="1"/>
  <c r="F37" i="14"/>
  <c r="H15" i="16" l="1"/>
</calcChain>
</file>

<file path=xl/sharedStrings.xml><?xml version="1.0" encoding="utf-8"?>
<sst xmlns="http://schemas.openxmlformats.org/spreadsheetml/2006/main" count="652" uniqueCount="308">
  <si>
    <t>Mapeamento de Risco de Compliance</t>
  </si>
  <si>
    <t>Análise de Risco</t>
  </si>
  <si>
    <t>Ref.</t>
  </si>
  <si>
    <t>Processo</t>
  </si>
  <si>
    <t>Risco</t>
  </si>
  <si>
    <t>Recomendação</t>
  </si>
  <si>
    <t>Impacto</t>
  </si>
  <si>
    <t>Classificação do Risco</t>
  </si>
  <si>
    <t>Probabilidade</t>
  </si>
  <si>
    <t>Cálculo</t>
  </si>
  <si>
    <t>R.COM.01</t>
  </si>
  <si>
    <t>Compliance</t>
  </si>
  <si>
    <t>Risco de  transgressão dos controles internos de compliance por funcionários ou terceiros da DECAL Brasil.</t>
  </si>
  <si>
    <t>Recomendamos que seja realizado um monitoramento dos controles e riscos de compliance, para garantir a efetividade do programa de integridade da DECAL Brasil. O monitoramento deve garantir que todos os procedimentos definidos nas políticas relacionadas ao programa de integridade estão sendo seguidos.</t>
  </si>
  <si>
    <t>5 - Muito Alto</t>
  </si>
  <si>
    <t>Fraude e  Corrupção</t>
  </si>
  <si>
    <t>3 - Possível</t>
  </si>
  <si>
    <t>R.COM.02</t>
  </si>
  <si>
    <t>Risco de ausência de denúncias/comunicação de funcionários em caso descumprimento das regras de compliance cometidos por membros da DECAL Brasil ou em nome da empresa.</t>
  </si>
  <si>
    <t>Recomendamos que os canais de denúncias da DECAL Brasil sejam amplamente divulgados através de informativos, intranet, banner e treinamento, reiterando para todos os funcionários as prerrogativas de sigilo, confidencialidade e segurança na realização de denúncias.</t>
  </si>
  <si>
    <t>Fraude</t>
  </si>
  <si>
    <t>R.COM.03</t>
  </si>
  <si>
    <t>Risco de ausência de monitoramento e tratamento das denúncias realizadas através dos canais de denúncias.</t>
  </si>
  <si>
    <t>Recomendamos que todas as denúncias sejam previamente avaliadas e classificadas quanto ao impacto (baixo, médio ou alto) e exposição (baixa, média ou alta) da DECAL Brasil e, para cada uma das classificações, prazos máximos para tratamento e conclusão sejam definidos.</t>
  </si>
  <si>
    <t>R.COM.04</t>
  </si>
  <si>
    <t>Risco de desconhecimento dos funcionários da DECAL Brasil das regras internas de compliance e das políticas e procedimentos das áreas relacionadas ao programa de integridade.</t>
  </si>
  <si>
    <t xml:space="preserve">Recomendamos a implementação de  uma rotina de divulgação do programa de integridade da empresa, comunicando para todos os funcionários sobre as políticas, código de ética e conduta, apresentação dos membros do comitê de compliance, data de realização das reuniões do comitê e resultados obtidos pelo comitê (respeitando os critérios de sigilo e confidencialidade).
Recomendamos a criação de uma grade formal de treinamentos por área e cargo, disponível a todos os funcionários e gestores da DECAL Brasil relacionados a Compliance.
</t>
  </si>
  <si>
    <t>R.COM.05</t>
  </si>
  <si>
    <t>Risco de desconhecimento dos terceirizados da DECAL Brasil sobre o programa interno de integridade da empresa.</t>
  </si>
  <si>
    <t>Recomendamos que, no momento da contratação e início das atividades de qualquer funcionário terceirizado da DECAL Brasil, todas as regras de compliance sejam devidamente comunicadas e seja solicitada uma confirmação formal de ciência.</t>
  </si>
  <si>
    <t>4 - Alto</t>
  </si>
  <si>
    <t>R.COM.06</t>
  </si>
  <si>
    <t>Risco de desconhecimento pelos funcionários da DECAL Brasil sobre as regras de compliance dos órgãos públicos que possuem relacionamento com a empresa.</t>
  </si>
  <si>
    <t>Recomendamos que para todos os relacionamentos com órgãos públicos a DECAL deve avaliar as regras de compliance do agente para garantir o cumprimento das mais restritivas.</t>
  </si>
  <si>
    <t>R.COM.07</t>
  </si>
  <si>
    <t>Risco de desatualização legal das regras de compliance da DECAL Brasil.</t>
  </si>
  <si>
    <t>Recomendamos que a área de compliance deve monitorar as atualizações legais da Lei Anticorrupção para adequação do seu programa interno.</t>
  </si>
  <si>
    <t>Consideramos para a probabilidade:
Fraude e Corrupção</t>
  </si>
  <si>
    <t>R.COM.08</t>
  </si>
  <si>
    <t>Risco de realização de transações com funcionários públicos, ex-funcionários públicos ou órgãos governamentais com relacionamento direto com funcionários da DECAL Brasil (ex.: parentes, amigos, etc.), desrespeitando as regras de independência da empresa.</t>
  </si>
  <si>
    <t>Recomendamos que seja realizado o mapeamento de conflitos de interesses de funcionários da DECAL Brasil e que todos as relações consideradas como de risco sejam acompanhadas pela área de compliance</t>
  </si>
  <si>
    <t>Corrupção</t>
  </si>
  <si>
    <t>R.COM.09</t>
  </si>
  <si>
    <t>Risco de pagamentos ou doações indevidas para partidos políticos de acordo com a Lei Anticorrupção e em desacordo com a Reforma Eleitoral (Lei nº 13.165/2015).</t>
  </si>
  <si>
    <t>Recomendamos que  seja implementado procedimentos para evitar o pagamento ou doação para partidos política em desacordo com a Reforma Eleitoral</t>
  </si>
  <si>
    <t>1 - Muito Baixo</t>
  </si>
  <si>
    <t>R.COM.10</t>
  </si>
  <si>
    <t>Risco de pagamentos ou concessão de hospitalidade, presentes ou brindes para servidores públicos em desacordo com o código de conduta da DECAL  Brasil, código de conduta do órgão público, a lei anticorrupção ou com o "Código de Conduta da Alta Administração Federal".</t>
  </si>
  <si>
    <t>Recomendamos que todas as concessões de hospitalidade, presentes ou brindes para servidores públicos sejam realizadas mediante aprovação prévia do comitê de compliance e em adequação ao código de conduta da DECAL  Brasil, código de conduto do órgão público, a lei anticorrupção ou com o "Código de Conduta da Alta Administração Federal".  As regras para os casos onde a concessão da hospitalidade, presentes ou brindes é aceita devem estar devidamente formalizadas nas políticas da empresa e respeitando a regra mais restritiva.</t>
  </si>
  <si>
    <t>R.COM.11</t>
  </si>
  <si>
    <t>Risco de não monitoramento dos funcionários com ausência de independência com agentes públicos, ex-agentes públicos, órgãos regulamentares ou empresas privadas.</t>
  </si>
  <si>
    <t>Recomendamos que no mínimo a cada 12 meses, sejam realizadas atualizações do mapa de independência de todos os funcionários da DECAL Brasil. Adicionalmente, inclusão nas políticas de RH da obrigatoriedade de comunicação formal e tempestiva por parte dos funcionários de possíveis conflitos de relacionamentos.</t>
  </si>
  <si>
    <t>Agentes públicos</t>
  </si>
  <si>
    <t>4 - Muito provável</t>
  </si>
  <si>
    <t>R.COM.12</t>
  </si>
  <si>
    <t>Risco de ausência de apoio da alta administração para as regras de compliance da empresa.</t>
  </si>
  <si>
    <t>Recomendamos que no mínimo a cada 12 meses, seja realizada uma comunicação formal sobre a adesão dos membros da alta administração e do comitê de compliance às atualizações realizadas nas políticas de compliance da empresa.</t>
  </si>
  <si>
    <t>R.COM.13</t>
  </si>
  <si>
    <t>Risco de ausência de independência dos membros do comitê de compliance perante a alta administração da empresa.</t>
  </si>
  <si>
    <t>Recomendamos que a independência dos membros da área de compliance da DECAL Brasil sobre as demais áreas, na execução de suas atividades relacionadas ao programa, seja garantida.</t>
  </si>
  <si>
    <t>Crimes contra a privacidade (funcionários)</t>
  </si>
  <si>
    <t>R.COM.14</t>
  </si>
  <si>
    <t>Risco de ausência na integração do programa de integridade com outras áreas da empresa.</t>
  </si>
  <si>
    <t>Recomendamos que todas as políticas e procedimentos da empresa, os códigos de compliance (código de ética e conduta) e o programa de integridade estejam alinhados.</t>
  </si>
  <si>
    <t>R.COM.15</t>
  </si>
  <si>
    <t>Risco de ausência de monitoramento dos controles de compliance da empresa.</t>
  </si>
  <si>
    <t>Recomendamos o contínuo monitoramento e avaliação interna dos controles de compliance da empresa, para garantir a efetividade do programa de integridade.</t>
  </si>
  <si>
    <t>R.COM.16</t>
  </si>
  <si>
    <t>Risco de ausência de independência dos membros do comitê de compliance perante a necessidade de tratativa de alguma denúncia realizada.</t>
  </si>
  <si>
    <t>Recomendamos que sejam definidos de forma clara as regras e substitutos dos membros do comitê de compliance para situações onde o conflito de interesse ou independência sejam identificados para tratativa de denúncias.</t>
  </si>
  <si>
    <t>R.COM.17</t>
  </si>
  <si>
    <t>Risco de pagamentos indevidos com o objetivo de obtenção de vantagem indevida a título de bonificação, doação, prêmios ou patrocínios para agentes públicos, ex-agentes públicos, órgãos regulamentares ou empresas públicas e privadas.</t>
  </si>
  <si>
    <t>Recomendamos que todos os pagamentos realizados a título de bonificação, doação, prêmios ou patrocínios para agentes públicos, ex-agentes públicos, órgãos regulamentares ou empresas públicas e privadas sejam revisados e aprovados adicionalmente por membros do comitê de compliance.</t>
  </si>
  <si>
    <t>R.COM.18</t>
  </si>
  <si>
    <t>Risco de ausência de segregação de função entre membros do comitê e suas atividades operacionais (ex.: nenhum membro do comitê pode utilizar da prerrogativa de acumular mais de uma cargo como aprovador).</t>
  </si>
  <si>
    <t>Recomendamos que, para todos os casos onde um mesmo funcionário acumule as prerrogativas de aprovador de negócio (ex.: Gerente de Compras) e aprovador como membro do comitê, deve ser realizada a imediata definição de um membro do comitê de compliance substituto como aprovador.</t>
  </si>
  <si>
    <t>R.CCP.01</t>
  </si>
  <si>
    <t>Compras e Contas a Pagar</t>
  </si>
  <si>
    <t>Risco de conflito de interesse na contratação de fornecedores e consultores (agentes públicos, ex-agentes públicos, órgãos reguladores, órgãos fiscalizadores ou empresas privadas).</t>
  </si>
  <si>
    <t>Recomendamos que, na etapa de contratação de fornecedores, seja realizada uma avaliação dos relacionamentos destes com funcionários da DECAL Brasil e seus clientes e, caso identificada alguma inconformidade (conflito de interesse), a  contratação fique  sujeita a uma aprovação do comitê de compliance (para acompanhamento e tratativa do risco).
Recomendamos que todas as negociações da DECAL Brasil que envolvam agentes públicos sejam realizadas por mais de um membro da empresa e estas devem passar por avaliação e aprovação do comitê de compliance.</t>
  </si>
  <si>
    <t>Corrupção e Agentes públicos</t>
  </si>
  <si>
    <t>R.CCP.02</t>
  </si>
  <si>
    <t>Risco de pagamentos indevidos para obtenção de vantagens competitivas ou técnicas com agentes públicos, ex-agentes públicos, órgãos reguladores, órgãos fiscalizadores ou empresas privadas.</t>
  </si>
  <si>
    <t>Recomendamos que todos os pagamentos realizados para agentes públicos, ex-agentes públicos, órgãos reguladores ou empresas privadas, sejam realizados somente mediante processos claros de cotação e avaliação de melhores preços, além de capacidade técnica. 
Caso a capacidade técnica seja considerada para a escolha de uma proposta com preço superior às concorrentes, esta deve ter embasamento técnico da área contratante e aprovação do comitê de compliance.</t>
  </si>
  <si>
    <t>R.CCP.03</t>
  </si>
  <si>
    <t>Risco de pagamentos realizados em valores divergentes aos contratados com agentes públicos, ex-agentes públicos, órgãos regulamentares ou empresas privadas (superfaturamento ou subfaturamento de contratos).</t>
  </si>
  <si>
    <t>Recomendamos que, antes da realização dos pagamentos, seja realizada uma validação dos valores acordados no contrato ou pedido de compra com o valor da  nota fiscal emitida pelo fornecedor (agentes públicos, ex-agentes públicos, órgãos reguladores ou empresas privadas) de acordo com alçadas para aprovadores das áreas de Contas a Pagar e comitê de compliance.</t>
  </si>
  <si>
    <t>R.CCP.04</t>
  </si>
  <si>
    <t>Risco de pagamentos realizados sem as aprovações devidas da administração da DECAL Brasil para agentes públicos, ex-agentes públicos, órgãos reguladores, órgãos fiscalizadores ou empresas privadas.</t>
  </si>
  <si>
    <t xml:space="preserve">Recomendamos que os pagamentos somente sejam realizados mediante alçada de aprovação  definida pela DECAL Brasil, conforme regras de negócio, inclusive com o envolvimento da equipe de compliance para os casos onde algum risco adicional (ex: conflito de  interesse, pagamentos de valores adicionais) sejam identificados. </t>
  </si>
  <si>
    <t>R.CCP.05</t>
  </si>
  <si>
    <t>Risco de pagamentos realizados sem a prestação do serviço ou entrega de mercadoria por agentes públicos, ex-agentes públicos e empresas privadas.</t>
  </si>
  <si>
    <t>Recomendamos que todos os pagamentos realizados para agentes públicos, ex-agentes públicos, órgãos reguladores ou empresas privadas,  sejam realizados somente mediante comprovação formal da realização do serviço, entrega da mercadoria e atestação da qualidade pela área contratante e pelo comitê de compliance.</t>
  </si>
  <si>
    <t>Fraude, Corrupção e Agentes Públicos</t>
  </si>
  <si>
    <t>R.CCP.06</t>
  </si>
  <si>
    <t>Risco de pagamentos indevidos de taxas, adicionais/extras aos valores (ex.: juros, impostos) realizados para agentes públicos, ex-agentes públicos, órgãos reguladores, órgãos fiscalizadores ou empresas privadas, com intenção de obtenção de vantagem indevida.</t>
  </si>
  <si>
    <t>Recomendamos que todos os pagamentos de adicionais/extras ou taxas para  agentes públicos, ex-agentes públicos ou órgãos reguladores sejam realizados somente mediante aprovação formal da área de compliance e justificativas formalizadas pela área contratante.</t>
  </si>
  <si>
    <t>2 - Baixo</t>
  </si>
  <si>
    <t>R.CCP.07</t>
  </si>
  <si>
    <t>Risco de contratação de empresas citadas em listas de empresas inidôneas (CIES - Cadastro Nacional Empresas Inidôneas e  Suspensas, CNEP - Cadastro Nacional de Empresa Punidas, Pessoas Politicamente Expostas - PPE).</t>
  </si>
  <si>
    <t>Recomendamos que, antes da contratação de qualquer fornecedor (agentes públicos, ex-agentes públicos, órgãos regulamentares ou empresas privadas), uma análise de Due Dilligence seja realizada, inclusive através de consulta a cadastros nacionais de empresas (ex: CIES - Cadastro Nacional Empresas Inidôneas e  Suspensas, CNEP - Cadastro Nacional de Empresa Punidas, Pessoas Politicamente Expostas - PPE). 
Caso seja identificado algum registro do fornecedor, sua contratação somente pode ser realizada  mediante avaliação formal do comitê de compliance com apresentação de justificativas formais.</t>
  </si>
  <si>
    <t>Clientes e Fornecedores</t>
  </si>
  <si>
    <t>R.CCP.08</t>
  </si>
  <si>
    <t>Risco de transgressão das regras anticorrupção por fornecedores e/ou terceirizados contratados pela DECAL Brasil na prestação de serviços junto a agentes públicos, ex-agentes públicos, órgãos regulamentares ou empresas privadas.</t>
  </si>
  <si>
    <t>Recomendamos que em todos os contratos com empresas fornecedoras e/ou terceirizadas sejam incluídas cláusulas de responsabilidade e adequação às leis anticorrupção.</t>
  </si>
  <si>
    <t>R.CON.01</t>
  </si>
  <si>
    <t>Contabilidade</t>
  </si>
  <si>
    <t xml:space="preserve">Risco de registros contábeis em desacordo com a Lei Anticorrupção </t>
  </si>
  <si>
    <t>Recomendamos que todos os registros  contábeis sejam de fácil identificação em conformidade com a Lei Anticorrupção.</t>
  </si>
  <si>
    <t>R.LIC.01</t>
  </si>
  <si>
    <t>Licenças</t>
  </si>
  <si>
    <t>Risco de transgressão das regras de compliance para obtenção das licenças junto às agências, órgãos reguladores e órgãos fiscalizadores da DECAL Brasil:
a) Agentes Públicos;
b) Ex-agentes públicos;
c) Agência nacional de petróleo (ANP);
d) Companhia Pernambucana de Recursos Hídricos (CPRH);
e) Agência Nacional de Transportes Aquaviários (ANTAQ);
f) Governo Federal;
g) Governo Estadual;
h) Governo Municipal;
i) Receita Federal;
j) Porto de Suape.</t>
  </si>
  <si>
    <t>Recomendamos que todo o processo e requerimentos para obtenção de licenças sejam descritos em políticas de forma clara e disponibilizados para todos os envolvidos.
Recomendamos que membros da equipe do comitês de compliance acompanhem o processo de obtenção das licenças da DECAL Brasil.</t>
  </si>
  <si>
    <t>"Agentes públicos" e "Meio Ambiente e Segurança do trabalho"</t>
  </si>
  <si>
    <t>R.LIC.02</t>
  </si>
  <si>
    <t>Risco de ausência de independência entre os funcionários da DECAL Brasil com agentes das  agências, órgãos reguladores e órgãos fiscalizadores:
a) Agentes Públicos;
b) ex-agentes públicos;
c) Agência nacional de petróleo (ANP);
d) Companhia Pernambucana de Recursos Hídricos (CPRH);
e) Agência Nacional de Transportes Aquaviários (ANTAQ);
f) Governo Federal;
g) Governo Estadual;
h) Governo Municipal;
i) Receita Federal;
j) Porto de Suape.</t>
  </si>
  <si>
    <t>Recomendamos o mapeamento de conflitos de interesse entre os responsáveis por realizar os procedimentos para obtenção das licenças e os agentes públicos, órgãos reguladores e órgãos fiscalizadores.  Caso seja identificada a ausência de independência, este relacionamento deve ser monitorado pelo comitê de compliance.</t>
  </si>
  <si>
    <t>R.LIC.03</t>
  </si>
  <si>
    <t>Risco de pagamentos indevidos de taxas para obtenção e manutenção das licenças junto as agências, órgãos reguladores e órgãos fiscalizadores da DECAL  Brasil com o objetivo de obtenção de vantagem indevida:
a) Agentes Públicos;
b) ex-agentes públicos;
c) Agência nacional de petróleo (ANP);
d) Companhia Pernambucana de Recursos Hídricos (CPRH);
e) Agência Nacional de Transportes Aquaviários (ANTAQ);
f) Governo Federal;
g) Governo Estadual;
h) Governo Municipal;
i) Receita Federal;
j) Porto de Suape.</t>
  </si>
  <si>
    <t>Recomendamos que todos os pagamentos realizados para obtenção de licenças sejam monitorados pelo comitê de compliance.</t>
  </si>
  <si>
    <t>R.OPE.01</t>
  </si>
  <si>
    <t>Operação/ Estoques/ Manutenção</t>
  </si>
  <si>
    <t>Risco de medições incorretas (ex.: quantidade, temperatura, pressão) intencionais de mercadoria nas movimentações por transporte rodoviário, com objetivo de obtenção de vantagem indevida.</t>
  </si>
  <si>
    <t>Recomendamos que todas as divergências identificadas nas medições sejam revisadas por um segundo funcionário da DECAL Brasil distinto através de conferência cega.</t>
  </si>
  <si>
    <t>"Propriedade intelectual e industrial" e "Fraude"</t>
  </si>
  <si>
    <t>R.OPE.02</t>
  </si>
  <si>
    <t>Risco de medições incorretas (ex.: quantidade, temperatura, pressão) intencionais de mercadoria nas movimentações por transporte marítimo, com objetivo de obtenção de vantagem indevida.</t>
  </si>
  <si>
    <t>Recomendamos que todas as medições realizadas sejam revisadas por um segundo funcionário da DECAL Brasil e, caso alguma divergência seja identificada entre os dados reportados pelo cliente, ou equipe fiscalizadora, uma segunda conferência cega seja realizada.</t>
  </si>
  <si>
    <t>R.OPE.03</t>
  </si>
  <si>
    <t>Risco de medições incorretas (ex.: quantidade, temperatura, pressão) intencionais de mercadoria nas movimentações por transporte dutoviário, com objetivo de obtenção de vantagem indevida.</t>
  </si>
  <si>
    <t>R.OPE.04</t>
  </si>
  <si>
    <t>Risco de medições incorretas intencionais de qualidade e validação das quantidades em estoque (acompanhamento e validação dos estoques de mercadorias) para apresentação ao cliente, com objetivo de obtenção de vantagem indevida.</t>
  </si>
  <si>
    <t>R.OPE.05</t>
  </si>
  <si>
    <t>Risco de medições incorretas intencionais, com objetivo de obtenção de vantagem indevida, ou furto de mercadoria nas drenagens dos tanques para limpeza.</t>
  </si>
  <si>
    <t>R.OPE.06</t>
  </si>
  <si>
    <t>Risco de medições incorretas ou furto de mercadoria nas drenagens dos tanques para retiradas de água, com objetivo de obtenção de vantagem indevida.</t>
  </si>
  <si>
    <t>R.OPE.07</t>
  </si>
  <si>
    <t>Risco de divergências nas medições pelo descumprimento de requisitos técnicos (ex.: tempo mínimo de repouso do material).</t>
  </si>
  <si>
    <t>Recomendamos a implementação de controles de monitoramento para garantir o cumprimento de todos os requisitos técnicos para realização de medições (ex.: tempo mínimo de repouso) ou aprovação formal do cliente em caso de descumprimento.</t>
  </si>
  <si>
    <t>R.OPE.08</t>
  </si>
  <si>
    <t>Risco de equipamentos (ex.: balança, trena, arqueação do tanque, termômetros e Enraf) serem calibrados incorretamente, possibilitando a saída ou entrada de mercadorias diferentes das registradas, com objetivo de obtenção de vantagem indevida.</t>
  </si>
  <si>
    <t>Recomendamos a elaboração de uma rotina periódica de revisão e  manutenção dos equipamentos para garantir a integridade das medidas reportadas.</t>
  </si>
  <si>
    <t>R.QUA.01</t>
  </si>
  <si>
    <t>Qualidade</t>
  </si>
  <si>
    <t xml:space="preserve">Risco de fraude na obtenção e manutenção das certificações ISOs requeridas em cláusulas contratuais com clientes (órgão público). </t>
  </si>
  <si>
    <t>Recomendamos que todo o processo para obtenção e manutenção dos certificados (ex.:  ISO's) requerido por agentes públicos ou órgãos reguladores (que possuam qualquer tipo de relação com a DECAL Brasil) seja acompanhado por membros da equipe do comitê de compliance para garantir que nenhuma ação considerada como ilícita ou indevida (ex.: pagamento de valores indevidos com intenção de obtenção de vantagem indevida) ocorra.</t>
  </si>
  <si>
    <t>Meio Ambiente e Segurança do trabalho</t>
  </si>
  <si>
    <t>R.QUA.02</t>
  </si>
  <si>
    <t>Risco de manipulação dos resultados nas atividades de investigação ou fiscalização de órgãos, entidades ou agentes públicos requeridas nos contratos de prestação de serviços.</t>
  </si>
  <si>
    <t>Recomendamos que todo o processo de investigação ou fiscalização, requerido por agentes públicos ou órgãos reguladores, tenha o acompanhamento da área envolvida e do comitê de compliance, para garantir que nenhuma ação considerada como ilícita ou indevida (ex.: pagamento de valores indevidos com intenção de obtenção de vantagem indevida) ocorra.</t>
  </si>
  <si>
    <t>R.RH.01</t>
  </si>
  <si>
    <t>Recursos Humanos</t>
  </si>
  <si>
    <t>Risco de contratação de ex-agentes públicos dentro do período de  quarentena, conforme a Lei 12.813/13 e a Lei Anticorrupção.</t>
  </si>
  <si>
    <t>Recomendamos que, no momento da contratação de qualquer ex-agente público como funcionário, seja avaliado o cumprimento do período mínimo de impedimento, conforme definido em lei (12.813/13 e Lei Anticorrupção).</t>
  </si>
  <si>
    <t>R.RH.02</t>
  </si>
  <si>
    <t>Risco de contratação de agentes públicos pela DECAL Brasil com o objetivo de obtenção de vantagem ou benefício indevidos.</t>
  </si>
  <si>
    <t>Recomendamos que, quando um agente público ou ex-agente público for contratado, a equipe do comitê de compliance da DECAL Brasil acompanhe todo o processo de avaliação e aprovação para contratação, prestação do serviço e do pagamento realizado.</t>
  </si>
  <si>
    <t>R.RH.03</t>
  </si>
  <si>
    <t>Risco de contratação de familiares de agentes públicos ou ex-agentes públicos com o objetivo de obtenção de vantagem ou benefício indevido.</t>
  </si>
  <si>
    <t>Recomendamos que, no momento da contratação de qualquer funcionário, seja realizada uma avaliação prévia de independência deste com qualquer agente público ou ex-agente público com relacionamento com a DECAL Brasil e, caso seja identificado algum caso, o comitê de compliance deve ser envolvido no processo de aprovação da contratação.</t>
  </si>
  <si>
    <t>R.RH.04</t>
  </si>
  <si>
    <t>Risco na contratação de terceirizados que possuem relacionamento com agentes públicos ou ex-agentes públicos com o objetivo de obtenção de vantagem ou benefício indevido.</t>
  </si>
  <si>
    <t>Recomendamos que, no momento da contratação de qualquer terceirizado, seja realizada uma avaliação  prévia de independência deste com qualquer agente público ou ex-agente público com relacionamento com a DECAL Brasil e, caso seja identificado algum caso, o comitê de compliance deve ser envolvido no processo de aprovação da contratação.</t>
  </si>
  <si>
    <t>R.RH.05</t>
  </si>
  <si>
    <t>Risco de ausência de treinamentos de compliance para todos os funcionários e terceirizados da empresa.</t>
  </si>
  <si>
    <t>Recomendamos a implementação de uma rotina periódica (ex.: anual) para realização dos treinamentos de compliance para todos os membros da DECAL Brasil, com grade diferenciada para aqueles que possuem relacionamento direto com agentes públicos.</t>
  </si>
  <si>
    <t>R.RH.06</t>
  </si>
  <si>
    <t>Risco de ausência de treinamentos de compliance para a equipe do comitê de compliance.</t>
  </si>
  <si>
    <t>Recomendamos a implementação de uma rotina periódica (ex.: anual) para realização dos treinamentos de compliance para todos os membros do comitê de compliance da DECAL Brasil.</t>
  </si>
  <si>
    <t>R.TI.01</t>
  </si>
  <si>
    <t>TI</t>
  </si>
  <si>
    <t>Risco de transgressão das regras de segurança da informação por funcionários, possibilitando o vazamento de dados de agentes públicos, ex-agentes públicos, órgãos regulamentares ou empresas privadas.</t>
  </si>
  <si>
    <t>Recomendamos que periodicamente (ex.: semestral) todos os funcionários da DECAL Brasil tenham que atestar pleno conhecimento e conformidade com as regras de segurança da informação da empresa.</t>
  </si>
  <si>
    <t>Delitos tecnológicos</t>
  </si>
  <si>
    <t>2 - Pouco provável</t>
  </si>
  <si>
    <t>R.TI.02</t>
  </si>
  <si>
    <t>Risco de acessos indevidos às transações realizadas diretamente nos sistemas (ex.: pagamentos, compras, recebimentos, etc.) relacionadas a informações de agentes públicos, ex-agentes públicos, órgãos regulamentares ou empresas privadas, podendo ocasionar em edição ou deleção indevida de informações.</t>
  </si>
  <si>
    <t>Recomendamos que todos os acessos aos sistemas que tenham processos de agentes públicos (ex.: registro de pagamentos para órgãos públicos, contabilização de dados) tenham seus acessos restritos, revisados periodicamente (ex.: trimestral) e monitorados pela equipe de TI e áreas responsáveis.</t>
  </si>
  <si>
    <t>R.TI.03</t>
  </si>
  <si>
    <t>Risco de acessos indevidos à base de dados (banco de dados) de  sistemas relacionados a informações de agentes públicos, ex-agentes públicos, órgãos regulamentares ou empresas privadas,  podendo ocasionar em edição ou deleção indevida de informações.</t>
  </si>
  <si>
    <t>Recomendamos que o acesso direto para a base de dados (banco de dados) que envolvam qualquer relação com agentes públicos, ex-agentes públicos ou órgãos regulamentares, seja restrito e monitorado pela equipe de TI.</t>
  </si>
  <si>
    <t>R.VEN.01</t>
  </si>
  <si>
    <t>Vendas e Contas a Receber</t>
  </si>
  <si>
    <t>Risco de conflitos de interesse nas negociações com clientes.</t>
  </si>
  <si>
    <t>Recomendamos  que todas as negociações realizadas com agentes públicos e grandes clientes da DECAL Brasil sejam realizadas por mais de um membro da empresa, com acompanhamento direto de membros do comitê de compliance, garantindo que um mesmo funcionário não ocupe duas posições (ex.: gerente comercial e membro do comitê de compliance).
Recomendamos a definição de alçadas de negociação onde a aprovação da equipe de compliance seja requerida.</t>
  </si>
  <si>
    <t>"Corrupção" e "Clientes e Fornecedores"</t>
  </si>
  <si>
    <t>R.VEN.02</t>
  </si>
  <si>
    <t>Risco de transgressão das regras no processo licitatório, conforme definido na  Lei Anticorrupção.</t>
  </si>
  <si>
    <t>Recomendamos que, quando a DECAL Brasil participar de um processo licitatório com agente público, o comitê de compliance deve acompanhar todas as etapas do processo para garantir o atendimento a todas as regras da licitação.</t>
  </si>
  <si>
    <t>1 - Muito Pequeno</t>
  </si>
  <si>
    <t>2 - Pequeno</t>
  </si>
  <si>
    <t>3 - Moderado</t>
  </si>
  <si>
    <t>4 - Grande</t>
  </si>
  <si>
    <t>5 - Significante</t>
  </si>
  <si>
    <t>5 - Ocorrência quase certa</t>
  </si>
  <si>
    <t>Médio (5)</t>
  </si>
  <si>
    <t>Alto (10)</t>
  </si>
  <si>
    <t>Alto (15)</t>
  </si>
  <si>
    <t>Muito Alto (20)</t>
  </si>
  <si>
    <t>Muito Alto (25)</t>
  </si>
  <si>
    <t>Baixo (4)</t>
  </si>
  <si>
    <t>Médio (6)</t>
  </si>
  <si>
    <t>Alto (12)</t>
  </si>
  <si>
    <t>Alto (16)</t>
  </si>
  <si>
    <t>Baixo (3)</t>
  </si>
  <si>
    <t>Médio (9)</t>
  </si>
  <si>
    <t>Baixo (2)</t>
  </si>
  <si>
    <t>Médio (8)</t>
  </si>
  <si>
    <t>1 - Remota</t>
  </si>
  <si>
    <t>Baixo (1)</t>
  </si>
  <si>
    <t>Classificação do risco</t>
  </si>
  <si>
    <t xml:space="preserve">2 - Pouco provável </t>
  </si>
  <si>
    <t>Propriedade intelectual e industrial</t>
  </si>
  <si>
    <t>Lavagem de dinheiro</t>
  </si>
  <si>
    <t>Direitos trabalhistas</t>
  </si>
  <si>
    <t>Delitos urbanísticos</t>
  </si>
  <si>
    <t>Falsificação de  pagamentos (propinas)</t>
  </si>
  <si>
    <t>Insolvências Puníveis ("Calote")</t>
  </si>
  <si>
    <t>Classificação  2017</t>
  </si>
  <si>
    <t>Classificação do impacto</t>
  </si>
  <si>
    <t>Percentual do faturamento do negócio</t>
  </si>
  <si>
    <t>Faturamento Decal 2017</t>
  </si>
  <si>
    <t>De</t>
  </si>
  <si>
    <t>Até</t>
  </si>
  <si>
    <t>Menos  de 1%</t>
  </si>
  <si>
    <t>-</t>
  </si>
  <si>
    <t>Entre 1% e 2%</t>
  </si>
  <si>
    <t>3 - Médio</t>
  </si>
  <si>
    <t>Entre 2% e 5%</t>
  </si>
  <si>
    <t>Entre 5% e 10%</t>
  </si>
  <si>
    <t>Acima de 10%</t>
  </si>
  <si>
    <t>📋 REVISÃO GERAL - MAPEAMENTO DE RISCOS DE COMPLIANCE</t>
  </si>
  <si>
    <t>Data da Revisão: 04/05/2026</t>
  </si>
  <si>
    <t>Total Riscos</t>
  </si>
  <si>
    <t>Muito Alto</t>
  </si>
  <si>
    <t>Alto</t>
  </si>
  <si>
    <t>Médio</t>
  </si>
  <si>
    <t>Baixo</t>
  </si>
  <si>
    <t>Score Médio</t>
  </si>
  <si>
    <t>Risco Predominante</t>
  </si>
  <si>
    <t>Fraude e Corrupção</t>
  </si>
  <si>
    <t>Corrupção e Agentes Públicos</t>
  </si>
  <si>
    <t>Agentes Públicos / Meio Ambiente</t>
  </si>
  <si>
    <t>Operação/Estoques/Manutenção</t>
  </si>
  <si>
    <t>Fraude / Propriedade Industrial</t>
  </si>
  <si>
    <t>Meio Ambiente e Segurança</t>
  </si>
  <si>
    <t>Crimes contra Privacidade / Fraude</t>
  </si>
  <si>
    <t>Tecnologia da Informação</t>
  </si>
  <si>
    <t>Delitos Tecnológicos</t>
  </si>
  <si>
    <t>Corrupção / Clientes e Fornecedores</t>
  </si>
  <si>
    <t>TOTAL</t>
  </si>
  <si>
    <t>🔍 ANÁLISE CRÍTICA DOS RISCOS</t>
  </si>
  <si>
    <t>🚨 RISCOS DE NÍVEL MUITO ALTO (Score 20) - ATENÇÃO PRIORITÁRIA</t>
  </si>
  <si>
    <t>Descrição do Risco</t>
  </si>
  <si>
    <t>Classificação</t>
  </si>
  <si>
    <t>Não monitoramento dos funcionários com ausência de independência com agentes públicos</t>
  </si>
  <si>
    <t>Agentes Públicos</t>
  </si>
  <si>
    <t>Conflito de interesse na contratação de fornecedores e consultores</t>
  </si>
  <si>
    <t>Pagamentos indevidos para obtenção de vantagens competitivas</t>
  </si>
  <si>
    <t>Pagamentos realizados sem prestação do serviço ou entrega de mercadoria</t>
  </si>
  <si>
    <t>Contratação de empresas em listas de inidôneas (CIES, CNEP, PPE)</t>
  </si>
  <si>
    <t>Transgressão de regras anticorrupção por fornecedores/terceirizados</t>
  </si>
  <si>
    <t>Conflitos de interesse nas negociações com clientes</t>
  </si>
  <si>
    <t>Corrupção e Clientes/Fornecedores</t>
  </si>
  <si>
    <t>Transgressão das regras no processo licitatório</t>
  </si>
  <si>
    <t>📝 PRINCIPAIS OBSERVAÇÕES DA REVISÃO</t>
  </si>
  <si>
    <t>1. DISTRIBUIÇÃO DE RISCOS:</t>
  </si>
  <si>
    <t xml:space="preserve">   • Total de 51 riscos mapeados em 9 processos distintos</t>
  </si>
  <si>
    <t xml:space="preserve">   • 8 riscos classificados como 'Muito Alto' (Score 20) - 15,7% do total</t>
  </si>
  <si>
    <t xml:space="preserve">   • 34 riscos classificados como 'Alto' (Score 10-15) - 66,7% do total</t>
  </si>
  <si>
    <t xml:space="preserve">   • 4 riscos classificados como 'Médio' (Score 8) - 7,8% do total</t>
  </si>
  <si>
    <t xml:space="preserve">   • 5 riscos classificados como 'Baixo' (Score 3-4) - 9,8% do total</t>
  </si>
  <si>
    <t>2. PROCESSOS MAIS CRÍTICOS (por concentração de riscos Muito Alto):</t>
  </si>
  <si>
    <t xml:space="preserve">   • Compras e Contas a Pagar: 5 riscos 'Muito Alto' - MAIOR ATENÇÃO REQUERIDA</t>
  </si>
  <si>
    <t xml:space="preserve">   • Vendas e Contas a Receber: 2 riscos 'Muito Alto'</t>
  </si>
  <si>
    <t xml:space="preserve">   • Compliance: 1 risco 'Muito Alto'</t>
  </si>
  <si>
    <t>3. CLASSIFICAÇÕES DE RISCO PREDOMINANTES:</t>
  </si>
  <si>
    <t xml:space="preserve">   • Fraude e Corrupção: Presente em múltiplos processos</t>
  </si>
  <si>
    <t xml:space="preserve">   • Agentes Públicos: Foco especial em relacionamentos com órgãos governamentais</t>
  </si>
  <si>
    <t xml:space="preserve">   • Corrupção: Relacionada a pagamentos e contratações</t>
  </si>
  <si>
    <t>4. RECOMENDAÇÕES GERAIS:</t>
  </si>
  <si>
    <t xml:space="preserve">   • Priorizar implementação de controles em Compras e Contas a Pagar</t>
  </si>
  <si>
    <t xml:space="preserve">   • Fortalecer due diligence para contratação de fornecedores</t>
  </si>
  <si>
    <t xml:space="preserve">   • Implementar monitoramento contínuo de conflitos de interesse</t>
  </si>
  <si>
    <t xml:space="preserve">   • Realizar treinamentos periódicos de compliance para todos os níveis</t>
  </si>
  <si>
    <t xml:space="preserve">   • Acompanhar processos licitatórios com participação do comitê de compliance</t>
  </si>
  <si>
    <t>📊 MATRIZ DE PROBABILIDADE x IMPACTO</t>
  </si>
  <si>
    <t>1-Muito Baixo</t>
  </si>
  <si>
    <t>2-Baixo</t>
  </si>
  <si>
    <t>4-Alto</t>
  </si>
  <si>
    <t>5-Muito Alto</t>
  </si>
  <si>
    <t>4-Muito Provável</t>
  </si>
  <si>
    <t>4 (Baixo)</t>
  </si>
  <si>
    <t>8 (Médio)</t>
  </si>
  <si>
    <t>16 (Alto)</t>
  </si>
  <si>
    <t>20 (Muito Alto)</t>
  </si>
  <si>
    <t>3-Possível</t>
  </si>
  <si>
    <t>3 (Baixo)</t>
  </si>
  <si>
    <t>6 (Médio)</t>
  </si>
  <si>
    <t>12 (Alto)</t>
  </si>
  <si>
    <t>15 (Alto)</t>
  </si>
  <si>
    <t>2-Pouco Provável</t>
  </si>
  <si>
    <t>2 (Baixo)</t>
  </si>
  <si>
    <t>10 (Alto)</t>
  </si>
  <si>
    <t>1-Remoto</t>
  </si>
  <si>
    <t>1 (Baixo)</t>
  </si>
  <si>
    <t>5 (Médio)</t>
  </si>
  <si>
    <t>Legenda: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</si>
</sst>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R$&quot;* #,##0.00_-;\-&quot;R$&quot;* #,##0.00_-;_-&quot;R$&quot;* &quot;-&quot;??_-;_-@_-"/>
    <numFmt numFmtId="165" formatCode="0.0"/>
  </numFmts>
  <fonts count="17">
    <font>
      <sz val="11"/>
      <color theme="1"/>
      <name val="Calibri"/>
      <family val="2"/>
      <scheme val="minor"/>
    </font>
    <font>
      <sz val="10"/>
      <name val="Georgia"/>
      <family val="1"/>
    </font>
    <font>
      <b/>
      <sz val="10"/>
      <color theme="0"/>
      <name val="Georgia"/>
      <family val="1"/>
    </font>
    <font>
      <b/>
      <sz val="26"/>
      <color rgb="FFC00000"/>
      <name val="Georgia"/>
      <family val="1"/>
    </font>
    <font>
      <sz val="11"/>
      <color theme="1"/>
      <name val="Calibri"/>
      <family val="2"/>
      <scheme val="minor"/>
    </font>
    <font>
      <sz val="11"/>
      <color theme="0"/>
      <name val="Calibri"/>
      <family val="2"/>
      <scheme val="minor"/>
    </font>
    <font>
      <b/>
      <sz val="18"/>
      <color theme="0"/>
      <name val="Georgia"/>
      <family val="1"/>
    </font>
    <font>
      <sz val="20"/>
      <color theme="0"/>
      <name val="Calibri"/>
      <family val="2"/>
      <scheme val="minor"/>
    </font>
    <font>
      <sz val="10"/>
      <color theme="1"/>
      <name val="Georgia"/>
      <family val="1"/>
    </font>
    <font>
      <sz val="25"/>
      <name val="Georgia"/>
      <family val="1"/>
    </font>
    <font>
      <b/>
      <sz val="10"/>
      <name val="Georgia"/>
      <family val="1"/>
    </font>
    <font>
      <b/>
      <sz val="11"/>
      <color theme="1"/>
      <name val="Calibri"/>
      <family val="2"/>
      <scheme val="minor"/>
    </font>
    <font>
      <b/>
      <sz val="16"/>
      <color rgb="FF1F4E79"/>
      <name val="Calibri"/>
      <family val="2"/>
      <scheme val="minor"/>
    </font>
    <font>
      <i/>
      <sz val="11"/>
      <color theme="1"/>
      <name val="Calibri"/>
      <family val="2"/>
      <scheme val="minor"/>
    </font>
    <font>
      <b/>
      <sz val="11"/>
      <color rgb="FFFFFFFF"/>
      <name val="Calibri"/>
      <family val="2"/>
      <scheme val="minor"/>
    </font>
    <font>
      <b/>
      <sz val="14"/>
      <color rgb="FFC00000"/>
      <name val="Calibri"/>
      <family val="2"/>
      <scheme val="minor"/>
    </font>
    <font>
      <b/>
      <sz val="14"/>
      <color rgb="FF1F4E79"/>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C00000"/>
        <bgColor indexed="64"/>
      </patternFill>
    </fill>
    <fill>
      <patternFill patternType="solid">
        <fgColor theme="7"/>
        <bgColor indexed="64"/>
      </patternFill>
    </fill>
    <fill>
      <patternFill patternType="solid">
        <fgColor theme="5"/>
        <bgColor indexed="64"/>
      </patternFill>
    </fill>
    <fill>
      <patternFill patternType="solid">
        <fgColor rgb="FF92D050"/>
        <bgColor indexed="64"/>
      </patternFill>
    </fill>
    <fill>
      <patternFill patternType="solid">
        <fgColor theme="0" tint="-0.499984740745262"/>
        <bgColor indexed="64"/>
      </patternFill>
    </fill>
    <fill>
      <patternFill patternType="solid">
        <fgColor rgb="FF1F4E79"/>
        <bgColor indexed="64"/>
      </patternFill>
    </fill>
    <fill>
      <patternFill patternType="solid">
        <fgColor rgb="FFD6DCE4"/>
        <bgColor indexed="64"/>
      </patternFill>
    </fill>
    <fill>
      <patternFill patternType="solid">
        <fgColor rgb="FFFF6B6B"/>
        <bgColor indexed="64"/>
      </patternFill>
    </fill>
    <fill>
      <patternFill patternType="solid">
        <fgColor rgb="FFFFA500"/>
        <bgColor indexed="64"/>
      </patternFill>
    </fill>
    <fill>
      <patternFill patternType="solid">
        <fgColor rgb="FFFFD93D"/>
        <bgColor indexed="64"/>
      </patternFill>
    </fill>
    <fill>
      <patternFill patternType="solid">
        <fgColor rgb="FF6BCB7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auto="1"/>
      </bottom>
      <diagonal/>
    </border>
  </borders>
  <cellStyleXfs count="2">
    <xf numFmtId="0" fontId="0" fillId="0" borderId="0"/>
    <xf numFmtId="164" fontId="4" fillId="0" borderId="0" applyFont="0" applyFill="0" applyBorder="0" applyAlignment="0" applyProtection="0"/>
  </cellStyleXfs>
  <cellXfs count="61">
    <xf numFmtId="0" fontId="0" fillId="0" borderId="0" xfId="0"/>
    <xf numFmtId="0" fontId="1" fillId="0" borderId="0" xfId="0" applyFont="1"/>
    <xf numFmtId="0" fontId="2" fillId="0" borderId="3" xfId="0" applyFont="1" applyBorder="1" applyAlignment="1">
      <alignment horizontal="left" vertical="center"/>
    </xf>
    <xf numFmtId="0" fontId="2" fillId="0" borderId="4" xfId="0" applyFont="1" applyBorder="1" applyAlignment="1">
      <alignment horizontal="left" vertical="center"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xf>
    <xf numFmtId="0" fontId="1" fillId="0" borderId="0" xfId="0" applyFont="1" applyAlignment="1">
      <alignment horizontal="left"/>
    </xf>
    <xf numFmtId="0" fontId="1" fillId="0" borderId="0" xfId="0" applyFont="1" applyAlignment="1">
      <alignment horizontal="left" wrapText="1"/>
    </xf>
    <xf numFmtId="0" fontId="1" fillId="0" borderId="3"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164" fontId="0" fillId="0" borderId="1" xfId="1" applyFont="1" applyBorder="1"/>
    <xf numFmtId="0" fontId="0" fillId="0" borderId="1" xfId="0" applyBorder="1"/>
    <xf numFmtId="0" fontId="1" fillId="0" borderId="1" xfId="0" applyFont="1" applyBorder="1" applyAlignment="1">
      <alignment horizontal="left" vertical="center"/>
    </xf>
    <xf numFmtId="0" fontId="0" fillId="2" borderId="1" xfId="0" applyFill="1" applyBorder="1"/>
    <xf numFmtId="0" fontId="0" fillId="5" borderId="1" xfId="0" applyFill="1" applyBorder="1"/>
    <xf numFmtId="0" fontId="0" fillId="6" borderId="1" xfId="0" applyFill="1" applyBorder="1"/>
    <xf numFmtId="0" fontId="5" fillId="3" borderId="1" xfId="0" applyFont="1" applyFill="1" applyBorder="1"/>
    <xf numFmtId="0" fontId="0" fillId="7" borderId="1" xfId="0" applyFill="1" applyBorder="1"/>
    <xf numFmtId="0" fontId="0" fillId="2" borderId="5" xfId="0" applyFill="1" applyBorder="1"/>
    <xf numFmtId="0" fontId="0" fillId="0" borderId="5" xfId="0" applyBorder="1"/>
    <xf numFmtId="164" fontId="0" fillId="0" borderId="1" xfId="0" applyNumberFormat="1" applyBorder="1"/>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1" xfId="0" applyFont="1" applyBorder="1" applyAlignment="1">
      <alignment horizontal="center" vertical="center"/>
    </xf>
    <xf numFmtId="0" fontId="8" fillId="0" borderId="1" xfId="0" applyFont="1" applyBorder="1" applyAlignment="1">
      <alignment horizontal="center" vertical="center" wrapText="1"/>
    </xf>
    <xf numFmtId="0" fontId="9" fillId="0" borderId="0" xfId="0" applyFont="1" applyAlignment="1">
      <alignment horizontal="left"/>
    </xf>
    <xf numFmtId="0" fontId="9" fillId="0" borderId="0" xfId="0" applyFont="1"/>
    <xf numFmtId="0" fontId="7" fillId="0" borderId="0" xfId="0" applyFont="1" applyAlignment="1">
      <alignment vertical="center" wrapText="1"/>
    </xf>
    <xf numFmtId="0" fontId="11" fillId="0" borderId="0" xfId="0" applyFont="1"/>
    <xf numFmtId="0" fontId="12" fillId="0" borderId="0" xfId="0" applyFont="1"/>
    <xf numFmtId="0" fontId="13" fillId="0" borderId="0" xfId="0" applyFont="1"/>
    <xf numFmtId="0" fontId="14" fillId="9" borderId="1" xfId="0" applyFont="1" applyFill="1" applyBorder="1"/>
    <xf numFmtId="0" fontId="11" fillId="0" borderId="1" xfId="0" applyFont="1" applyBorder="1"/>
    <xf numFmtId="0" fontId="0" fillId="0" borderId="1" xfId="0" applyBorder="1" applyAlignment="1">
      <alignment horizontal="center"/>
    </xf>
    <xf numFmtId="165" fontId="0" fillId="0" borderId="1" xfId="0" applyNumberFormat="1" applyBorder="1" applyAlignment="1">
      <alignment horizontal="center"/>
    </xf>
    <xf numFmtId="0" fontId="11" fillId="10" borderId="1" xfId="0" applyFont="1" applyFill="1" applyBorder="1"/>
    <xf numFmtId="0" fontId="11" fillId="10" borderId="1" xfId="0" applyFont="1" applyFill="1" applyBorder="1" applyAlignment="1">
      <alignment horizontal="center"/>
    </xf>
    <xf numFmtId="165" fontId="11" fillId="10" borderId="1" xfId="0" applyNumberFormat="1" applyFont="1" applyFill="1" applyBorder="1" applyAlignment="1">
      <alignment horizontal="center"/>
    </xf>
    <xf numFmtId="0" fontId="15" fillId="0" borderId="0" xfId="0" applyFont="1"/>
    <xf numFmtId="0" fontId="14" fillId="11" borderId="0" xfId="0" applyFont="1" applyFill="1"/>
    <xf numFmtId="0" fontId="16" fillId="0" borderId="0" xfId="0" applyFont="1"/>
    <xf numFmtId="0" fontId="14" fillId="9" borderId="0" xfId="0" applyFont="1" applyFill="1"/>
    <xf numFmtId="0" fontId="14" fillId="9" borderId="1" xfId="0" applyFont="1" applyFill="1" applyBorder="1" applyAlignment="1">
      <alignment horizontal="center"/>
    </xf>
    <xf numFmtId="0" fontId="0" fillId="14" borderId="1" xfId="0" applyFill="1" applyBorder="1" applyAlignment="1">
      <alignment horizontal="center"/>
    </xf>
    <xf numFmtId="0" fontId="0" fillId="13" borderId="1" xfId="0" applyFill="1" applyBorder="1" applyAlignment="1">
      <alignment horizontal="center"/>
    </xf>
    <xf numFmtId="0" fontId="0" fillId="12" borderId="1" xfId="0" applyFill="1" applyBorder="1" applyAlignment="1">
      <alignment horizontal="center"/>
    </xf>
    <xf numFmtId="0" fontId="0" fillId="11" borderId="1" xfId="0" applyFill="1" applyBorder="1" applyAlignment="1">
      <alignment horizontal="center"/>
    </xf>
    <xf numFmtId="0" fontId="0" fillId="12" borderId="7" xfId="0" applyFill="1" applyBorder="1" applyAlignment="1">
      <alignment horizontal="center"/>
    </xf>
    <xf numFmtId="0" fontId="0" fillId="13" borderId="7" xfId="0" applyFill="1" applyBorder="1" applyAlignment="1">
      <alignment horizontal="center"/>
    </xf>
    <xf numFmtId="0" fontId="0" fillId="11" borderId="5" xfId="0" applyFill="1" applyBorder="1" applyAlignment="1">
      <alignment horizontal="center"/>
    </xf>
    <xf numFmtId="0" fontId="0" fillId="14" borderId="2" xfId="0" applyFill="1" applyBorder="1" applyAlignment="1">
      <alignment horizontal="center"/>
    </xf>
    <xf numFmtId="0" fontId="3" fillId="0" borderId="0" xfId="0" applyFont="1" applyAlignment="1">
      <alignment horizontal="center" vertical="top"/>
    </xf>
    <xf numFmtId="0" fontId="10" fillId="0" borderId="0" xfId="0" applyFont="1" applyAlignment="1">
      <alignment horizontal="right" vertical="center" textRotation="255"/>
    </xf>
    <xf numFmtId="0" fontId="6" fillId="4" borderId="6" xfId="0" applyFont="1" applyFill="1" applyBorder="1" applyAlignment="1">
      <alignment horizontal="center"/>
    </xf>
    <xf numFmtId="0" fontId="0" fillId="2" borderId="1" xfId="0" applyFill="1" applyBorder="1" applyAlignment="1">
      <alignment horizontal="center"/>
    </xf>
    <xf numFmtId="0" fontId="7" fillId="8" borderId="0" xfId="0" applyFont="1" applyFill="1" applyAlignment="1">
      <alignment horizontal="center" vertical="center" wrapText="1"/>
    </xf>
    <xf numFmtId="0" fontId="7" fillId="8" borderId="6" xfId="0" applyFont="1" applyFill="1" applyBorder="1" applyAlignment="1">
      <alignment horizontal="center" vertical="center" wrapText="1"/>
    </xf>
  </cellXfs>
  <cellStyles count="2">
    <cellStyle name="Moeda" xfId="1" builtinId="4"/>
    <cellStyle name="Normal" xfId="0" builtinId="0"/>
  </cellStyles>
  <dxfs count="162">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Georgia"/>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Georgia"/>
        <scheme val="none"/>
      </font>
      <numFmt numFmtId="0" formatCode="General"/>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alignment horizontal="left" vertical="center" textRotation="0" indent="0" justifyLastLine="0" shrinkToFit="0" readingOrder="0"/>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alignment horizontal="left" vertical="center" textRotation="0" indent="0" justifyLastLine="0" shrinkToFit="0" readingOrder="0"/>
    </dxf>
    <dxf>
      <font>
        <strike val="0"/>
        <outline val="0"/>
        <shadow val="0"/>
        <u val="none"/>
        <vertAlign val="baseline"/>
        <sz val="10"/>
        <color auto="1"/>
        <name val="Georgia"/>
        <scheme val="none"/>
      </font>
      <alignment horizontal="left" vertical="center" textRotation="0" indent="0" justifyLastLine="0" shrinkToFit="0" readingOrder="0"/>
      <border outline="0">
        <left style="thin">
          <color indexed="64"/>
        </left>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outline="0">
        <right style="thin">
          <color indexed="64"/>
        </right>
      </border>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left style="thin">
          <color indexed="64"/>
        </left>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outline="0">
        <right style="thin">
          <color indexed="64"/>
        </right>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
      <font>
        <strike val="0"/>
        <outline val="0"/>
        <shadow val="0"/>
        <u val="none"/>
        <vertAlign val="baseline"/>
        <sz val="10"/>
        <color auto="1"/>
        <name val="Georgia"/>
        <scheme val="none"/>
      </font>
      <numFmt numFmtId="0" formatCode="General"/>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Georgia"/>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Georgi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Georgia"/>
        <scheme val="none"/>
      </font>
      <fill>
        <patternFill patternType="none">
          <fgColor indexed="64"/>
          <bgColor auto="1"/>
        </patternFill>
      </fill>
      <alignment horizontal="left" vertical="center" textRotation="0" indent="0" justifyLastLine="0" shrinkToFit="0" readingOrder="0"/>
    </dxf>
    <dxf>
      <font>
        <b/>
        <strike val="0"/>
        <outline val="0"/>
        <shadow val="0"/>
        <u val="none"/>
        <vertAlign val="baseline"/>
        <sz val="10"/>
        <color theme="0"/>
        <name val="Georgia"/>
        <scheme val="none"/>
      </font>
      <fill>
        <patternFill patternType="none">
          <fgColor indexed="64"/>
          <bgColor auto="1"/>
        </patternFill>
      </fill>
      <alignment horizontal="left" vertical="center" textRotation="0" indent="0" justifyLastLine="0" shrinkToFit="0" readingOrder="0"/>
    </dxf>
    <dxf>
      <fill>
        <gradientFill degree="90">
          <stop position="0">
            <color theme="0"/>
          </stop>
          <stop position="1">
            <color rgb="FFFFA731"/>
          </stop>
        </gradientFill>
      </fill>
    </dxf>
    <dxf>
      <fill>
        <gradientFill degree="90">
          <stop position="0">
            <color theme="0"/>
          </stop>
          <stop position="1">
            <color rgb="FFFF0000"/>
          </stop>
        </gradientFill>
      </fill>
    </dxf>
    <dxf>
      <fill>
        <gradientFill degree="90">
          <stop position="0">
            <color theme="0"/>
          </stop>
          <stop position="1">
            <color rgb="FFFFFF00"/>
          </stop>
        </gradientFill>
      </fill>
    </dxf>
    <dxf>
      <fill>
        <gradientFill degree="90">
          <stop position="0">
            <color theme="0"/>
          </stop>
          <stop position="1">
            <color rgb="FF00B050"/>
          </stop>
        </gradientFill>
      </fill>
    </dxf>
  </dxfs>
  <tableStyles count="0" defaultTableStyle="TableStyleMedium2" defaultPivotStyle="PivotStyleLight16"/>
  <colors>
    <mruColors>
      <color rgb="FFFFA7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Qualidade!A1"/><Relationship Id="rId13" Type="http://schemas.openxmlformats.org/officeDocument/2006/relationships/hyperlink" Target="#'Gr&#225;fico de Riscos'!A1"/><Relationship Id="rId3" Type="http://schemas.openxmlformats.org/officeDocument/2006/relationships/image" Target="../media/image2.png"/><Relationship Id="rId7" Type="http://schemas.openxmlformats.org/officeDocument/2006/relationships/hyperlink" Target="#Ope_Est_Man!A1"/><Relationship Id="rId12" Type="http://schemas.openxmlformats.org/officeDocument/2006/relationships/hyperlink" Target="#'An&#225;lise de Risco'!A1"/><Relationship Id="rId2" Type="http://schemas.openxmlformats.org/officeDocument/2006/relationships/image" Target="../media/image1.png"/><Relationship Id="rId1" Type="http://schemas.openxmlformats.org/officeDocument/2006/relationships/hyperlink" Target="#Compliance!A1"/><Relationship Id="rId6" Type="http://schemas.openxmlformats.org/officeDocument/2006/relationships/hyperlink" Target="#Licen&#231;as!A1"/><Relationship Id="rId11" Type="http://schemas.openxmlformats.org/officeDocument/2006/relationships/hyperlink" Target="#'Vendas e Contas a Receber'!A1"/><Relationship Id="rId5" Type="http://schemas.openxmlformats.org/officeDocument/2006/relationships/hyperlink" Target="#Contabilidade!A1"/><Relationship Id="rId10" Type="http://schemas.openxmlformats.org/officeDocument/2006/relationships/hyperlink" Target="#'Tecnologia da Informa&#231;&#227;o'!A1"/><Relationship Id="rId4" Type="http://schemas.openxmlformats.org/officeDocument/2006/relationships/hyperlink" Target="#'Compras e Contas a Pagar'!A1"/><Relationship Id="rId9" Type="http://schemas.openxmlformats.org/officeDocument/2006/relationships/hyperlink" Target="#'Recursos Humanos'!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11</xdr:col>
      <xdr:colOff>285750</xdr:colOff>
      <xdr:row>8</xdr:row>
      <xdr:rowOff>180975</xdr:rowOff>
    </xdr:from>
    <xdr:to>
      <xdr:col>14</xdr:col>
      <xdr:colOff>581025</xdr:colOff>
      <xdr:row>14</xdr:row>
      <xdr:rowOff>104775</xdr:rowOff>
    </xdr:to>
    <xdr:sp macro="" textlink="">
      <xdr:nvSpPr>
        <xdr:cNvPr id="31" name="Rounded Rectangle 30">
          <a:hlinkClick xmlns:r="http://schemas.openxmlformats.org/officeDocument/2006/relationships" r:id="rId1"/>
          <a:extLst>
            <a:ext uri="{FF2B5EF4-FFF2-40B4-BE49-F238E27FC236}">
              <a16:creationId xmlns:a16="http://schemas.microsoft.com/office/drawing/2014/main" id="{00000000-0008-0000-0000-00001F000000}"/>
            </a:ext>
          </a:extLst>
        </xdr:cNvPr>
        <xdr:cNvSpPr/>
      </xdr:nvSpPr>
      <xdr:spPr>
        <a:xfrm>
          <a:off x="6991350" y="1819275"/>
          <a:ext cx="2124075" cy="1066800"/>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Compliance</a:t>
          </a:r>
        </a:p>
      </xdr:txBody>
    </xdr:sp>
    <xdr:clientData/>
  </xdr:twoCellAnchor>
  <xdr:twoCellAnchor editAs="oneCell">
    <xdr:from>
      <xdr:col>0</xdr:col>
      <xdr:colOff>492499</xdr:colOff>
      <xdr:row>1</xdr:row>
      <xdr:rowOff>79002</xdr:rowOff>
    </xdr:from>
    <xdr:to>
      <xdr:col>3</xdr:col>
      <xdr:colOff>511318</xdr:colOff>
      <xdr:row>5</xdr:row>
      <xdr:rowOff>207749</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
        <a:stretch>
          <a:fillRect/>
        </a:stretch>
      </xdr:blipFill>
      <xdr:spPr>
        <a:xfrm>
          <a:off x="492499" y="269502"/>
          <a:ext cx="1834172" cy="957982"/>
        </a:xfrm>
        <a:prstGeom prst="rect">
          <a:avLst/>
        </a:prstGeom>
      </xdr:spPr>
    </xdr:pic>
    <xdr:clientData/>
  </xdr:twoCellAnchor>
  <xdr:twoCellAnchor editAs="oneCell">
    <xdr:from>
      <xdr:col>0</xdr:col>
      <xdr:colOff>123825</xdr:colOff>
      <xdr:row>6</xdr:row>
      <xdr:rowOff>57150</xdr:rowOff>
    </xdr:from>
    <xdr:to>
      <xdr:col>11</xdr:col>
      <xdr:colOff>94007</xdr:colOff>
      <xdr:row>26</xdr:row>
      <xdr:rowOff>85725</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
        <a:stretch>
          <a:fillRect/>
        </a:stretch>
      </xdr:blipFill>
      <xdr:spPr>
        <a:xfrm>
          <a:off x="123825" y="1314450"/>
          <a:ext cx="6675782" cy="3838575"/>
        </a:xfrm>
        <a:prstGeom prst="rect">
          <a:avLst/>
        </a:prstGeom>
      </xdr:spPr>
    </xdr:pic>
    <xdr:clientData/>
  </xdr:twoCellAnchor>
  <xdr:twoCellAnchor>
    <xdr:from>
      <xdr:col>11</xdr:col>
      <xdr:colOff>304800</xdr:colOff>
      <xdr:row>15</xdr:row>
      <xdr:rowOff>9525</xdr:rowOff>
    </xdr:from>
    <xdr:to>
      <xdr:col>14</xdr:col>
      <xdr:colOff>600075</xdr:colOff>
      <xdr:row>20</xdr:row>
      <xdr:rowOff>66675</xdr:rowOff>
    </xdr:to>
    <xdr:sp macro="" textlink="">
      <xdr:nvSpPr>
        <xdr:cNvPr id="44" name="Rounded Rectangle 43">
          <a:hlinkClick xmlns:r="http://schemas.openxmlformats.org/officeDocument/2006/relationships" r:id="rId4"/>
          <a:extLst>
            <a:ext uri="{FF2B5EF4-FFF2-40B4-BE49-F238E27FC236}">
              <a16:creationId xmlns:a16="http://schemas.microsoft.com/office/drawing/2014/main" id="{00000000-0008-0000-0000-00002C000000}"/>
            </a:ext>
          </a:extLst>
        </xdr:cNvPr>
        <xdr:cNvSpPr/>
      </xdr:nvSpPr>
      <xdr:spPr>
        <a:xfrm>
          <a:off x="7010400" y="2981325"/>
          <a:ext cx="2124075" cy="1009650"/>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Compras e Contas</a:t>
          </a:r>
          <a:r>
            <a:rPr lang="pt-BR" sz="1600" b="1" baseline="0">
              <a:solidFill>
                <a:schemeClr val="bg1"/>
              </a:solidFill>
              <a:latin typeface="Georgia" pitchFamily="18" charset="0"/>
            </a:rPr>
            <a:t> a Pagar</a:t>
          </a:r>
          <a:endParaRPr lang="pt-BR" sz="1600" b="1">
            <a:solidFill>
              <a:schemeClr val="bg1"/>
            </a:solidFill>
            <a:latin typeface="Georgia" pitchFamily="18" charset="0"/>
          </a:endParaRPr>
        </a:p>
      </xdr:txBody>
    </xdr:sp>
    <xdr:clientData/>
  </xdr:twoCellAnchor>
  <xdr:twoCellAnchor>
    <xdr:from>
      <xdr:col>11</xdr:col>
      <xdr:colOff>295275</xdr:colOff>
      <xdr:row>20</xdr:row>
      <xdr:rowOff>142875</xdr:rowOff>
    </xdr:from>
    <xdr:to>
      <xdr:col>14</xdr:col>
      <xdr:colOff>590550</xdr:colOff>
      <xdr:row>25</xdr:row>
      <xdr:rowOff>152400</xdr:rowOff>
    </xdr:to>
    <xdr:sp macro="" textlink="">
      <xdr:nvSpPr>
        <xdr:cNvPr id="45" name="Rounded Rectangle 44">
          <a:hlinkClick xmlns:r="http://schemas.openxmlformats.org/officeDocument/2006/relationships" r:id="rId5"/>
          <a:extLst>
            <a:ext uri="{FF2B5EF4-FFF2-40B4-BE49-F238E27FC236}">
              <a16:creationId xmlns:a16="http://schemas.microsoft.com/office/drawing/2014/main" id="{00000000-0008-0000-0000-00002D000000}"/>
            </a:ext>
          </a:extLst>
        </xdr:cNvPr>
        <xdr:cNvSpPr/>
      </xdr:nvSpPr>
      <xdr:spPr>
        <a:xfrm>
          <a:off x="7000875" y="4067175"/>
          <a:ext cx="2124075" cy="96202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Contabilidade</a:t>
          </a:r>
        </a:p>
      </xdr:txBody>
    </xdr:sp>
    <xdr:clientData/>
  </xdr:twoCellAnchor>
  <xdr:twoCellAnchor>
    <xdr:from>
      <xdr:col>11</xdr:col>
      <xdr:colOff>271744</xdr:colOff>
      <xdr:row>26</xdr:row>
      <xdr:rowOff>93009</xdr:rowOff>
    </xdr:from>
    <xdr:to>
      <xdr:col>14</xdr:col>
      <xdr:colOff>567019</xdr:colOff>
      <xdr:row>32</xdr:row>
      <xdr:rowOff>7284</xdr:rowOff>
    </xdr:to>
    <xdr:sp macro="" textlink="">
      <xdr:nvSpPr>
        <xdr:cNvPr id="46" name="Rounded Rectangle 45">
          <a:hlinkClick xmlns:r="http://schemas.openxmlformats.org/officeDocument/2006/relationships" r:id="rId6"/>
          <a:extLst>
            <a:ext uri="{FF2B5EF4-FFF2-40B4-BE49-F238E27FC236}">
              <a16:creationId xmlns:a16="http://schemas.microsoft.com/office/drawing/2014/main" id="{00000000-0008-0000-0000-00002E000000}"/>
            </a:ext>
          </a:extLst>
        </xdr:cNvPr>
        <xdr:cNvSpPr/>
      </xdr:nvSpPr>
      <xdr:spPr>
        <a:xfrm>
          <a:off x="6928038" y="5146862"/>
          <a:ext cx="2110628" cy="10572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Licenças</a:t>
          </a:r>
        </a:p>
      </xdr:txBody>
    </xdr:sp>
    <xdr:clientData/>
  </xdr:twoCellAnchor>
  <xdr:twoCellAnchor>
    <xdr:from>
      <xdr:col>15</xdr:col>
      <xdr:colOff>138953</xdr:colOff>
      <xdr:row>9</xdr:row>
      <xdr:rowOff>49865</xdr:rowOff>
    </xdr:from>
    <xdr:to>
      <xdr:col>18</xdr:col>
      <xdr:colOff>434228</xdr:colOff>
      <xdr:row>14</xdr:row>
      <xdr:rowOff>116540</xdr:rowOff>
    </xdr:to>
    <xdr:sp macro="" textlink="">
      <xdr:nvSpPr>
        <xdr:cNvPr id="47" name="Rounded Rectangle 46">
          <a:hlinkClick xmlns:r="http://schemas.openxmlformats.org/officeDocument/2006/relationships" r:id="rId7"/>
          <a:extLst>
            <a:ext uri="{FF2B5EF4-FFF2-40B4-BE49-F238E27FC236}">
              <a16:creationId xmlns:a16="http://schemas.microsoft.com/office/drawing/2014/main" id="{00000000-0008-0000-0000-00002F000000}"/>
            </a:ext>
          </a:extLst>
        </xdr:cNvPr>
        <xdr:cNvSpPr/>
      </xdr:nvSpPr>
      <xdr:spPr>
        <a:xfrm>
          <a:off x="9215718" y="1865218"/>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Operação/ Estoques/ Manutenção</a:t>
          </a:r>
        </a:p>
      </xdr:txBody>
    </xdr:sp>
    <xdr:clientData/>
  </xdr:twoCellAnchor>
  <xdr:twoCellAnchor>
    <xdr:from>
      <xdr:col>15</xdr:col>
      <xdr:colOff>148478</xdr:colOff>
      <xdr:row>14</xdr:row>
      <xdr:rowOff>183216</xdr:rowOff>
    </xdr:from>
    <xdr:to>
      <xdr:col>18</xdr:col>
      <xdr:colOff>443754</xdr:colOff>
      <xdr:row>20</xdr:row>
      <xdr:rowOff>49866</xdr:rowOff>
    </xdr:to>
    <xdr:sp macro="" textlink="">
      <xdr:nvSpPr>
        <xdr:cNvPr id="49" name="Rounded Rectangle 48">
          <a:hlinkClick xmlns:r="http://schemas.openxmlformats.org/officeDocument/2006/relationships" r:id="rId8"/>
          <a:extLst>
            <a:ext uri="{FF2B5EF4-FFF2-40B4-BE49-F238E27FC236}">
              <a16:creationId xmlns:a16="http://schemas.microsoft.com/office/drawing/2014/main" id="{00000000-0008-0000-0000-000031000000}"/>
            </a:ext>
          </a:extLst>
        </xdr:cNvPr>
        <xdr:cNvSpPr/>
      </xdr:nvSpPr>
      <xdr:spPr>
        <a:xfrm>
          <a:off x="9225243" y="2951069"/>
          <a:ext cx="2110629" cy="1009650"/>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Qualidade</a:t>
          </a:r>
        </a:p>
      </xdr:txBody>
    </xdr:sp>
    <xdr:clientData/>
  </xdr:twoCellAnchor>
  <xdr:twoCellAnchor>
    <xdr:from>
      <xdr:col>15</xdr:col>
      <xdr:colOff>191060</xdr:colOff>
      <xdr:row>20</xdr:row>
      <xdr:rowOff>155200</xdr:rowOff>
    </xdr:from>
    <xdr:to>
      <xdr:col>18</xdr:col>
      <xdr:colOff>486335</xdr:colOff>
      <xdr:row>26</xdr:row>
      <xdr:rowOff>31375</xdr:rowOff>
    </xdr:to>
    <xdr:sp macro="" textlink="">
      <xdr:nvSpPr>
        <xdr:cNvPr id="50" name="Rounded Rectangle 49">
          <a:hlinkClick xmlns:r="http://schemas.openxmlformats.org/officeDocument/2006/relationships" r:id="rId9"/>
          <a:extLst>
            <a:ext uri="{FF2B5EF4-FFF2-40B4-BE49-F238E27FC236}">
              <a16:creationId xmlns:a16="http://schemas.microsoft.com/office/drawing/2014/main" id="{00000000-0008-0000-0000-000032000000}"/>
            </a:ext>
          </a:extLst>
        </xdr:cNvPr>
        <xdr:cNvSpPr/>
      </xdr:nvSpPr>
      <xdr:spPr>
        <a:xfrm>
          <a:off x="9267825" y="4066053"/>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Recursos Humanos</a:t>
          </a:r>
        </a:p>
      </xdr:txBody>
    </xdr:sp>
    <xdr:clientData/>
  </xdr:twoCellAnchor>
  <xdr:twoCellAnchor>
    <xdr:from>
      <xdr:col>15</xdr:col>
      <xdr:colOff>200585</xdr:colOff>
      <xdr:row>26</xdr:row>
      <xdr:rowOff>126625</xdr:rowOff>
    </xdr:from>
    <xdr:to>
      <xdr:col>18</xdr:col>
      <xdr:colOff>495860</xdr:colOff>
      <xdr:row>32</xdr:row>
      <xdr:rowOff>2800</xdr:rowOff>
    </xdr:to>
    <xdr:sp macro="" textlink="">
      <xdr:nvSpPr>
        <xdr:cNvPr id="51" name="Rounded Rectangle 50">
          <a:hlinkClick xmlns:r="http://schemas.openxmlformats.org/officeDocument/2006/relationships" r:id="rId10"/>
          <a:extLst>
            <a:ext uri="{FF2B5EF4-FFF2-40B4-BE49-F238E27FC236}">
              <a16:creationId xmlns:a16="http://schemas.microsoft.com/office/drawing/2014/main" id="{00000000-0008-0000-0000-000033000000}"/>
            </a:ext>
          </a:extLst>
        </xdr:cNvPr>
        <xdr:cNvSpPr/>
      </xdr:nvSpPr>
      <xdr:spPr>
        <a:xfrm>
          <a:off x="9277350" y="5180478"/>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Tecnologia da Informação</a:t>
          </a:r>
        </a:p>
      </xdr:txBody>
    </xdr:sp>
    <xdr:clientData/>
  </xdr:twoCellAnchor>
  <xdr:twoCellAnchor>
    <xdr:from>
      <xdr:col>19</xdr:col>
      <xdr:colOff>40341</xdr:colOff>
      <xdr:row>9</xdr:row>
      <xdr:rowOff>45383</xdr:rowOff>
    </xdr:from>
    <xdr:to>
      <xdr:col>22</xdr:col>
      <xdr:colOff>335616</xdr:colOff>
      <xdr:row>14</xdr:row>
      <xdr:rowOff>112058</xdr:rowOff>
    </xdr:to>
    <xdr:sp macro="" textlink="">
      <xdr:nvSpPr>
        <xdr:cNvPr id="52" name="Rounded Rectangle 51">
          <a:hlinkClick xmlns:r="http://schemas.openxmlformats.org/officeDocument/2006/relationships" r:id="rId11"/>
          <a:extLst>
            <a:ext uri="{FF2B5EF4-FFF2-40B4-BE49-F238E27FC236}">
              <a16:creationId xmlns:a16="http://schemas.microsoft.com/office/drawing/2014/main" id="{00000000-0008-0000-0000-000034000000}"/>
            </a:ext>
          </a:extLst>
        </xdr:cNvPr>
        <xdr:cNvSpPr/>
      </xdr:nvSpPr>
      <xdr:spPr>
        <a:xfrm>
          <a:off x="11537576" y="1860736"/>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Vendas e Contas a Receber</a:t>
          </a:r>
        </a:p>
      </xdr:txBody>
    </xdr:sp>
    <xdr:clientData/>
  </xdr:twoCellAnchor>
  <xdr:twoCellAnchor>
    <xdr:from>
      <xdr:col>19</xdr:col>
      <xdr:colOff>399491</xdr:colOff>
      <xdr:row>0</xdr:row>
      <xdr:rowOff>79001</xdr:rowOff>
    </xdr:from>
    <xdr:to>
      <xdr:col>21</xdr:col>
      <xdr:colOff>549088</xdr:colOff>
      <xdr:row>2</xdr:row>
      <xdr:rowOff>44824</xdr:rowOff>
    </xdr:to>
    <xdr:sp macro="" textlink="">
      <xdr:nvSpPr>
        <xdr:cNvPr id="48" name="Rounded Rectangle 47">
          <a:extLst>
            <a:ext uri="{FF2B5EF4-FFF2-40B4-BE49-F238E27FC236}">
              <a16:creationId xmlns:a16="http://schemas.microsoft.com/office/drawing/2014/main" id="{00000000-0008-0000-0000-000030000000}"/>
            </a:ext>
          </a:extLst>
        </xdr:cNvPr>
        <xdr:cNvSpPr/>
      </xdr:nvSpPr>
      <xdr:spPr>
        <a:xfrm>
          <a:off x="11896726" y="79001"/>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twoCellAnchor>
    <xdr:from>
      <xdr:col>19</xdr:col>
      <xdr:colOff>51547</xdr:colOff>
      <xdr:row>14</xdr:row>
      <xdr:rowOff>186017</xdr:rowOff>
    </xdr:from>
    <xdr:to>
      <xdr:col>22</xdr:col>
      <xdr:colOff>346822</xdr:colOff>
      <xdr:row>20</xdr:row>
      <xdr:rowOff>5042</xdr:rowOff>
    </xdr:to>
    <xdr:sp macro="" textlink="">
      <xdr:nvSpPr>
        <xdr:cNvPr id="54" name="Rounded Rectangle 53">
          <a:hlinkClick xmlns:r="http://schemas.openxmlformats.org/officeDocument/2006/relationships" r:id="rId12"/>
          <a:extLst>
            <a:ext uri="{FF2B5EF4-FFF2-40B4-BE49-F238E27FC236}">
              <a16:creationId xmlns:a16="http://schemas.microsoft.com/office/drawing/2014/main" id="{00000000-0008-0000-0000-000036000000}"/>
            </a:ext>
          </a:extLst>
        </xdr:cNvPr>
        <xdr:cNvSpPr/>
      </xdr:nvSpPr>
      <xdr:spPr>
        <a:xfrm>
          <a:off x="11548782" y="2953870"/>
          <a:ext cx="2110628" cy="96202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Análise</a:t>
          </a:r>
          <a:r>
            <a:rPr lang="pt-BR" sz="1600" b="1" baseline="0">
              <a:solidFill>
                <a:schemeClr val="bg1"/>
              </a:solidFill>
              <a:latin typeface="Georgia" pitchFamily="18" charset="0"/>
            </a:rPr>
            <a:t> de Risco</a:t>
          </a:r>
          <a:endParaRPr lang="pt-BR" sz="1600" b="1">
            <a:solidFill>
              <a:schemeClr val="bg1"/>
            </a:solidFill>
            <a:latin typeface="Georgia" pitchFamily="18" charset="0"/>
          </a:endParaRPr>
        </a:p>
      </xdr:txBody>
    </xdr:sp>
    <xdr:clientData/>
  </xdr:twoCellAnchor>
  <xdr:twoCellAnchor>
    <xdr:from>
      <xdr:col>19</xdr:col>
      <xdr:colOff>112059</xdr:colOff>
      <xdr:row>21</xdr:row>
      <xdr:rowOff>0</xdr:rowOff>
    </xdr:from>
    <xdr:to>
      <xdr:col>22</xdr:col>
      <xdr:colOff>407334</xdr:colOff>
      <xdr:row>26</xdr:row>
      <xdr:rowOff>66675</xdr:rowOff>
    </xdr:to>
    <xdr:sp macro="" textlink="">
      <xdr:nvSpPr>
        <xdr:cNvPr id="17" name="Rounded Rectangle 16">
          <a:hlinkClick xmlns:r="http://schemas.openxmlformats.org/officeDocument/2006/relationships" r:id="rId13"/>
          <a:extLst>
            <a:ext uri="{FF2B5EF4-FFF2-40B4-BE49-F238E27FC236}">
              <a16:creationId xmlns:a16="http://schemas.microsoft.com/office/drawing/2014/main" id="{00000000-0008-0000-0000-000011000000}"/>
            </a:ext>
          </a:extLst>
        </xdr:cNvPr>
        <xdr:cNvSpPr/>
      </xdr:nvSpPr>
      <xdr:spPr>
        <a:xfrm>
          <a:off x="11609294" y="4101353"/>
          <a:ext cx="2110628" cy="101917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Gráfico</a:t>
          </a:r>
          <a:r>
            <a:rPr lang="pt-BR" sz="1600" b="1" baseline="0">
              <a:solidFill>
                <a:schemeClr val="bg1"/>
              </a:solidFill>
              <a:latin typeface="Georgia" pitchFamily="18" charset="0"/>
            </a:rPr>
            <a:t> de Riscos</a:t>
          </a:r>
          <a:endParaRPr lang="pt-BR" sz="1600" b="1">
            <a:solidFill>
              <a:schemeClr val="bg1"/>
            </a:solidFill>
            <a:latin typeface="Georgia"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272143" y="77756"/>
          <a:ext cx="2124075" cy="695325"/>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38877</xdr:colOff>
      <xdr:row>0</xdr:row>
      <xdr:rowOff>87475</xdr:rowOff>
    </xdr:from>
    <xdr:to>
      <xdr:col>4</xdr:col>
      <xdr:colOff>1398710</xdr:colOff>
      <xdr:row>2</xdr:row>
      <xdr:rowOff>103839</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8232321" y="87475"/>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97194</xdr:colOff>
      <xdr:row>1</xdr:row>
      <xdr:rowOff>77756</xdr:rowOff>
    </xdr:from>
    <xdr:to>
      <xdr:col>2</xdr:col>
      <xdr:colOff>1045223</xdr:colOff>
      <xdr:row>5</xdr:row>
      <xdr:rowOff>112163</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3</xdr:col>
      <xdr:colOff>5334000</xdr:colOff>
      <xdr:row>0</xdr:row>
      <xdr:rowOff>47625</xdr:rowOff>
    </xdr:from>
    <xdr:to>
      <xdr:col>4</xdr:col>
      <xdr:colOff>1283633</xdr:colOff>
      <xdr:row>2</xdr:row>
      <xdr:rowOff>70598</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8105775" y="47625"/>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268644" y="239681"/>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0</xdr:colOff>
      <xdr:row>1</xdr:row>
      <xdr:rowOff>0</xdr:rowOff>
    </xdr:from>
    <xdr:to>
      <xdr:col>4</xdr:col>
      <xdr:colOff>1359833</xdr:colOff>
      <xdr:row>3</xdr:row>
      <xdr:rowOff>22973</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8181975" y="161925"/>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2752725</xdr:colOff>
      <xdr:row>0</xdr:row>
      <xdr:rowOff>95250</xdr:rowOff>
    </xdr:from>
    <xdr:to>
      <xdr:col>4</xdr:col>
      <xdr:colOff>4112558</xdr:colOff>
      <xdr:row>2</xdr:row>
      <xdr:rowOff>118223</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0934700" y="95250"/>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0</xdr:colOff>
      <xdr:row>1</xdr:row>
      <xdr:rowOff>0</xdr:rowOff>
    </xdr:from>
    <xdr:to>
      <xdr:col>4</xdr:col>
      <xdr:colOff>1359833</xdr:colOff>
      <xdr:row>3</xdr:row>
      <xdr:rowOff>22973</xdr:rowOff>
    </xdr:to>
    <xdr:sp macro="" textlink="">
      <xdr:nvSpPr>
        <xdr:cNvPr id="3" name="Rounded Rectangle 2">
          <a:extLst>
            <a:ext uri="{FF2B5EF4-FFF2-40B4-BE49-F238E27FC236}">
              <a16:creationId xmlns:a16="http://schemas.microsoft.com/office/drawing/2014/main" id="{00000000-0008-0000-0500-000003000000}"/>
            </a:ext>
          </a:extLst>
        </xdr:cNvPr>
        <xdr:cNvSpPr/>
      </xdr:nvSpPr>
      <xdr:spPr>
        <a:xfrm>
          <a:off x="8181975" y="161925"/>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0</xdr:colOff>
      <xdr:row>1</xdr:row>
      <xdr:rowOff>0</xdr:rowOff>
    </xdr:from>
    <xdr:to>
      <xdr:col>4</xdr:col>
      <xdr:colOff>1359833</xdr:colOff>
      <xdr:row>3</xdr:row>
      <xdr:rowOff>22973</xdr:rowOff>
    </xdr:to>
    <xdr:sp macro="" textlink="">
      <xdr:nvSpPr>
        <xdr:cNvPr id="3" name="Rounded Rectangle 2">
          <a:extLst>
            <a:ext uri="{FF2B5EF4-FFF2-40B4-BE49-F238E27FC236}">
              <a16:creationId xmlns:a16="http://schemas.microsoft.com/office/drawing/2014/main" id="{00000000-0008-0000-0600-000003000000}"/>
            </a:ext>
          </a:extLst>
        </xdr:cNvPr>
        <xdr:cNvSpPr/>
      </xdr:nvSpPr>
      <xdr:spPr>
        <a:xfrm>
          <a:off x="8181975" y="161925"/>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0</xdr:colOff>
      <xdr:row>2</xdr:row>
      <xdr:rowOff>0</xdr:rowOff>
    </xdr:from>
    <xdr:to>
      <xdr:col>4</xdr:col>
      <xdr:colOff>1359833</xdr:colOff>
      <xdr:row>4</xdr:row>
      <xdr:rowOff>22973</xdr:rowOff>
    </xdr:to>
    <xdr:sp macro="" textlink="">
      <xdr:nvSpPr>
        <xdr:cNvPr id="3" name="Rounded Rectangle 2">
          <a:extLst>
            <a:ext uri="{FF2B5EF4-FFF2-40B4-BE49-F238E27FC236}">
              <a16:creationId xmlns:a16="http://schemas.microsoft.com/office/drawing/2014/main" id="{00000000-0008-0000-0700-000003000000}"/>
            </a:ext>
          </a:extLst>
        </xdr:cNvPr>
        <xdr:cNvSpPr/>
      </xdr:nvSpPr>
      <xdr:spPr>
        <a:xfrm>
          <a:off x="8181975" y="323850"/>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1685925</xdr:colOff>
      <xdr:row>0</xdr:row>
      <xdr:rowOff>133350</xdr:rowOff>
    </xdr:from>
    <xdr:to>
      <xdr:col>4</xdr:col>
      <xdr:colOff>3045758</xdr:colOff>
      <xdr:row>2</xdr:row>
      <xdr:rowOff>156323</xdr:rowOff>
    </xdr:to>
    <xdr:sp macro="" textlink="">
      <xdr:nvSpPr>
        <xdr:cNvPr id="3" name="Rounded Rectangle 2">
          <a:extLst>
            <a:ext uri="{FF2B5EF4-FFF2-40B4-BE49-F238E27FC236}">
              <a16:creationId xmlns:a16="http://schemas.microsoft.com/office/drawing/2014/main" id="{00000000-0008-0000-0800-000003000000}"/>
            </a:ext>
          </a:extLst>
        </xdr:cNvPr>
        <xdr:cNvSpPr/>
      </xdr:nvSpPr>
      <xdr:spPr>
        <a:xfrm>
          <a:off x="9867900" y="133350"/>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97194</xdr:colOff>
      <xdr:row>0</xdr:row>
      <xdr:rowOff>77756</xdr:rowOff>
    </xdr:from>
    <xdr:to>
      <xdr:col>2</xdr:col>
      <xdr:colOff>1045223</xdr:colOff>
      <xdr:row>4</xdr:row>
      <xdr:rowOff>112163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900-000002000000}"/>
            </a:ext>
          </a:extLst>
        </xdr:cNvPr>
        <xdr:cNvSpPr/>
      </xdr:nvSpPr>
      <xdr:spPr>
        <a:xfrm>
          <a:off x="268644" y="77756"/>
          <a:ext cx="2119604" cy="682107"/>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twoCellAnchor>
    <xdr:from>
      <xdr:col>4</xdr:col>
      <xdr:colOff>1038225</xdr:colOff>
      <xdr:row>0</xdr:row>
      <xdr:rowOff>133350</xdr:rowOff>
    </xdr:from>
    <xdr:to>
      <xdr:col>4</xdr:col>
      <xdr:colOff>2398058</xdr:colOff>
      <xdr:row>2</xdr:row>
      <xdr:rowOff>156323</xdr:rowOff>
    </xdr:to>
    <xdr:sp macro="" textlink="">
      <xdr:nvSpPr>
        <xdr:cNvPr id="3" name="Rounded Rectangle 2">
          <a:extLst>
            <a:ext uri="{FF2B5EF4-FFF2-40B4-BE49-F238E27FC236}">
              <a16:creationId xmlns:a16="http://schemas.microsoft.com/office/drawing/2014/main" id="{00000000-0008-0000-0900-000003000000}"/>
            </a:ext>
          </a:extLst>
        </xdr:cNvPr>
        <xdr:cNvSpPr/>
      </xdr:nvSpPr>
      <xdr:spPr>
        <a:xfrm>
          <a:off x="9220200" y="133350"/>
          <a:ext cx="1359833" cy="346823"/>
        </a:xfrm>
        <a:prstGeom prst="roundRect">
          <a:avLst/>
        </a:prstGeom>
        <a:solidFill>
          <a:schemeClr val="bg1"/>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rgbClr val="FF0000"/>
              </a:solidFill>
              <a:latin typeface="Georgia" pitchFamily="18" charset="0"/>
            </a:rPr>
            <a:t>Minuta</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146538</xdr:colOff>
      <xdr:row>0</xdr:row>
      <xdr:rowOff>125604</xdr:rowOff>
    </xdr:from>
    <xdr:to>
      <xdr:col>2</xdr:col>
      <xdr:colOff>1056437</xdr:colOff>
      <xdr:row>5</xdr:row>
      <xdr:rowOff>67303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146538" y="125604"/>
          <a:ext cx="2124075" cy="883732"/>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438149</xdr:colOff>
      <xdr:row>0</xdr:row>
      <xdr:rowOff>161925</xdr:rowOff>
    </xdr:from>
    <xdr:to>
      <xdr:col>24</xdr:col>
      <xdr:colOff>176892</xdr:colOff>
      <xdr:row>39</xdr:row>
      <xdr:rowOff>135775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438149" y="161925"/>
          <a:ext cx="14434457" cy="7403350"/>
        </a:xfrm>
        <a:prstGeom prst="rect">
          <a:avLst/>
        </a:prstGeom>
      </xdr:spPr>
    </xdr:pic>
    <xdr:clientData/>
  </xdr:twoCellAnchor>
  <xdr:twoCellAnchor>
    <xdr:from>
      <xdr:col>10</xdr:col>
      <xdr:colOff>492578</xdr:colOff>
      <xdr:row>5</xdr:row>
      <xdr:rowOff>107497</xdr:rowOff>
    </xdr:from>
    <xdr:to>
      <xdr:col>12</xdr:col>
      <xdr:colOff>58510</xdr:colOff>
      <xdr:row>7</xdr:row>
      <xdr:rowOff>2723</xdr:rowOff>
    </xdr:to>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6615792" y="1059997"/>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R.COM.01</a:t>
          </a:r>
        </a:p>
      </xdr:txBody>
    </xdr:sp>
    <xdr:clientData/>
  </xdr:twoCellAnchor>
  <xdr:twoCellAnchor>
    <xdr:from>
      <xdr:col>10</xdr:col>
      <xdr:colOff>502103</xdr:colOff>
      <xdr:row>6</xdr:row>
      <xdr:rowOff>97973</xdr:rowOff>
    </xdr:from>
    <xdr:to>
      <xdr:col>12</xdr:col>
      <xdr:colOff>68035</xdr:colOff>
      <xdr:row>7</xdr:row>
      <xdr:rowOff>183697</xdr:rowOff>
    </xdr:to>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6625317" y="1240973"/>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R.COM.02</a:t>
          </a:r>
        </a:p>
      </xdr:txBody>
    </xdr:sp>
    <xdr:clientData/>
  </xdr:twoCellAnchor>
  <xdr:twoCellAnchor>
    <xdr:from>
      <xdr:col>10</xdr:col>
      <xdr:colOff>511628</xdr:colOff>
      <xdr:row>7</xdr:row>
      <xdr:rowOff>88447</xdr:rowOff>
    </xdr:from>
    <xdr:to>
      <xdr:col>12</xdr:col>
      <xdr:colOff>77560</xdr:colOff>
      <xdr:row>8</xdr:row>
      <xdr:rowOff>174172</xdr:rowOff>
    </xdr:to>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6634842" y="142194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R.COM.03</a:t>
          </a:r>
        </a:p>
      </xdr:txBody>
    </xdr:sp>
    <xdr:clientData/>
  </xdr:twoCellAnchor>
  <xdr:twoCellAnchor>
    <xdr:from>
      <xdr:col>10</xdr:col>
      <xdr:colOff>504825</xdr:colOff>
      <xdr:row>8</xdr:row>
      <xdr:rowOff>76201</xdr:rowOff>
    </xdr:from>
    <xdr:to>
      <xdr:col>12</xdr:col>
      <xdr:colOff>70757</xdr:colOff>
      <xdr:row>9</xdr:row>
      <xdr:rowOff>161927</xdr:rowOff>
    </xdr:to>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6628039" y="1600201"/>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R.COM.04</a:t>
          </a:r>
        </a:p>
      </xdr:txBody>
    </xdr:sp>
    <xdr:clientData/>
  </xdr:twoCellAnchor>
  <xdr:twoCellAnchor>
    <xdr:from>
      <xdr:col>10</xdr:col>
      <xdr:colOff>514350</xdr:colOff>
      <xdr:row>9</xdr:row>
      <xdr:rowOff>66677</xdr:rowOff>
    </xdr:from>
    <xdr:to>
      <xdr:col>12</xdr:col>
      <xdr:colOff>80282</xdr:colOff>
      <xdr:row>10</xdr:row>
      <xdr:rowOff>152401</xdr:rowOff>
    </xdr:to>
    <xdr:sp macro="" textlink="">
      <xdr:nvSpPr>
        <xdr:cNvPr id="16" name="TextBox 15">
          <a:extLst>
            <a:ext uri="{FF2B5EF4-FFF2-40B4-BE49-F238E27FC236}">
              <a16:creationId xmlns:a16="http://schemas.microsoft.com/office/drawing/2014/main" id="{00000000-0008-0000-0B00-000010000000}"/>
            </a:ext>
          </a:extLst>
        </xdr:cNvPr>
        <xdr:cNvSpPr txBox="1"/>
      </xdr:nvSpPr>
      <xdr:spPr>
        <a:xfrm>
          <a:off x="6637564" y="1781177"/>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R.COM.07</a:t>
          </a:r>
        </a:p>
      </xdr:txBody>
    </xdr:sp>
    <xdr:clientData/>
  </xdr:twoCellAnchor>
  <xdr:twoCellAnchor>
    <xdr:from>
      <xdr:col>10</xdr:col>
      <xdr:colOff>523875</xdr:colOff>
      <xdr:row>10</xdr:row>
      <xdr:rowOff>57151</xdr:rowOff>
    </xdr:from>
    <xdr:to>
      <xdr:col>12</xdr:col>
      <xdr:colOff>89807</xdr:colOff>
      <xdr:row>11</xdr:row>
      <xdr:rowOff>142876</xdr:rowOff>
    </xdr:to>
    <xdr:sp macro="" textlink="">
      <xdr:nvSpPr>
        <xdr:cNvPr id="17" name="TextBox 16">
          <a:extLst>
            <a:ext uri="{FF2B5EF4-FFF2-40B4-BE49-F238E27FC236}">
              <a16:creationId xmlns:a16="http://schemas.microsoft.com/office/drawing/2014/main" id="{00000000-0008-0000-0B00-000011000000}"/>
            </a:ext>
          </a:extLst>
        </xdr:cNvPr>
        <xdr:cNvSpPr txBox="1"/>
      </xdr:nvSpPr>
      <xdr:spPr>
        <a:xfrm>
          <a:off x="6647089" y="1962151"/>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R.COM.15</a:t>
          </a:r>
        </a:p>
      </xdr:txBody>
    </xdr:sp>
    <xdr:clientData/>
  </xdr:twoCellAnchor>
  <xdr:twoCellAnchor>
    <xdr:from>
      <xdr:col>10</xdr:col>
      <xdr:colOff>523875</xdr:colOff>
      <xdr:row>11</xdr:row>
      <xdr:rowOff>76201</xdr:rowOff>
    </xdr:from>
    <xdr:to>
      <xdr:col>12</xdr:col>
      <xdr:colOff>89807</xdr:colOff>
      <xdr:row>12</xdr:row>
      <xdr:rowOff>161926</xdr:rowOff>
    </xdr:to>
    <xdr:sp macro="" textlink="">
      <xdr:nvSpPr>
        <xdr:cNvPr id="18" name="TextBox 17">
          <a:extLst>
            <a:ext uri="{FF2B5EF4-FFF2-40B4-BE49-F238E27FC236}">
              <a16:creationId xmlns:a16="http://schemas.microsoft.com/office/drawing/2014/main" id="{00000000-0008-0000-0B00-000012000000}"/>
            </a:ext>
          </a:extLst>
        </xdr:cNvPr>
        <xdr:cNvSpPr txBox="1"/>
      </xdr:nvSpPr>
      <xdr:spPr>
        <a:xfrm>
          <a:off x="6647089" y="2171701"/>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R.COM.17</a:t>
          </a:r>
        </a:p>
      </xdr:txBody>
    </xdr:sp>
    <xdr:clientData/>
  </xdr:twoCellAnchor>
  <xdr:twoCellAnchor>
    <xdr:from>
      <xdr:col>12</xdr:col>
      <xdr:colOff>299358</xdr:colOff>
      <xdr:row>15</xdr:row>
      <xdr:rowOff>108857</xdr:rowOff>
    </xdr:from>
    <xdr:to>
      <xdr:col>13</xdr:col>
      <xdr:colOff>477611</xdr:colOff>
      <xdr:row>17</xdr:row>
      <xdr:rowOff>4081</xdr:rowOff>
    </xdr:to>
    <xdr:sp macro="" textlink="">
      <xdr:nvSpPr>
        <xdr:cNvPr id="19" name="TextBox 18">
          <a:extLst>
            <a:ext uri="{FF2B5EF4-FFF2-40B4-BE49-F238E27FC236}">
              <a16:creationId xmlns:a16="http://schemas.microsoft.com/office/drawing/2014/main" id="{00000000-0008-0000-0B00-000013000000}"/>
            </a:ext>
          </a:extLst>
        </xdr:cNvPr>
        <xdr:cNvSpPr txBox="1"/>
      </xdr:nvSpPr>
      <xdr:spPr>
        <a:xfrm>
          <a:off x="7647215" y="2966357"/>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R.COM.05</a:t>
          </a:r>
        </a:p>
      </xdr:txBody>
    </xdr:sp>
    <xdr:clientData/>
  </xdr:twoCellAnchor>
  <xdr:twoCellAnchor>
    <xdr:from>
      <xdr:col>12</xdr:col>
      <xdr:colOff>244929</xdr:colOff>
      <xdr:row>21</xdr:row>
      <xdr:rowOff>40821</xdr:rowOff>
    </xdr:from>
    <xdr:to>
      <xdr:col>13</xdr:col>
      <xdr:colOff>423182</xdr:colOff>
      <xdr:row>22</xdr:row>
      <xdr:rowOff>126545</xdr:rowOff>
    </xdr:to>
    <xdr:sp macro="" textlink="">
      <xdr:nvSpPr>
        <xdr:cNvPr id="20" name="TextBox 19">
          <a:extLst>
            <a:ext uri="{FF2B5EF4-FFF2-40B4-BE49-F238E27FC236}">
              <a16:creationId xmlns:a16="http://schemas.microsoft.com/office/drawing/2014/main" id="{00000000-0008-0000-0B00-000014000000}"/>
            </a:ext>
          </a:extLst>
        </xdr:cNvPr>
        <xdr:cNvSpPr txBox="1"/>
      </xdr:nvSpPr>
      <xdr:spPr>
        <a:xfrm>
          <a:off x="7592786" y="4041321"/>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R.COM.08</a:t>
          </a:r>
        </a:p>
      </xdr:txBody>
    </xdr:sp>
    <xdr:clientData/>
  </xdr:twoCellAnchor>
  <xdr:twoCellAnchor>
    <xdr:from>
      <xdr:col>7</xdr:col>
      <xdr:colOff>421822</xdr:colOff>
      <xdr:row>21</xdr:row>
      <xdr:rowOff>122464</xdr:rowOff>
    </xdr:from>
    <xdr:to>
      <xdr:col>8</xdr:col>
      <xdr:colOff>600076</xdr:colOff>
      <xdr:row>23</xdr:row>
      <xdr:rowOff>17689</xdr:rowOff>
    </xdr:to>
    <xdr:sp macro="" textlink="">
      <xdr:nvSpPr>
        <xdr:cNvPr id="21" name="TextBox 20">
          <a:extLst>
            <a:ext uri="{FF2B5EF4-FFF2-40B4-BE49-F238E27FC236}">
              <a16:creationId xmlns:a16="http://schemas.microsoft.com/office/drawing/2014/main" id="{00000000-0008-0000-0B00-000015000000}"/>
            </a:ext>
          </a:extLst>
        </xdr:cNvPr>
        <xdr:cNvSpPr txBox="1"/>
      </xdr:nvSpPr>
      <xdr:spPr>
        <a:xfrm>
          <a:off x="4708072" y="412296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R.COM.06</a:t>
          </a:r>
        </a:p>
      </xdr:txBody>
    </xdr:sp>
    <xdr:clientData/>
  </xdr:twoCellAnchor>
  <xdr:twoCellAnchor>
    <xdr:from>
      <xdr:col>13</xdr:col>
      <xdr:colOff>266698</xdr:colOff>
      <xdr:row>32</xdr:row>
      <xdr:rowOff>136071</xdr:rowOff>
    </xdr:from>
    <xdr:to>
      <xdr:col>14</xdr:col>
      <xdr:colOff>444952</xdr:colOff>
      <xdr:row>34</xdr:row>
      <xdr:rowOff>31297</xdr:rowOff>
    </xdr:to>
    <xdr:sp macro="" textlink="">
      <xdr:nvSpPr>
        <xdr:cNvPr id="22" name="TextBox 21">
          <a:extLst>
            <a:ext uri="{FF2B5EF4-FFF2-40B4-BE49-F238E27FC236}">
              <a16:creationId xmlns:a16="http://schemas.microsoft.com/office/drawing/2014/main" id="{00000000-0008-0000-0B00-000016000000}"/>
            </a:ext>
          </a:extLst>
        </xdr:cNvPr>
        <xdr:cNvSpPr txBox="1"/>
      </xdr:nvSpPr>
      <xdr:spPr>
        <a:xfrm>
          <a:off x="8226877" y="6232071"/>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R.COM.13</a:t>
          </a:r>
        </a:p>
      </xdr:txBody>
    </xdr:sp>
    <xdr:clientData/>
  </xdr:twoCellAnchor>
  <xdr:twoCellAnchor>
    <xdr:from>
      <xdr:col>11</xdr:col>
      <xdr:colOff>190498</xdr:colOff>
      <xdr:row>35</xdr:row>
      <xdr:rowOff>172811</xdr:rowOff>
    </xdr:from>
    <xdr:to>
      <xdr:col>12</xdr:col>
      <xdr:colOff>368752</xdr:colOff>
      <xdr:row>37</xdr:row>
      <xdr:rowOff>68036</xdr:rowOff>
    </xdr:to>
    <xdr:sp macro="" textlink="">
      <xdr:nvSpPr>
        <xdr:cNvPr id="23" name="TextBox 22">
          <a:extLst>
            <a:ext uri="{FF2B5EF4-FFF2-40B4-BE49-F238E27FC236}">
              <a16:creationId xmlns:a16="http://schemas.microsoft.com/office/drawing/2014/main" id="{00000000-0008-0000-0B00-000017000000}"/>
            </a:ext>
          </a:extLst>
        </xdr:cNvPr>
        <xdr:cNvSpPr txBox="1"/>
      </xdr:nvSpPr>
      <xdr:spPr>
        <a:xfrm>
          <a:off x="6926034" y="6840311"/>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R.COM.12</a:t>
          </a:r>
        </a:p>
      </xdr:txBody>
    </xdr:sp>
    <xdr:clientData/>
  </xdr:twoCellAnchor>
  <xdr:twoCellAnchor>
    <xdr:from>
      <xdr:col>11</xdr:col>
      <xdr:colOff>172810</xdr:colOff>
      <xdr:row>34</xdr:row>
      <xdr:rowOff>23132</xdr:rowOff>
    </xdr:from>
    <xdr:to>
      <xdr:col>12</xdr:col>
      <xdr:colOff>351064</xdr:colOff>
      <xdr:row>35</xdr:row>
      <xdr:rowOff>108857</xdr:rowOff>
    </xdr:to>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6908346" y="6500132"/>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R.COM.10</a:t>
          </a:r>
        </a:p>
      </xdr:txBody>
    </xdr:sp>
    <xdr:clientData/>
  </xdr:twoCellAnchor>
  <xdr:twoCellAnchor>
    <xdr:from>
      <xdr:col>11</xdr:col>
      <xdr:colOff>172809</xdr:colOff>
      <xdr:row>32</xdr:row>
      <xdr:rowOff>91168</xdr:rowOff>
    </xdr:from>
    <xdr:to>
      <xdr:col>12</xdr:col>
      <xdr:colOff>351063</xdr:colOff>
      <xdr:row>33</xdr:row>
      <xdr:rowOff>176894</xdr:rowOff>
    </xdr:to>
    <xdr:sp macro="" textlink="">
      <xdr:nvSpPr>
        <xdr:cNvPr id="25" name="TextBox 24">
          <a:extLst>
            <a:ext uri="{FF2B5EF4-FFF2-40B4-BE49-F238E27FC236}">
              <a16:creationId xmlns:a16="http://schemas.microsoft.com/office/drawing/2014/main" id="{00000000-0008-0000-0B00-000019000000}"/>
            </a:ext>
          </a:extLst>
        </xdr:cNvPr>
        <xdr:cNvSpPr txBox="1"/>
      </xdr:nvSpPr>
      <xdr:spPr>
        <a:xfrm>
          <a:off x="6908345" y="6187168"/>
          <a:ext cx="7905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R.COM.09</a:t>
          </a:r>
        </a:p>
      </xdr:txBody>
    </xdr:sp>
    <xdr:clientData/>
  </xdr:twoCellAnchor>
  <xdr:twoCellAnchor>
    <xdr:from>
      <xdr:col>13</xdr:col>
      <xdr:colOff>266698</xdr:colOff>
      <xdr:row>35</xdr:row>
      <xdr:rowOff>170089</xdr:rowOff>
    </xdr:from>
    <xdr:to>
      <xdr:col>14</xdr:col>
      <xdr:colOff>444952</xdr:colOff>
      <xdr:row>37</xdr:row>
      <xdr:rowOff>65314</xdr:rowOff>
    </xdr:to>
    <xdr:sp macro="" textlink="">
      <xdr:nvSpPr>
        <xdr:cNvPr id="26" name="TextBox 25">
          <a:extLst>
            <a:ext uri="{FF2B5EF4-FFF2-40B4-BE49-F238E27FC236}">
              <a16:creationId xmlns:a16="http://schemas.microsoft.com/office/drawing/2014/main" id="{00000000-0008-0000-0B00-00001A000000}"/>
            </a:ext>
          </a:extLst>
        </xdr:cNvPr>
        <xdr:cNvSpPr txBox="1"/>
      </xdr:nvSpPr>
      <xdr:spPr>
        <a:xfrm>
          <a:off x="8226877" y="683758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R.COM.18</a:t>
          </a:r>
        </a:p>
      </xdr:txBody>
    </xdr:sp>
    <xdr:clientData/>
  </xdr:twoCellAnchor>
  <xdr:twoCellAnchor>
    <xdr:from>
      <xdr:col>12</xdr:col>
      <xdr:colOff>213632</xdr:colOff>
      <xdr:row>37</xdr:row>
      <xdr:rowOff>44902</xdr:rowOff>
    </xdr:from>
    <xdr:to>
      <xdr:col>13</xdr:col>
      <xdr:colOff>391885</xdr:colOff>
      <xdr:row>38</xdr:row>
      <xdr:rowOff>130627</xdr:rowOff>
    </xdr:to>
    <xdr:sp macro="" textlink="">
      <xdr:nvSpPr>
        <xdr:cNvPr id="27" name="TextBox 26">
          <a:extLst>
            <a:ext uri="{FF2B5EF4-FFF2-40B4-BE49-F238E27FC236}">
              <a16:creationId xmlns:a16="http://schemas.microsoft.com/office/drawing/2014/main" id="{00000000-0008-0000-0B00-00001B000000}"/>
            </a:ext>
          </a:extLst>
        </xdr:cNvPr>
        <xdr:cNvSpPr txBox="1"/>
      </xdr:nvSpPr>
      <xdr:spPr>
        <a:xfrm>
          <a:off x="7561489" y="7093402"/>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R.COM.16</a:t>
          </a:r>
        </a:p>
      </xdr:txBody>
    </xdr:sp>
    <xdr:clientData/>
  </xdr:twoCellAnchor>
  <xdr:twoCellAnchor>
    <xdr:from>
      <xdr:col>13</xdr:col>
      <xdr:colOff>276224</xdr:colOff>
      <xdr:row>34</xdr:row>
      <xdr:rowOff>46264</xdr:rowOff>
    </xdr:from>
    <xdr:to>
      <xdr:col>14</xdr:col>
      <xdr:colOff>454478</xdr:colOff>
      <xdr:row>35</xdr:row>
      <xdr:rowOff>131989</xdr:rowOff>
    </xdr:to>
    <xdr:sp macro="" textlink="">
      <xdr:nvSpPr>
        <xdr:cNvPr id="28" name="TextBox 27">
          <a:extLst>
            <a:ext uri="{FF2B5EF4-FFF2-40B4-BE49-F238E27FC236}">
              <a16:creationId xmlns:a16="http://schemas.microsoft.com/office/drawing/2014/main" id="{00000000-0008-0000-0B00-00001C000000}"/>
            </a:ext>
          </a:extLst>
        </xdr:cNvPr>
        <xdr:cNvSpPr txBox="1"/>
      </xdr:nvSpPr>
      <xdr:spPr>
        <a:xfrm>
          <a:off x="8236403" y="652326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R.COM.14</a:t>
          </a:r>
        </a:p>
      </xdr:txBody>
    </xdr:sp>
    <xdr:clientData/>
  </xdr:twoCellAnchor>
  <xdr:twoCellAnchor>
    <xdr:from>
      <xdr:col>15</xdr:col>
      <xdr:colOff>258536</xdr:colOff>
      <xdr:row>34</xdr:row>
      <xdr:rowOff>149679</xdr:rowOff>
    </xdr:from>
    <xdr:to>
      <xdr:col>16</xdr:col>
      <xdr:colOff>436789</xdr:colOff>
      <xdr:row>36</xdr:row>
      <xdr:rowOff>44903</xdr:rowOff>
    </xdr:to>
    <xdr:sp macro="" textlink="">
      <xdr:nvSpPr>
        <xdr:cNvPr id="29" name="TextBox 28">
          <a:extLst>
            <a:ext uri="{FF2B5EF4-FFF2-40B4-BE49-F238E27FC236}">
              <a16:creationId xmlns:a16="http://schemas.microsoft.com/office/drawing/2014/main" id="{00000000-0008-0000-0B00-00001D000000}"/>
            </a:ext>
          </a:extLst>
        </xdr:cNvPr>
        <xdr:cNvSpPr txBox="1"/>
      </xdr:nvSpPr>
      <xdr:spPr>
        <a:xfrm>
          <a:off x="9443357" y="6626679"/>
          <a:ext cx="7905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R.COM.11</a:t>
          </a:r>
        </a:p>
      </xdr:txBody>
    </xdr:sp>
    <xdr:clientData/>
  </xdr:twoCellAnchor>
  <xdr:twoCellAnchor>
    <xdr:from>
      <xdr:col>11</xdr:col>
      <xdr:colOff>594632</xdr:colOff>
      <xdr:row>5</xdr:row>
      <xdr:rowOff>122464</xdr:rowOff>
    </xdr:from>
    <xdr:to>
      <xdr:col>13</xdr:col>
      <xdr:colOff>160564</xdr:colOff>
      <xdr:row>7</xdr:row>
      <xdr:rowOff>27214</xdr:rowOff>
    </xdr:to>
    <xdr:sp macro="" textlink="">
      <xdr:nvSpPr>
        <xdr:cNvPr id="30" name="TextBox 29">
          <a:extLst>
            <a:ext uri="{FF2B5EF4-FFF2-40B4-BE49-F238E27FC236}">
              <a16:creationId xmlns:a16="http://schemas.microsoft.com/office/drawing/2014/main" id="{00000000-0008-0000-0B00-00001E000000}"/>
            </a:ext>
          </a:extLst>
        </xdr:cNvPr>
        <xdr:cNvSpPr txBox="1"/>
      </xdr:nvSpPr>
      <xdr:spPr>
        <a:xfrm>
          <a:off x="7330168" y="1074964"/>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R.CCP.03</a:t>
          </a:r>
        </a:p>
      </xdr:txBody>
    </xdr:sp>
    <xdr:clientData/>
  </xdr:twoCellAnchor>
  <xdr:twoCellAnchor>
    <xdr:from>
      <xdr:col>11</xdr:col>
      <xdr:colOff>598714</xdr:colOff>
      <xdr:row>6</xdr:row>
      <xdr:rowOff>122464</xdr:rowOff>
    </xdr:from>
    <xdr:to>
      <xdr:col>13</xdr:col>
      <xdr:colOff>164646</xdr:colOff>
      <xdr:row>8</xdr:row>
      <xdr:rowOff>22452</xdr:rowOff>
    </xdr:to>
    <xdr:sp macro="" textlink="">
      <xdr:nvSpPr>
        <xdr:cNvPr id="31" name="TextBox 30">
          <a:extLst>
            <a:ext uri="{FF2B5EF4-FFF2-40B4-BE49-F238E27FC236}">
              <a16:creationId xmlns:a16="http://schemas.microsoft.com/office/drawing/2014/main" id="{00000000-0008-0000-0B00-00001F000000}"/>
            </a:ext>
          </a:extLst>
        </xdr:cNvPr>
        <xdr:cNvSpPr txBox="1"/>
      </xdr:nvSpPr>
      <xdr:spPr>
        <a:xfrm>
          <a:off x="7334250" y="1265464"/>
          <a:ext cx="79057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R.CCP.04</a:t>
          </a:r>
        </a:p>
      </xdr:txBody>
    </xdr:sp>
    <xdr:clientData/>
  </xdr:twoCellAnchor>
  <xdr:twoCellAnchor>
    <xdr:from>
      <xdr:col>15</xdr:col>
      <xdr:colOff>353787</xdr:colOff>
      <xdr:row>6</xdr:row>
      <xdr:rowOff>168729</xdr:rowOff>
    </xdr:from>
    <xdr:to>
      <xdr:col>16</xdr:col>
      <xdr:colOff>532040</xdr:colOff>
      <xdr:row>8</xdr:row>
      <xdr:rowOff>73479</xdr:rowOff>
    </xdr:to>
    <xdr:sp macro="" textlink="">
      <xdr:nvSpPr>
        <xdr:cNvPr id="32" name="TextBox 31">
          <a:extLst>
            <a:ext uri="{FF2B5EF4-FFF2-40B4-BE49-F238E27FC236}">
              <a16:creationId xmlns:a16="http://schemas.microsoft.com/office/drawing/2014/main" id="{00000000-0008-0000-0B00-000020000000}"/>
            </a:ext>
          </a:extLst>
        </xdr:cNvPr>
        <xdr:cNvSpPr txBox="1"/>
      </xdr:nvSpPr>
      <xdr:spPr>
        <a:xfrm>
          <a:off x="9538608" y="1311729"/>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R.CCP.01</a:t>
          </a:r>
        </a:p>
      </xdr:txBody>
    </xdr:sp>
    <xdr:clientData/>
  </xdr:twoCellAnchor>
  <xdr:twoCellAnchor>
    <xdr:from>
      <xdr:col>15</xdr:col>
      <xdr:colOff>336098</xdr:colOff>
      <xdr:row>8</xdr:row>
      <xdr:rowOff>175533</xdr:rowOff>
    </xdr:from>
    <xdr:to>
      <xdr:col>16</xdr:col>
      <xdr:colOff>514351</xdr:colOff>
      <xdr:row>10</xdr:row>
      <xdr:rowOff>75521</xdr:rowOff>
    </xdr:to>
    <xdr:sp macro="" textlink="">
      <xdr:nvSpPr>
        <xdr:cNvPr id="33" name="TextBox 32">
          <a:extLst>
            <a:ext uri="{FF2B5EF4-FFF2-40B4-BE49-F238E27FC236}">
              <a16:creationId xmlns:a16="http://schemas.microsoft.com/office/drawing/2014/main" id="{00000000-0008-0000-0B00-000021000000}"/>
            </a:ext>
          </a:extLst>
        </xdr:cNvPr>
        <xdr:cNvSpPr txBox="1"/>
      </xdr:nvSpPr>
      <xdr:spPr>
        <a:xfrm>
          <a:off x="9520919" y="1699533"/>
          <a:ext cx="79057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R.CCP.02</a:t>
          </a:r>
        </a:p>
      </xdr:txBody>
    </xdr:sp>
    <xdr:clientData/>
  </xdr:twoCellAnchor>
  <xdr:twoCellAnchor>
    <xdr:from>
      <xdr:col>17</xdr:col>
      <xdr:colOff>400051</xdr:colOff>
      <xdr:row>7</xdr:row>
      <xdr:rowOff>0</xdr:rowOff>
    </xdr:from>
    <xdr:to>
      <xdr:col>18</xdr:col>
      <xdr:colOff>578304</xdr:colOff>
      <xdr:row>8</xdr:row>
      <xdr:rowOff>95250</xdr:rowOff>
    </xdr:to>
    <xdr:sp macro="" textlink="">
      <xdr:nvSpPr>
        <xdr:cNvPr id="34" name="TextBox 33">
          <a:extLst>
            <a:ext uri="{FF2B5EF4-FFF2-40B4-BE49-F238E27FC236}">
              <a16:creationId xmlns:a16="http://schemas.microsoft.com/office/drawing/2014/main" id="{00000000-0008-0000-0B00-000022000000}"/>
            </a:ext>
          </a:extLst>
        </xdr:cNvPr>
        <xdr:cNvSpPr txBox="1"/>
      </xdr:nvSpPr>
      <xdr:spPr>
        <a:xfrm>
          <a:off x="10809515" y="1333500"/>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R.CCP.05</a:t>
          </a:r>
        </a:p>
      </xdr:txBody>
    </xdr:sp>
    <xdr:clientData/>
  </xdr:twoCellAnchor>
  <xdr:twoCellAnchor>
    <xdr:from>
      <xdr:col>17</xdr:col>
      <xdr:colOff>417740</xdr:colOff>
      <xdr:row>8</xdr:row>
      <xdr:rowOff>170089</xdr:rowOff>
    </xdr:from>
    <xdr:to>
      <xdr:col>18</xdr:col>
      <xdr:colOff>595993</xdr:colOff>
      <xdr:row>10</xdr:row>
      <xdr:rowOff>70077</xdr:rowOff>
    </xdr:to>
    <xdr:sp macro="" textlink="">
      <xdr:nvSpPr>
        <xdr:cNvPr id="35" name="TextBox 34">
          <a:extLst>
            <a:ext uri="{FF2B5EF4-FFF2-40B4-BE49-F238E27FC236}">
              <a16:creationId xmlns:a16="http://schemas.microsoft.com/office/drawing/2014/main" id="{00000000-0008-0000-0B00-000023000000}"/>
            </a:ext>
          </a:extLst>
        </xdr:cNvPr>
        <xdr:cNvSpPr txBox="1"/>
      </xdr:nvSpPr>
      <xdr:spPr>
        <a:xfrm>
          <a:off x="10827204" y="1694089"/>
          <a:ext cx="79057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R.CCP.07</a:t>
          </a:r>
        </a:p>
      </xdr:txBody>
    </xdr:sp>
    <xdr:clientData/>
  </xdr:twoCellAnchor>
  <xdr:twoCellAnchor>
    <xdr:from>
      <xdr:col>16</xdr:col>
      <xdr:colOff>427266</xdr:colOff>
      <xdr:row>10</xdr:row>
      <xdr:rowOff>114980</xdr:rowOff>
    </xdr:from>
    <xdr:to>
      <xdr:col>17</xdr:col>
      <xdr:colOff>605520</xdr:colOff>
      <xdr:row>12</xdr:row>
      <xdr:rowOff>19730</xdr:rowOff>
    </xdr:to>
    <xdr:sp macro="" textlink="">
      <xdr:nvSpPr>
        <xdr:cNvPr id="36" name="TextBox 35">
          <a:extLst>
            <a:ext uri="{FF2B5EF4-FFF2-40B4-BE49-F238E27FC236}">
              <a16:creationId xmlns:a16="http://schemas.microsoft.com/office/drawing/2014/main" id="{00000000-0008-0000-0B00-000024000000}"/>
            </a:ext>
          </a:extLst>
        </xdr:cNvPr>
        <xdr:cNvSpPr txBox="1"/>
      </xdr:nvSpPr>
      <xdr:spPr>
        <a:xfrm>
          <a:off x="10224409" y="2019980"/>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R.CCP.08</a:t>
          </a:r>
        </a:p>
      </xdr:txBody>
    </xdr:sp>
    <xdr:clientData/>
  </xdr:twoCellAnchor>
  <xdr:twoCellAnchor>
    <xdr:from>
      <xdr:col>15</xdr:col>
      <xdr:colOff>435429</xdr:colOff>
      <xdr:row>27</xdr:row>
      <xdr:rowOff>54429</xdr:rowOff>
    </xdr:from>
    <xdr:to>
      <xdr:col>17</xdr:col>
      <xdr:colOff>1361</xdr:colOff>
      <xdr:row>28</xdr:row>
      <xdr:rowOff>149679</xdr:rowOff>
    </xdr:to>
    <xdr:sp macro="" textlink="">
      <xdr:nvSpPr>
        <xdr:cNvPr id="37" name="TextBox 36">
          <a:extLst>
            <a:ext uri="{FF2B5EF4-FFF2-40B4-BE49-F238E27FC236}">
              <a16:creationId xmlns:a16="http://schemas.microsoft.com/office/drawing/2014/main" id="{00000000-0008-0000-0B00-000025000000}"/>
            </a:ext>
          </a:extLst>
        </xdr:cNvPr>
        <xdr:cNvSpPr txBox="1"/>
      </xdr:nvSpPr>
      <xdr:spPr>
        <a:xfrm>
          <a:off x="9620250" y="5197929"/>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R.CCP.06</a:t>
          </a:r>
        </a:p>
      </xdr:txBody>
    </xdr:sp>
    <xdr:clientData/>
  </xdr:twoCellAnchor>
  <xdr:twoCellAnchor>
    <xdr:from>
      <xdr:col>11</xdr:col>
      <xdr:colOff>598714</xdr:colOff>
      <xdr:row>7</xdr:row>
      <xdr:rowOff>108858</xdr:rowOff>
    </xdr:from>
    <xdr:to>
      <xdr:col>13</xdr:col>
      <xdr:colOff>164646</xdr:colOff>
      <xdr:row>9</xdr:row>
      <xdr:rowOff>4083</xdr:rowOff>
    </xdr:to>
    <xdr:sp macro="" textlink="">
      <xdr:nvSpPr>
        <xdr:cNvPr id="39" name="TextBox 38">
          <a:extLst>
            <a:ext uri="{FF2B5EF4-FFF2-40B4-BE49-F238E27FC236}">
              <a16:creationId xmlns:a16="http://schemas.microsoft.com/office/drawing/2014/main" id="{00000000-0008-0000-0B00-000027000000}"/>
            </a:ext>
          </a:extLst>
        </xdr:cNvPr>
        <xdr:cNvSpPr txBox="1"/>
      </xdr:nvSpPr>
      <xdr:spPr>
        <a:xfrm>
          <a:off x="7334250" y="1442358"/>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R.CON.01</a:t>
          </a:r>
        </a:p>
      </xdr:txBody>
    </xdr:sp>
    <xdr:clientData/>
  </xdr:twoCellAnchor>
  <xdr:twoCellAnchor>
    <xdr:from>
      <xdr:col>15</xdr:col>
      <xdr:colOff>438150</xdr:colOff>
      <xdr:row>29</xdr:row>
      <xdr:rowOff>53068</xdr:rowOff>
    </xdr:from>
    <xdr:to>
      <xdr:col>17</xdr:col>
      <xdr:colOff>4082</xdr:colOff>
      <xdr:row>30</xdr:row>
      <xdr:rowOff>138793</xdr:rowOff>
    </xdr:to>
    <xdr:sp macro="" textlink="">
      <xdr:nvSpPr>
        <xdr:cNvPr id="40" name="TextBox 39">
          <a:extLst>
            <a:ext uri="{FF2B5EF4-FFF2-40B4-BE49-F238E27FC236}">
              <a16:creationId xmlns:a16="http://schemas.microsoft.com/office/drawing/2014/main" id="{00000000-0008-0000-0B00-000028000000}"/>
            </a:ext>
          </a:extLst>
        </xdr:cNvPr>
        <xdr:cNvSpPr txBox="1"/>
      </xdr:nvSpPr>
      <xdr:spPr>
        <a:xfrm>
          <a:off x="9622971" y="5577568"/>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R.LIC.01</a:t>
          </a:r>
        </a:p>
      </xdr:txBody>
    </xdr:sp>
    <xdr:clientData/>
  </xdr:twoCellAnchor>
  <xdr:twoCellAnchor>
    <xdr:from>
      <xdr:col>17</xdr:col>
      <xdr:colOff>327931</xdr:colOff>
      <xdr:row>27</xdr:row>
      <xdr:rowOff>66674</xdr:rowOff>
    </xdr:from>
    <xdr:to>
      <xdr:col>18</xdr:col>
      <xdr:colOff>506184</xdr:colOff>
      <xdr:row>28</xdr:row>
      <xdr:rowOff>152399</xdr:rowOff>
    </xdr:to>
    <xdr:sp macro="" textlink="">
      <xdr:nvSpPr>
        <xdr:cNvPr id="41" name="TextBox 40">
          <a:extLst>
            <a:ext uri="{FF2B5EF4-FFF2-40B4-BE49-F238E27FC236}">
              <a16:creationId xmlns:a16="http://schemas.microsoft.com/office/drawing/2014/main" id="{00000000-0008-0000-0B00-000029000000}"/>
            </a:ext>
          </a:extLst>
        </xdr:cNvPr>
        <xdr:cNvSpPr txBox="1"/>
      </xdr:nvSpPr>
      <xdr:spPr>
        <a:xfrm>
          <a:off x="10737395" y="521017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R.LIC.02</a:t>
          </a:r>
        </a:p>
      </xdr:txBody>
    </xdr:sp>
    <xdr:clientData/>
  </xdr:twoCellAnchor>
  <xdr:twoCellAnchor>
    <xdr:from>
      <xdr:col>17</xdr:col>
      <xdr:colOff>333376</xdr:colOff>
      <xdr:row>29</xdr:row>
      <xdr:rowOff>70757</xdr:rowOff>
    </xdr:from>
    <xdr:to>
      <xdr:col>18</xdr:col>
      <xdr:colOff>511629</xdr:colOff>
      <xdr:row>30</xdr:row>
      <xdr:rowOff>156482</xdr:rowOff>
    </xdr:to>
    <xdr:sp macro="" textlink="">
      <xdr:nvSpPr>
        <xdr:cNvPr id="42" name="TextBox 41">
          <a:extLst>
            <a:ext uri="{FF2B5EF4-FFF2-40B4-BE49-F238E27FC236}">
              <a16:creationId xmlns:a16="http://schemas.microsoft.com/office/drawing/2014/main" id="{00000000-0008-0000-0B00-00002A000000}"/>
            </a:ext>
          </a:extLst>
        </xdr:cNvPr>
        <xdr:cNvSpPr txBox="1"/>
      </xdr:nvSpPr>
      <xdr:spPr>
        <a:xfrm>
          <a:off x="10742840" y="559525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R.LIC.03</a:t>
          </a:r>
        </a:p>
      </xdr:txBody>
    </xdr:sp>
    <xdr:clientData/>
  </xdr:twoCellAnchor>
  <xdr:twoCellAnchor>
    <xdr:from>
      <xdr:col>11</xdr:col>
      <xdr:colOff>598714</xdr:colOff>
      <xdr:row>8</xdr:row>
      <xdr:rowOff>95250</xdr:rowOff>
    </xdr:from>
    <xdr:to>
      <xdr:col>13</xdr:col>
      <xdr:colOff>164646</xdr:colOff>
      <xdr:row>9</xdr:row>
      <xdr:rowOff>180975</xdr:rowOff>
    </xdr:to>
    <xdr:sp macro="" textlink="">
      <xdr:nvSpPr>
        <xdr:cNvPr id="43" name="TextBox 42">
          <a:extLst>
            <a:ext uri="{FF2B5EF4-FFF2-40B4-BE49-F238E27FC236}">
              <a16:creationId xmlns:a16="http://schemas.microsoft.com/office/drawing/2014/main" id="{00000000-0008-0000-0B00-00002B000000}"/>
            </a:ext>
          </a:extLst>
        </xdr:cNvPr>
        <xdr:cNvSpPr txBox="1"/>
      </xdr:nvSpPr>
      <xdr:spPr>
        <a:xfrm>
          <a:off x="7334250" y="161925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R.OPE.01</a:t>
          </a:r>
        </a:p>
      </xdr:txBody>
    </xdr:sp>
    <xdr:clientData/>
  </xdr:twoCellAnchor>
  <xdr:twoCellAnchor>
    <xdr:from>
      <xdr:col>11</xdr:col>
      <xdr:colOff>608239</xdr:colOff>
      <xdr:row>9</xdr:row>
      <xdr:rowOff>104775</xdr:rowOff>
    </xdr:from>
    <xdr:to>
      <xdr:col>13</xdr:col>
      <xdr:colOff>174171</xdr:colOff>
      <xdr:row>11</xdr:row>
      <xdr:rowOff>0</xdr:rowOff>
    </xdr:to>
    <xdr:sp macro="" textlink="">
      <xdr:nvSpPr>
        <xdr:cNvPr id="44" name="TextBox 43">
          <a:extLst>
            <a:ext uri="{FF2B5EF4-FFF2-40B4-BE49-F238E27FC236}">
              <a16:creationId xmlns:a16="http://schemas.microsoft.com/office/drawing/2014/main" id="{00000000-0008-0000-0B00-00002C000000}"/>
            </a:ext>
          </a:extLst>
        </xdr:cNvPr>
        <xdr:cNvSpPr txBox="1"/>
      </xdr:nvSpPr>
      <xdr:spPr>
        <a:xfrm>
          <a:off x="7343775" y="181927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R.OPE.02</a:t>
          </a:r>
        </a:p>
      </xdr:txBody>
    </xdr:sp>
    <xdr:clientData/>
  </xdr:twoCellAnchor>
  <xdr:twoCellAnchor>
    <xdr:from>
      <xdr:col>11</xdr:col>
      <xdr:colOff>598714</xdr:colOff>
      <xdr:row>10</xdr:row>
      <xdr:rowOff>104775</xdr:rowOff>
    </xdr:from>
    <xdr:to>
      <xdr:col>13</xdr:col>
      <xdr:colOff>164646</xdr:colOff>
      <xdr:row>12</xdr:row>
      <xdr:rowOff>0</xdr:rowOff>
    </xdr:to>
    <xdr:sp macro="" textlink="">
      <xdr:nvSpPr>
        <xdr:cNvPr id="45" name="TextBox 44">
          <a:extLst>
            <a:ext uri="{FF2B5EF4-FFF2-40B4-BE49-F238E27FC236}">
              <a16:creationId xmlns:a16="http://schemas.microsoft.com/office/drawing/2014/main" id="{00000000-0008-0000-0B00-00002D000000}"/>
            </a:ext>
          </a:extLst>
        </xdr:cNvPr>
        <xdr:cNvSpPr txBox="1"/>
      </xdr:nvSpPr>
      <xdr:spPr>
        <a:xfrm>
          <a:off x="7334250" y="200977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R.OPE.03</a:t>
          </a:r>
        </a:p>
      </xdr:txBody>
    </xdr:sp>
    <xdr:clientData/>
  </xdr:twoCellAnchor>
  <xdr:twoCellAnchor>
    <xdr:from>
      <xdr:col>11</xdr:col>
      <xdr:colOff>598714</xdr:colOff>
      <xdr:row>11</xdr:row>
      <xdr:rowOff>114300</xdr:rowOff>
    </xdr:from>
    <xdr:to>
      <xdr:col>13</xdr:col>
      <xdr:colOff>164646</xdr:colOff>
      <xdr:row>13</xdr:row>
      <xdr:rowOff>9525</xdr:rowOff>
    </xdr:to>
    <xdr:sp macro="" textlink="">
      <xdr:nvSpPr>
        <xdr:cNvPr id="46" name="TextBox 45">
          <a:extLst>
            <a:ext uri="{FF2B5EF4-FFF2-40B4-BE49-F238E27FC236}">
              <a16:creationId xmlns:a16="http://schemas.microsoft.com/office/drawing/2014/main" id="{00000000-0008-0000-0B00-00002E000000}"/>
            </a:ext>
          </a:extLst>
        </xdr:cNvPr>
        <xdr:cNvSpPr txBox="1"/>
      </xdr:nvSpPr>
      <xdr:spPr>
        <a:xfrm>
          <a:off x="7334250" y="220980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R.OPE.04</a:t>
          </a:r>
        </a:p>
      </xdr:txBody>
    </xdr:sp>
    <xdr:clientData/>
  </xdr:twoCellAnchor>
  <xdr:twoCellAnchor>
    <xdr:from>
      <xdr:col>13</xdr:col>
      <xdr:colOff>76199</xdr:colOff>
      <xdr:row>5</xdr:row>
      <xdr:rowOff>131990</xdr:rowOff>
    </xdr:from>
    <xdr:to>
      <xdr:col>14</xdr:col>
      <xdr:colOff>254453</xdr:colOff>
      <xdr:row>7</xdr:row>
      <xdr:rowOff>27215</xdr:rowOff>
    </xdr:to>
    <xdr:sp macro="" textlink="">
      <xdr:nvSpPr>
        <xdr:cNvPr id="47" name="TextBox 46">
          <a:extLst>
            <a:ext uri="{FF2B5EF4-FFF2-40B4-BE49-F238E27FC236}">
              <a16:creationId xmlns:a16="http://schemas.microsoft.com/office/drawing/2014/main" id="{00000000-0008-0000-0B00-00002F000000}"/>
            </a:ext>
          </a:extLst>
        </xdr:cNvPr>
        <xdr:cNvSpPr txBox="1"/>
      </xdr:nvSpPr>
      <xdr:spPr>
        <a:xfrm>
          <a:off x="8036378" y="108449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R.OPE.05</a:t>
          </a:r>
        </a:p>
      </xdr:txBody>
    </xdr:sp>
    <xdr:clientData/>
  </xdr:twoCellAnchor>
  <xdr:twoCellAnchor>
    <xdr:from>
      <xdr:col>13</xdr:col>
      <xdr:colOff>76199</xdr:colOff>
      <xdr:row>6</xdr:row>
      <xdr:rowOff>87087</xdr:rowOff>
    </xdr:from>
    <xdr:to>
      <xdr:col>14</xdr:col>
      <xdr:colOff>254453</xdr:colOff>
      <xdr:row>7</xdr:row>
      <xdr:rowOff>172812</xdr:rowOff>
    </xdr:to>
    <xdr:sp macro="" textlink="">
      <xdr:nvSpPr>
        <xdr:cNvPr id="48" name="TextBox 47">
          <a:extLst>
            <a:ext uri="{FF2B5EF4-FFF2-40B4-BE49-F238E27FC236}">
              <a16:creationId xmlns:a16="http://schemas.microsoft.com/office/drawing/2014/main" id="{00000000-0008-0000-0B00-000030000000}"/>
            </a:ext>
          </a:extLst>
        </xdr:cNvPr>
        <xdr:cNvSpPr txBox="1"/>
      </xdr:nvSpPr>
      <xdr:spPr>
        <a:xfrm>
          <a:off x="8036378" y="123008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R.OPE.06</a:t>
          </a:r>
        </a:p>
      </xdr:txBody>
    </xdr:sp>
    <xdr:clientData/>
  </xdr:twoCellAnchor>
  <xdr:twoCellAnchor>
    <xdr:from>
      <xdr:col>13</xdr:col>
      <xdr:colOff>76199</xdr:colOff>
      <xdr:row>7</xdr:row>
      <xdr:rowOff>65316</xdr:rowOff>
    </xdr:from>
    <xdr:to>
      <xdr:col>14</xdr:col>
      <xdr:colOff>254453</xdr:colOff>
      <xdr:row>8</xdr:row>
      <xdr:rowOff>151041</xdr:rowOff>
    </xdr:to>
    <xdr:sp macro="" textlink="">
      <xdr:nvSpPr>
        <xdr:cNvPr id="49" name="TextBox 48">
          <a:extLst>
            <a:ext uri="{FF2B5EF4-FFF2-40B4-BE49-F238E27FC236}">
              <a16:creationId xmlns:a16="http://schemas.microsoft.com/office/drawing/2014/main" id="{00000000-0008-0000-0B00-000031000000}"/>
            </a:ext>
          </a:extLst>
        </xdr:cNvPr>
        <xdr:cNvSpPr txBox="1"/>
      </xdr:nvSpPr>
      <xdr:spPr>
        <a:xfrm>
          <a:off x="8036378" y="1398816"/>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R.OPE.07</a:t>
          </a:r>
        </a:p>
      </xdr:txBody>
    </xdr:sp>
    <xdr:clientData/>
  </xdr:twoCellAnchor>
  <xdr:twoCellAnchor>
    <xdr:from>
      <xdr:col>13</xdr:col>
      <xdr:colOff>76199</xdr:colOff>
      <xdr:row>8</xdr:row>
      <xdr:rowOff>34020</xdr:rowOff>
    </xdr:from>
    <xdr:to>
      <xdr:col>14</xdr:col>
      <xdr:colOff>254453</xdr:colOff>
      <xdr:row>9</xdr:row>
      <xdr:rowOff>119745</xdr:rowOff>
    </xdr:to>
    <xdr:sp macro="" textlink="">
      <xdr:nvSpPr>
        <xdr:cNvPr id="50" name="TextBox 49">
          <a:extLst>
            <a:ext uri="{FF2B5EF4-FFF2-40B4-BE49-F238E27FC236}">
              <a16:creationId xmlns:a16="http://schemas.microsoft.com/office/drawing/2014/main" id="{00000000-0008-0000-0B00-000032000000}"/>
            </a:ext>
          </a:extLst>
        </xdr:cNvPr>
        <xdr:cNvSpPr txBox="1"/>
      </xdr:nvSpPr>
      <xdr:spPr>
        <a:xfrm>
          <a:off x="8036378" y="155802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R.OPE.08</a:t>
          </a:r>
        </a:p>
      </xdr:txBody>
    </xdr:sp>
    <xdr:clientData/>
  </xdr:twoCellAnchor>
  <xdr:twoCellAnchor>
    <xdr:from>
      <xdr:col>16</xdr:col>
      <xdr:colOff>451755</xdr:colOff>
      <xdr:row>34</xdr:row>
      <xdr:rowOff>161925</xdr:rowOff>
    </xdr:from>
    <xdr:to>
      <xdr:col>18</xdr:col>
      <xdr:colOff>17687</xdr:colOff>
      <xdr:row>36</xdr:row>
      <xdr:rowOff>57150</xdr:rowOff>
    </xdr:to>
    <xdr:sp macro="" textlink="">
      <xdr:nvSpPr>
        <xdr:cNvPr id="51" name="TextBox 50">
          <a:extLst>
            <a:ext uri="{FF2B5EF4-FFF2-40B4-BE49-F238E27FC236}">
              <a16:creationId xmlns:a16="http://schemas.microsoft.com/office/drawing/2014/main" id="{00000000-0008-0000-0B00-000033000000}"/>
            </a:ext>
          </a:extLst>
        </xdr:cNvPr>
        <xdr:cNvSpPr txBox="1"/>
      </xdr:nvSpPr>
      <xdr:spPr>
        <a:xfrm>
          <a:off x="10248898" y="663892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R.QUA.01</a:t>
          </a:r>
        </a:p>
      </xdr:txBody>
    </xdr:sp>
    <xdr:clientData/>
  </xdr:twoCellAnchor>
  <xdr:twoCellAnchor>
    <xdr:from>
      <xdr:col>18</xdr:col>
      <xdr:colOff>2720</xdr:colOff>
      <xdr:row>34</xdr:row>
      <xdr:rowOff>141515</xdr:rowOff>
    </xdr:from>
    <xdr:to>
      <xdr:col>19</xdr:col>
      <xdr:colOff>180974</xdr:colOff>
      <xdr:row>36</xdr:row>
      <xdr:rowOff>36740</xdr:rowOff>
    </xdr:to>
    <xdr:sp macro="" textlink="">
      <xdr:nvSpPr>
        <xdr:cNvPr id="52" name="TextBox 51">
          <a:extLst>
            <a:ext uri="{FF2B5EF4-FFF2-40B4-BE49-F238E27FC236}">
              <a16:creationId xmlns:a16="http://schemas.microsoft.com/office/drawing/2014/main" id="{00000000-0008-0000-0B00-000034000000}"/>
            </a:ext>
          </a:extLst>
        </xdr:cNvPr>
        <xdr:cNvSpPr txBox="1"/>
      </xdr:nvSpPr>
      <xdr:spPr>
        <a:xfrm>
          <a:off x="11024506" y="6618515"/>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R.QUA.02</a:t>
          </a:r>
        </a:p>
      </xdr:txBody>
    </xdr:sp>
    <xdr:clientData/>
  </xdr:twoCellAnchor>
  <xdr:twoCellAnchor>
    <xdr:from>
      <xdr:col>13</xdr:col>
      <xdr:colOff>73479</xdr:colOff>
      <xdr:row>9</xdr:row>
      <xdr:rowOff>27214</xdr:rowOff>
    </xdr:from>
    <xdr:to>
      <xdr:col>14</xdr:col>
      <xdr:colOff>251733</xdr:colOff>
      <xdr:row>10</xdr:row>
      <xdr:rowOff>112939</xdr:rowOff>
    </xdr:to>
    <xdr:sp macro="" textlink="">
      <xdr:nvSpPr>
        <xdr:cNvPr id="53" name="TextBox 52">
          <a:extLst>
            <a:ext uri="{FF2B5EF4-FFF2-40B4-BE49-F238E27FC236}">
              <a16:creationId xmlns:a16="http://schemas.microsoft.com/office/drawing/2014/main" id="{00000000-0008-0000-0B00-000035000000}"/>
            </a:ext>
          </a:extLst>
        </xdr:cNvPr>
        <xdr:cNvSpPr txBox="1"/>
      </xdr:nvSpPr>
      <xdr:spPr>
        <a:xfrm>
          <a:off x="8033658" y="174171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R.RH.01</a:t>
          </a:r>
        </a:p>
      </xdr:txBody>
    </xdr:sp>
    <xdr:clientData/>
  </xdr:twoCellAnchor>
  <xdr:twoCellAnchor>
    <xdr:from>
      <xdr:col>13</xdr:col>
      <xdr:colOff>77561</xdr:colOff>
      <xdr:row>10</xdr:row>
      <xdr:rowOff>5443</xdr:rowOff>
    </xdr:from>
    <xdr:to>
      <xdr:col>14</xdr:col>
      <xdr:colOff>255815</xdr:colOff>
      <xdr:row>11</xdr:row>
      <xdr:rowOff>91168</xdr:rowOff>
    </xdr:to>
    <xdr:sp macro="" textlink="">
      <xdr:nvSpPr>
        <xdr:cNvPr id="54" name="TextBox 53">
          <a:extLst>
            <a:ext uri="{FF2B5EF4-FFF2-40B4-BE49-F238E27FC236}">
              <a16:creationId xmlns:a16="http://schemas.microsoft.com/office/drawing/2014/main" id="{00000000-0008-0000-0B00-000036000000}"/>
            </a:ext>
          </a:extLst>
        </xdr:cNvPr>
        <xdr:cNvSpPr txBox="1"/>
      </xdr:nvSpPr>
      <xdr:spPr>
        <a:xfrm>
          <a:off x="8037740" y="1910443"/>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R.RH.02</a:t>
          </a:r>
        </a:p>
      </xdr:txBody>
    </xdr:sp>
    <xdr:clientData/>
  </xdr:twoCellAnchor>
  <xdr:twoCellAnchor>
    <xdr:from>
      <xdr:col>13</xdr:col>
      <xdr:colOff>68036</xdr:colOff>
      <xdr:row>10</xdr:row>
      <xdr:rowOff>190499</xdr:rowOff>
    </xdr:from>
    <xdr:to>
      <xdr:col>14</xdr:col>
      <xdr:colOff>246290</xdr:colOff>
      <xdr:row>12</xdr:row>
      <xdr:rowOff>85724</xdr:rowOff>
    </xdr:to>
    <xdr:sp macro="" textlink="">
      <xdr:nvSpPr>
        <xdr:cNvPr id="55" name="TextBox 54">
          <a:extLst>
            <a:ext uri="{FF2B5EF4-FFF2-40B4-BE49-F238E27FC236}">
              <a16:creationId xmlns:a16="http://schemas.microsoft.com/office/drawing/2014/main" id="{00000000-0008-0000-0B00-000037000000}"/>
            </a:ext>
          </a:extLst>
        </xdr:cNvPr>
        <xdr:cNvSpPr txBox="1"/>
      </xdr:nvSpPr>
      <xdr:spPr>
        <a:xfrm>
          <a:off x="8028215" y="209549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R.RH.03</a:t>
          </a:r>
        </a:p>
      </xdr:txBody>
    </xdr:sp>
    <xdr:clientData/>
  </xdr:twoCellAnchor>
  <xdr:twoCellAnchor>
    <xdr:from>
      <xdr:col>14</xdr:col>
      <xdr:colOff>129269</xdr:colOff>
      <xdr:row>5</xdr:row>
      <xdr:rowOff>151039</xdr:rowOff>
    </xdr:from>
    <xdr:to>
      <xdr:col>15</xdr:col>
      <xdr:colOff>307523</xdr:colOff>
      <xdr:row>7</xdr:row>
      <xdr:rowOff>46264</xdr:rowOff>
    </xdr:to>
    <xdr:sp macro="" textlink="">
      <xdr:nvSpPr>
        <xdr:cNvPr id="56" name="TextBox 55">
          <a:extLst>
            <a:ext uri="{FF2B5EF4-FFF2-40B4-BE49-F238E27FC236}">
              <a16:creationId xmlns:a16="http://schemas.microsoft.com/office/drawing/2014/main" id="{00000000-0008-0000-0B00-000038000000}"/>
            </a:ext>
          </a:extLst>
        </xdr:cNvPr>
        <xdr:cNvSpPr txBox="1"/>
      </xdr:nvSpPr>
      <xdr:spPr>
        <a:xfrm>
          <a:off x="8701769" y="110353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R.RH.04</a:t>
          </a:r>
        </a:p>
      </xdr:txBody>
    </xdr:sp>
    <xdr:clientData/>
  </xdr:twoCellAnchor>
  <xdr:twoCellAnchor>
    <xdr:from>
      <xdr:col>14</xdr:col>
      <xdr:colOff>133351</xdr:colOff>
      <xdr:row>6</xdr:row>
      <xdr:rowOff>127907</xdr:rowOff>
    </xdr:from>
    <xdr:to>
      <xdr:col>15</xdr:col>
      <xdr:colOff>311605</xdr:colOff>
      <xdr:row>8</xdr:row>
      <xdr:rowOff>23132</xdr:rowOff>
    </xdr:to>
    <xdr:sp macro="" textlink="">
      <xdr:nvSpPr>
        <xdr:cNvPr id="57" name="TextBox 56">
          <a:extLst>
            <a:ext uri="{FF2B5EF4-FFF2-40B4-BE49-F238E27FC236}">
              <a16:creationId xmlns:a16="http://schemas.microsoft.com/office/drawing/2014/main" id="{00000000-0008-0000-0B00-000039000000}"/>
            </a:ext>
          </a:extLst>
        </xdr:cNvPr>
        <xdr:cNvSpPr txBox="1"/>
      </xdr:nvSpPr>
      <xdr:spPr>
        <a:xfrm>
          <a:off x="8705851" y="1270907"/>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R.RH.05</a:t>
          </a:r>
        </a:p>
      </xdr:txBody>
    </xdr:sp>
    <xdr:clientData/>
  </xdr:twoCellAnchor>
  <xdr:twoCellAnchor>
    <xdr:from>
      <xdr:col>14</xdr:col>
      <xdr:colOff>129268</xdr:colOff>
      <xdr:row>7</xdr:row>
      <xdr:rowOff>137432</xdr:rowOff>
    </xdr:from>
    <xdr:to>
      <xdr:col>15</xdr:col>
      <xdr:colOff>307522</xdr:colOff>
      <xdr:row>9</xdr:row>
      <xdr:rowOff>32657</xdr:rowOff>
    </xdr:to>
    <xdr:sp macro="" textlink="">
      <xdr:nvSpPr>
        <xdr:cNvPr id="58" name="TextBox 57">
          <a:extLst>
            <a:ext uri="{FF2B5EF4-FFF2-40B4-BE49-F238E27FC236}">
              <a16:creationId xmlns:a16="http://schemas.microsoft.com/office/drawing/2014/main" id="{00000000-0008-0000-0B00-00003A000000}"/>
            </a:ext>
          </a:extLst>
        </xdr:cNvPr>
        <xdr:cNvSpPr txBox="1"/>
      </xdr:nvSpPr>
      <xdr:spPr>
        <a:xfrm>
          <a:off x="8701768" y="1470932"/>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R.RH.06</a:t>
          </a:r>
        </a:p>
      </xdr:txBody>
    </xdr:sp>
    <xdr:clientData/>
  </xdr:twoCellAnchor>
  <xdr:twoCellAnchor>
    <xdr:from>
      <xdr:col>6</xdr:col>
      <xdr:colOff>503463</xdr:colOff>
      <xdr:row>8</xdr:row>
      <xdr:rowOff>27214</xdr:rowOff>
    </xdr:from>
    <xdr:to>
      <xdr:col>8</xdr:col>
      <xdr:colOff>69396</xdr:colOff>
      <xdr:row>9</xdr:row>
      <xdr:rowOff>112939</xdr:rowOff>
    </xdr:to>
    <xdr:sp macro="" textlink="">
      <xdr:nvSpPr>
        <xdr:cNvPr id="59" name="TextBox 58">
          <a:extLst>
            <a:ext uri="{FF2B5EF4-FFF2-40B4-BE49-F238E27FC236}">
              <a16:creationId xmlns:a16="http://schemas.microsoft.com/office/drawing/2014/main" id="{00000000-0008-0000-0B00-00003B000000}"/>
            </a:ext>
          </a:extLst>
        </xdr:cNvPr>
        <xdr:cNvSpPr txBox="1"/>
      </xdr:nvSpPr>
      <xdr:spPr>
        <a:xfrm>
          <a:off x="4177392" y="1551214"/>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R.TI.01</a:t>
          </a:r>
        </a:p>
      </xdr:txBody>
    </xdr:sp>
    <xdr:clientData/>
  </xdr:twoCellAnchor>
  <xdr:twoCellAnchor>
    <xdr:from>
      <xdr:col>8</xdr:col>
      <xdr:colOff>118382</xdr:colOff>
      <xdr:row>8</xdr:row>
      <xdr:rowOff>16329</xdr:rowOff>
    </xdr:from>
    <xdr:to>
      <xdr:col>9</xdr:col>
      <xdr:colOff>296635</xdr:colOff>
      <xdr:row>9</xdr:row>
      <xdr:rowOff>102054</xdr:rowOff>
    </xdr:to>
    <xdr:sp macro="" textlink="">
      <xdr:nvSpPr>
        <xdr:cNvPr id="60" name="TextBox 59">
          <a:extLst>
            <a:ext uri="{FF2B5EF4-FFF2-40B4-BE49-F238E27FC236}">
              <a16:creationId xmlns:a16="http://schemas.microsoft.com/office/drawing/2014/main" id="{00000000-0008-0000-0B00-00003C000000}"/>
            </a:ext>
          </a:extLst>
        </xdr:cNvPr>
        <xdr:cNvSpPr txBox="1"/>
      </xdr:nvSpPr>
      <xdr:spPr>
        <a:xfrm>
          <a:off x="5016953" y="1540329"/>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solidFill>
                <a:schemeClr val="dk1"/>
              </a:solidFill>
              <a:effectLst/>
              <a:latin typeface="+mn-lt"/>
              <a:ea typeface="+mn-ea"/>
              <a:cs typeface="+mn-cs"/>
            </a:rPr>
            <a:t>R.TI.02</a:t>
          </a:r>
          <a:endParaRPr lang="pt-BR">
            <a:effectLst/>
          </a:endParaRPr>
        </a:p>
      </xdr:txBody>
    </xdr:sp>
    <xdr:clientData/>
  </xdr:twoCellAnchor>
  <xdr:twoCellAnchor>
    <xdr:from>
      <xdr:col>9</xdr:col>
      <xdr:colOff>295275</xdr:colOff>
      <xdr:row>8</xdr:row>
      <xdr:rowOff>19050</xdr:rowOff>
    </xdr:from>
    <xdr:to>
      <xdr:col>10</xdr:col>
      <xdr:colOff>473529</xdr:colOff>
      <xdr:row>9</xdr:row>
      <xdr:rowOff>104775</xdr:rowOff>
    </xdr:to>
    <xdr:sp macro="" textlink="">
      <xdr:nvSpPr>
        <xdr:cNvPr id="61" name="TextBox 60">
          <a:extLst>
            <a:ext uri="{FF2B5EF4-FFF2-40B4-BE49-F238E27FC236}">
              <a16:creationId xmlns:a16="http://schemas.microsoft.com/office/drawing/2014/main" id="{00000000-0008-0000-0B00-00003D000000}"/>
            </a:ext>
          </a:extLst>
        </xdr:cNvPr>
        <xdr:cNvSpPr txBox="1"/>
      </xdr:nvSpPr>
      <xdr:spPr>
        <a:xfrm>
          <a:off x="5806168" y="1543050"/>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R.TI.03</a:t>
          </a:r>
        </a:p>
      </xdr:txBody>
    </xdr:sp>
    <xdr:clientData/>
  </xdr:twoCellAnchor>
  <xdr:twoCellAnchor>
    <xdr:from>
      <xdr:col>22</xdr:col>
      <xdr:colOff>13609</xdr:colOff>
      <xdr:row>15</xdr:row>
      <xdr:rowOff>159203</xdr:rowOff>
    </xdr:from>
    <xdr:to>
      <xdr:col>23</xdr:col>
      <xdr:colOff>191862</xdr:colOff>
      <xdr:row>17</xdr:row>
      <xdr:rowOff>54428</xdr:rowOff>
    </xdr:to>
    <xdr:sp macro="" textlink="">
      <xdr:nvSpPr>
        <xdr:cNvPr id="62" name="TextBox 61">
          <a:extLst>
            <a:ext uri="{FF2B5EF4-FFF2-40B4-BE49-F238E27FC236}">
              <a16:creationId xmlns:a16="http://schemas.microsoft.com/office/drawing/2014/main" id="{00000000-0008-0000-0B00-00003E000000}"/>
            </a:ext>
          </a:extLst>
        </xdr:cNvPr>
        <xdr:cNvSpPr txBox="1"/>
      </xdr:nvSpPr>
      <xdr:spPr>
        <a:xfrm>
          <a:off x="13484680" y="3016703"/>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R.VEN.02</a:t>
          </a:r>
        </a:p>
      </xdr:txBody>
    </xdr:sp>
    <xdr:clientData/>
  </xdr:twoCellAnchor>
  <xdr:twoCellAnchor>
    <xdr:from>
      <xdr:col>19</xdr:col>
      <xdr:colOff>608241</xdr:colOff>
      <xdr:row>15</xdr:row>
      <xdr:rowOff>149678</xdr:rowOff>
    </xdr:from>
    <xdr:to>
      <xdr:col>21</xdr:col>
      <xdr:colOff>174173</xdr:colOff>
      <xdr:row>17</xdr:row>
      <xdr:rowOff>44903</xdr:rowOff>
    </xdr:to>
    <xdr:sp macro="" textlink="">
      <xdr:nvSpPr>
        <xdr:cNvPr id="63" name="TextBox 62">
          <a:extLst>
            <a:ext uri="{FF2B5EF4-FFF2-40B4-BE49-F238E27FC236}">
              <a16:creationId xmlns:a16="http://schemas.microsoft.com/office/drawing/2014/main" id="{00000000-0008-0000-0B00-00003F000000}"/>
            </a:ext>
          </a:extLst>
        </xdr:cNvPr>
        <xdr:cNvSpPr txBox="1"/>
      </xdr:nvSpPr>
      <xdr:spPr>
        <a:xfrm>
          <a:off x="12242348" y="3007178"/>
          <a:ext cx="790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R.VEN.01</a:t>
          </a:r>
        </a:p>
      </xdr:txBody>
    </xdr:sp>
    <xdr:clientData/>
  </xdr:twoCellAnchor>
  <xdr:twoCellAnchor editAs="oneCell">
    <xdr:from>
      <xdr:col>5</xdr:col>
      <xdr:colOff>193221</xdr:colOff>
      <xdr:row>0</xdr:row>
      <xdr:rowOff>0</xdr:rowOff>
    </xdr:from>
    <xdr:to>
      <xdr:col>8</xdr:col>
      <xdr:colOff>190429</xdr:colOff>
      <xdr:row>5</xdr:row>
      <xdr:rowOff>5482</xdr:rowOff>
    </xdr:to>
    <xdr:pic>
      <xdr:nvPicPr>
        <xdr:cNvPr id="64" name="Picture 63">
          <a:extLst>
            <a:ext uri="{FF2B5EF4-FFF2-40B4-BE49-F238E27FC236}">
              <a16:creationId xmlns:a16="http://schemas.microsoft.com/office/drawing/2014/main" id="{00000000-0008-0000-0B00-000040000000}"/>
            </a:ext>
          </a:extLst>
        </xdr:cNvPr>
        <xdr:cNvPicPr>
          <a:picLocks noChangeAspect="1"/>
        </xdr:cNvPicPr>
      </xdr:nvPicPr>
      <xdr:blipFill>
        <a:blip xmlns:r="http://schemas.openxmlformats.org/officeDocument/2006/relationships" r:embed="rId2"/>
        <a:stretch>
          <a:fillRect/>
        </a:stretch>
      </xdr:blipFill>
      <xdr:spPr>
        <a:xfrm>
          <a:off x="3254828" y="0"/>
          <a:ext cx="1834172" cy="957982"/>
        </a:xfrm>
        <a:prstGeom prst="rect">
          <a:avLst/>
        </a:prstGeom>
      </xdr:spPr>
    </xdr:pic>
    <xdr:clientData/>
  </xdr:twoCellAnchor>
  <xdr:twoCellAnchor>
    <xdr:from>
      <xdr:col>0</xdr:col>
      <xdr:colOff>288471</xdr:colOff>
      <xdr:row>0</xdr:row>
      <xdr:rowOff>95250</xdr:rowOff>
    </xdr:from>
    <xdr:to>
      <xdr:col>3</xdr:col>
      <xdr:colOff>575582</xdr:colOff>
      <xdr:row>5</xdr:row>
      <xdr:rowOff>26482</xdr:rowOff>
    </xdr:to>
    <xdr:sp macro="" textlink="">
      <xdr:nvSpPr>
        <xdr:cNvPr id="65" name="Rounded Rectangle 64">
          <a:hlinkClick xmlns:r="http://schemas.openxmlformats.org/officeDocument/2006/relationships" r:id="rId3"/>
          <a:extLst>
            <a:ext uri="{FF2B5EF4-FFF2-40B4-BE49-F238E27FC236}">
              <a16:creationId xmlns:a16="http://schemas.microsoft.com/office/drawing/2014/main" id="{00000000-0008-0000-0B00-000041000000}"/>
            </a:ext>
          </a:extLst>
        </xdr:cNvPr>
        <xdr:cNvSpPr/>
      </xdr:nvSpPr>
      <xdr:spPr>
        <a:xfrm>
          <a:off x="288471" y="95250"/>
          <a:ext cx="2124075" cy="883732"/>
        </a:xfrm>
        <a:prstGeom prst="roundRect">
          <a:avLst/>
        </a:prstGeom>
        <a:solidFill>
          <a:srgbClr val="C00000"/>
        </a:solidFill>
        <a:ln>
          <a:noFill/>
        </a:ln>
      </xdr:spPr>
      <xdr:style>
        <a:lnRef idx="1">
          <a:schemeClr val="accent6"/>
        </a:lnRef>
        <a:fillRef idx="3">
          <a:schemeClr val="accent6"/>
        </a:fillRef>
        <a:effectRef idx="2">
          <a:schemeClr val="accent6"/>
        </a:effectRef>
        <a:fontRef idx="minor">
          <a:schemeClr val="lt1"/>
        </a:fontRef>
      </xdr:style>
      <xdr:txBody>
        <a:bodyPr vertOverflow="clip" rtlCol="0" anchor="ctr"/>
        <a:lstStyle/>
        <a:p>
          <a:pPr algn="ctr"/>
          <a:r>
            <a:rPr lang="pt-BR" sz="1600" b="1">
              <a:solidFill>
                <a:schemeClr val="bg1"/>
              </a:solidFill>
              <a:latin typeface="Georgia" pitchFamily="18" charset="0"/>
            </a:rPr>
            <a:t>Menu</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J25" totalsRowShown="0" headerRowDxfId="157" dataDxfId="156" headerRowBorderDxfId="154" tableBorderDxfId="155" totalsRowBorderDxfId="153">
  <autoFilter ref="B7:J25" xr:uid="{00000000-0009-0000-0100-000001000000}"/>
  <tableColumns count="9">
    <tableColumn id="4" xr3:uid="{00000000-0010-0000-0000-000004000000}" name="Ref." dataDxfId="152"/>
    <tableColumn id="1" xr3:uid="{00000000-0010-0000-0000-000001000000}" name="Processo" dataDxfId="151"/>
    <tableColumn id="2" xr3:uid="{00000000-0010-0000-0000-000002000000}" name="Risco" dataDxfId="150"/>
    <tableColumn id="3" xr3:uid="{00000000-0010-0000-0000-000003000000}" name="Recomendação" dataDxfId="149"/>
    <tableColumn id="10" xr3:uid="{00000000-0010-0000-0000-00000A000000}" name="Impacto" dataDxfId="148"/>
    <tableColumn id="11" xr3:uid="{00000000-0010-0000-0000-00000B000000}" name="Classificação do Risco" dataDxfId="147"/>
    <tableColumn id="6" xr3:uid="{00000000-0010-0000-0000-000006000000}" name="Probabilidade" dataDxfId="146"/>
    <tableColumn id="8" xr3:uid="{00000000-0010-0000-0000-000008000000}" name="Cálculo" dataDxfId="145">
      <calculatedColumnFormula>(IF(F8="1 - Muito Baixo",1,IF(F8="2 - Baixo",2,IF(F8="3 - Médio",3,IF(F8="4 - Alto",4,IF(F8="5 - Muito Alto",5,0))))))*(IF(H8="1 - Raramente",1,IF(H8="2 - Pouco Provável",2,IF(H8="3 - Possível",3,IF(H8="4 - Muito provável",4,IF(H8="5 - Quase Certa ocorrência",5,0))))))</calculatedColumnFormula>
    </tableColumn>
    <tableColumn id="7" xr3:uid="{00000000-0010-0000-0000-000007000000}" name="Análise de Risco" dataDxfId="144">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8:J16" totalsRowShown="0" headerRowDxfId="139" dataDxfId="138" headerRowBorderDxfId="136" tableBorderDxfId="137" totalsRowBorderDxfId="135">
  <autoFilter ref="B8:J16" xr:uid="{00000000-0009-0000-0100-000002000000}"/>
  <tableColumns count="9">
    <tableColumn id="4" xr3:uid="{00000000-0010-0000-0100-000004000000}" name="Ref." dataDxfId="134"/>
    <tableColumn id="1" xr3:uid="{00000000-0010-0000-0100-000001000000}" name="Processo" dataDxfId="133"/>
    <tableColumn id="2" xr3:uid="{00000000-0010-0000-0100-000002000000}" name="Risco" dataDxfId="132"/>
    <tableColumn id="6" xr3:uid="{00000000-0010-0000-0100-000006000000}" name="Recomendação" dataDxfId="131"/>
    <tableColumn id="5" xr3:uid="{00000000-0010-0000-0100-000005000000}" name="Impacto" dataDxfId="130"/>
    <tableColumn id="7" xr3:uid="{00000000-0010-0000-0100-000007000000}" name="Classificação do Risco" dataDxfId="129"/>
    <tableColumn id="8" xr3:uid="{00000000-0010-0000-0100-000008000000}" name="Probabilidade" dataDxfId="128"/>
    <tableColumn id="10" xr3:uid="{00000000-0010-0000-0100-00000A000000}" name="Cálculo" dataDxfId="127">
      <calculatedColumnFormula>(IF(F9="1 - Muito Baixo",1,IF(F9="2 - Baixo",2,IF(F9="3 - Médio",3,IF(F9="4 - Alto",4,IF(F9="5 - Muito Alto",5,0))))))*(IF(H9="1 - Raramente",1,IF(H9="2 - Pouco Provável",2,IF(H9="3 - Possível",3,IF(H9="4 - Muito provável",4,IF(H9="5 - Quase Certa ocorrência",5,0))))))</calculatedColumnFormula>
    </tableColumn>
    <tableColumn id="9" xr3:uid="{00000000-0010-0000-0100-000009000000}" name="Análise de Risco" dataDxfId="126">
      <calculatedColumnFormula>IF(I9=1,"Baixo (1)",IF(I9=2,"Baixo (2)",IF(I9=3,"Baixo (3)",IF(I9=4,"Baixo (4)",IF(I9=5,"Médio (5)",IF(I9=6,"Médio (6)",IF(I9=8,"Médio (8)",IF(I9=9,"Médio (9)",IF(I9=10,"Alto (10)",IF(I9=12,"Alto (12)",IF(I9=15,"Alto (15)",IF(I9=16,"Alto (16)",IF(I9=20,"Muito Alto (20)",IF(I9=25,"Muito Alto (25)","Erro"))))))))))))))</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B7:J8" totalsRowShown="0" headerRowDxfId="121" dataDxfId="120" headerRowBorderDxfId="118" tableBorderDxfId="119" totalsRowBorderDxfId="117">
  <autoFilter ref="B7:J8" xr:uid="{00000000-0009-0000-0100-000003000000}"/>
  <tableColumns count="9">
    <tableColumn id="4" xr3:uid="{00000000-0010-0000-0200-000004000000}" name="Ref." dataDxfId="116"/>
    <tableColumn id="1" xr3:uid="{00000000-0010-0000-0200-000001000000}" name="Processo" dataDxfId="115"/>
    <tableColumn id="2" xr3:uid="{00000000-0010-0000-0200-000002000000}" name="Risco" dataDxfId="114"/>
    <tableColumn id="6" xr3:uid="{00000000-0010-0000-0200-000006000000}" name="Recomendação" dataDxfId="113"/>
    <tableColumn id="5" xr3:uid="{00000000-0010-0000-0200-000005000000}" name="Impacto" dataDxfId="112"/>
    <tableColumn id="7" xr3:uid="{00000000-0010-0000-0200-000007000000}" name="Classificação do Risco" dataDxfId="111"/>
    <tableColumn id="8" xr3:uid="{00000000-0010-0000-0200-000008000000}" name="Probabilidade" dataDxfId="110"/>
    <tableColumn id="10" xr3:uid="{00000000-0010-0000-0200-00000A000000}" name="Cálculo" dataDxfId="109">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200-000009000000}" name="Análise de Risco" dataDxfId="108">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5" displayName="Table15" ref="B7:J10" totalsRowShown="0" headerRowDxfId="103" dataDxfId="102" headerRowBorderDxfId="100" tableBorderDxfId="101" totalsRowBorderDxfId="99">
  <autoFilter ref="B7:J10" xr:uid="{00000000-0009-0000-0100-000004000000}"/>
  <tableColumns count="9">
    <tableColumn id="4" xr3:uid="{00000000-0010-0000-0300-000004000000}" name="Ref." dataDxfId="98"/>
    <tableColumn id="1" xr3:uid="{00000000-0010-0000-0300-000001000000}" name="Processo" dataDxfId="97"/>
    <tableColumn id="2" xr3:uid="{00000000-0010-0000-0300-000002000000}" name="Risco" dataDxfId="96"/>
    <tableColumn id="6" xr3:uid="{00000000-0010-0000-0300-000006000000}" name="Recomendação" dataDxfId="95"/>
    <tableColumn id="5" xr3:uid="{00000000-0010-0000-0300-000005000000}" name="Impacto" dataDxfId="94"/>
    <tableColumn id="7" xr3:uid="{00000000-0010-0000-0300-000007000000}" name="Classificação do Risco" dataDxfId="93"/>
    <tableColumn id="8" xr3:uid="{00000000-0010-0000-0300-000008000000}" name="Probabilidade" dataDxfId="92"/>
    <tableColumn id="10" xr3:uid="{00000000-0010-0000-0300-00000A000000}" name="Cálculo" dataDxfId="91">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300-000009000000}" name="Análise de Risco" dataDxfId="90">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6" displayName="Table16" ref="B7:J15" totalsRowShown="0" headerRowDxfId="85" dataDxfId="84" headerRowBorderDxfId="82" tableBorderDxfId="83" totalsRowBorderDxfId="81">
  <autoFilter ref="B7:J15" xr:uid="{00000000-0009-0000-0100-000005000000}"/>
  <tableColumns count="9">
    <tableColumn id="4" xr3:uid="{00000000-0010-0000-0400-000004000000}" name="Ref." dataDxfId="80"/>
    <tableColumn id="1" xr3:uid="{00000000-0010-0000-0400-000001000000}" name="Processo" dataDxfId="79"/>
    <tableColumn id="2" xr3:uid="{00000000-0010-0000-0400-000002000000}" name="Risco" dataDxfId="78"/>
    <tableColumn id="6" xr3:uid="{00000000-0010-0000-0400-000006000000}" name="Recomendação" dataDxfId="77"/>
    <tableColumn id="5" xr3:uid="{00000000-0010-0000-0400-000005000000}" name="Impacto" dataDxfId="76"/>
    <tableColumn id="7" xr3:uid="{00000000-0010-0000-0400-000007000000}" name="Classificação do Risco" dataDxfId="75"/>
    <tableColumn id="8" xr3:uid="{00000000-0010-0000-0400-000008000000}" name="Probabilidade" dataDxfId="74"/>
    <tableColumn id="10" xr3:uid="{00000000-0010-0000-0400-00000A000000}" name="Cálculo" dataDxfId="73">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400-000009000000}" name="Análise de Risco" dataDxfId="72">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7" displayName="Table17" ref="B7:J9" totalsRowShown="0" headerRowDxfId="67" dataDxfId="66" headerRowBorderDxfId="64" tableBorderDxfId="65" totalsRowBorderDxfId="63">
  <autoFilter ref="B7:J9" xr:uid="{00000000-0009-0000-0100-000006000000}"/>
  <tableColumns count="9">
    <tableColumn id="4" xr3:uid="{00000000-0010-0000-0500-000004000000}" name="Ref." dataDxfId="62"/>
    <tableColumn id="1" xr3:uid="{00000000-0010-0000-0500-000001000000}" name="Processo" dataDxfId="61"/>
    <tableColumn id="2" xr3:uid="{00000000-0010-0000-0500-000002000000}" name="Risco" dataDxfId="60"/>
    <tableColumn id="6" xr3:uid="{00000000-0010-0000-0500-000006000000}" name="Recomendação" dataDxfId="59"/>
    <tableColumn id="5" xr3:uid="{00000000-0010-0000-0500-000005000000}" name="Impacto" dataDxfId="58"/>
    <tableColumn id="7" xr3:uid="{00000000-0010-0000-0500-000007000000}" name="Classificação do Risco" dataDxfId="57"/>
    <tableColumn id="8" xr3:uid="{00000000-0010-0000-0500-000008000000}" name="Probabilidade" dataDxfId="56"/>
    <tableColumn id="10" xr3:uid="{00000000-0010-0000-0500-00000A000000}" name="Cálculo" dataDxfId="55">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500-000009000000}" name="Análise de Risco" dataDxfId="54">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8" displayName="Table18" ref="B7:J13" totalsRowShown="0" headerRowDxfId="49" dataDxfId="48" headerRowBorderDxfId="46" tableBorderDxfId="47" totalsRowBorderDxfId="45">
  <autoFilter ref="B7:J13" xr:uid="{00000000-0009-0000-0100-000007000000}"/>
  <tableColumns count="9">
    <tableColumn id="4" xr3:uid="{00000000-0010-0000-0600-000004000000}" name="Ref." dataDxfId="44"/>
    <tableColumn id="1" xr3:uid="{00000000-0010-0000-0600-000001000000}" name="Processo" dataDxfId="43"/>
    <tableColumn id="2" xr3:uid="{00000000-0010-0000-0600-000002000000}" name="Risco" dataDxfId="42"/>
    <tableColumn id="6" xr3:uid="{00000000-0010-0000-0600-000006000000}" name="Recomendação" dataDxfId="41"/>
    <tableColumn id="5" xr3:uid="{00000000-0010-0000-0600-000005000000}" name="Impacto" dataDxfId="40"/>
    <tableColumn id="7" xr3:uid="{00000000-0010-0000-0600-000007000000}" name="Classificação do Risco" dataDxfId="39"/>
    <tableColumn id="8" xr3:uid="{00000000-0010-0000-0600-000008000000}" name="Probabilidade" dataDxfId="38"/>
    <tableColumn id="10" xr3:uid="{00000000-0010-0000-0600-00000A000000}" name="Cálculo" dataDxfId="37">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600-000009000000}" name="Análise de Risco" dataDxfId="36">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9" displayName="Table19" ref="B7:J10" totalsRowShown="0" headerRowDxfId="31" dataDxfId="30" headerRowBorderDxfId="28" tableBorderDxfId="29" totalsRowBorderDxfId="27">
  <autoFilter ref="B7:J10" xr:uid="{00000000-0009-0000-0100-000008000000}"/>
  <tableColumns count="9">
    <tableColumn id="4" xr3:uid="{00000000-0010-0000-0700-000004000000}" name="Ref." dataDxfId="26"/>
    <tableColumn id="1" xr3:uid="{00000000-0010-0000-0700-000001000000}" name="Processo" dataDxfId="25"/>
    <tableColumn id="2" xr3:uid="{00000000-0010-0000-0700-000002000000}" name="Risco" dataDxfId="24"/>
    <tableColumn id="6" xr3:uid="{00000000-0010-0000-0700-000006000000}" name="Recomendação" dataDxfId="23"/>
    <tableColumn id="5" xr3:uid="{00000000-0010-0000-0700-000005000000}" name="Impacto" dataDxfId="22"/>
    <tableColumn id="7" xr3:uid="{00000000-0010-0000-0700-000007000000}" name="Classificação do Risco" dataDxfId="21"/>
    <tableColumn id="8" xr3:uid="{00000000-0010-0000-0700-000008000000}" name="Probabilidade" dataDxfId="20"/>
    <tableColumn id="10" xr3:uid="{00000000-0010-0000-0700-00000A000000}" name="Cálculo" dataDxfId="19">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700-000009000000}" name="Análise de Risco" dataDxfId="18">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10" displayName="Table110" ref="B7:J9" totalsRowShown="0" headerRowDxfId="13" dataDxfId="12" headerRowBorderDxfId="10" tableBorderDxfId="11" totalsRowBorderDxfId="9">
  <autoFilter ref="B7:J9" xr:uid="{00000000-0009-0000-0100-000009000000}"/>
  <tableColumns count="9">
    <tableColumn id="4" xr3:uid="{00000000-0010-0000-0800-000004000000}" name="Ref." dataDxfId="8"/>
    <tableColumn id="1" xr3:uid="{00000000-0010-0000-0800-000001000000}" name="Processo" dataDxfId="7"/>
    <tableColumn id="2" xr3:uid="{00000000-0010-0000-0800-000002000000}" name="Risco" dataDxfId="6"/>
    <tableColumn id="6" xr3:uid="{00000000-0010-0000-0800-000006000000}" name="Recomendação" dataDxfId="5"/>
    <tableColumn id="5" xr3:uid="{00000000-0010-0000-0800-000005000000}" name="Impacto" dataDxfId="4"/>
    <tableColumn id="7" xr3:uid="{00000000-0010-0000-0800-000007000000}" name="Classificação do Risco" dataDxfId="3"/>
    <tableColumn id="8" xr3:uid="{00000000-0010-0000-0800-000008000000}" name="Probabilidade" dataDxfId="2"/>
    <tableColumn id="10" xr3:uid="{00000000-0010-0000-0800-00000A000000}" name="Cálculo" dataDxfId="1">
      <calculatedColumnFormula>(IF(F8="1 - Muito Baixo",1,IF(F8="2 - Baixo",2,IF(F8="3 - Médio",3,IF(F8="4 - Alto",4,IF(F8="5 - Muito Alto",5,0))))))*(IF(H8="1 - Raramente",1,IF(H8="2 - Pouco Provável",2,IF(H8="3 - Possível",3,IF(H8="4 - Muito provável",4,IF(H8="5 - Quase Certa ocorrência",5,0))))))</calculatedColumnFormula>
    </tableColumn>
    <tableColumn id="9" xr3:uid="{00000000-0010-0000-0800-000009000000}" name="Análise de Risco" dataDxfId="0">
      <calculatedColumnFormula>IF(I8=1,"Baixo (1)",IF(I8=2,"Baixo (2)",IF(I8=3,"Baixo (3)",IF(I8=4,"Baixo (4)",IF(I8=5,"Médio (5)",IF(I8=6,"Médio (6)",IF(I8=8,"Médio (8)",IF(I8=9,"Médio (9)",IF(I8=10,"Alto (10)",IF(I8=12,"Alto (12)",IF(I8=15,"Alto (15)",IF(I8=16,"Alto (16)",IF(I8=20,"Muito Alto (20)",IF(I8=25,"Muito Alto (25)","Erro"))))))))))))))</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4:U6"/>
  <sheetViews>
    <sheetView showGridLines="0" tabSelected="1" zoomScale="85" zoomScaleNormal="85" workbookViewId="0"/>
  </sheetViews>
  <sheetFormatPr defaultRowHeight="14.45"/>
  <sheetData>
    <row r="4" spans="5:21" ht="18" customHeight="1">
      <c r="E4" s="55" t="s">
        <v>0</v>
      </c>
      <c r="F4" s="55"/>
      <c r="G4" s="55"/>
      <c r="H4" s="55"/>
      <c r="I4" s="55"/>
      <c r="J4" s="55"/>
      <c r="K4" s="55"/>
      <c r="L4" s="55"/>
      <c r="M4" s="55"/>
      <c r="N4" s="55"/>
      <c r="O4" s="55"/>
      <c r="P4" s="55"/>
      <c r="Q4" s="55"/>
      <c r="R4" s="55"/>
      <c r="S4" s="55"/>
      <c r="T4" s="55"/>
      <c r="U4" s="55"/>
    </row>
    <row r="5" spans="5:21" ht="18" customHeight="1">
      <c r="E5" s="55"/>
      <c r="F5" s="55"/>
      <c r="G5" s="55"/>
      <c r="H5" s="55"/>
      <c r="I5" s="55"/>
      <c r="J5" s="55"/>
      <c r="K5" s="55"/>
      <c r="L5" s="55"/>
      <c r="M5" s="55"/>
      <c r="N5" s="55"/>
      <c r="O5" s="55"/>
      <c r="P5" s="55"/>
      <c r="Q5" s="55"/>
      <c r="R5" s="55"/>
      <c r="S5" s="55"/>
      <c r="T5" s="55"/>
      <c r="U5" s="55"/>
    </row>
    <row r="6" spans="5:21" ht="18" customHeight="1">
      <c r="E6" s="55"/>
      <c r="F6" s="55"/>
      <c r="G6" s="55"/>
      <c r="H6" s="55"/>
      <c r="I6" s="55"/>
      <c r="J6" s="55"/>
      <c r="K6" s="55"/>
      <c r="L6" s="55"/>
      <c r="M6" s="55"/>
      <c r="N6" s="55"/>
      <c r="O6" s="55"/>
      <c r="P6" s="55"/>
      <c r="Q6" s="55"/>
      <c r="R6" s="55"/>
      <c r="S6" s="55"/>
      <c r="T6" s="55"/>
      <c r="U6" s="55"/>
    </row>
  </sheetData>
  <mergeCells count="1">
    <mergeCell ref="E4:U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6:S50"/>
  <sheetViews>
    <sheetView showGridLines="0" topLeftCell="A4" zoomScale="98" zoomScaleNormal="98" workbookViewId="0">
      <selection activeCell="E8" sqref="E8"/>
    </sheetView>
  </sheetViews>
  <sheetFormatPr defaultColWidth="9.140625" defaultRowHeight="13.15"/>
  <cols>
    <col min="1" max="1" width="2.5703125" style="1" customWidth="1"/>
    <col min="2" max="2" width="17.5703125" style="7" customWidth="1"/>
    <col min="3" max="3" width="21.42578125" style="8" customWidth="1"/>
    <col min="4" max="4" width="81.140625" style="8" customWidth="1"/>
    <col min="5" max="5" width="87.7109375" style="7" customWidth="1"/>
    <col min="6" max="6" width="14" style="1" bestFit="1" customWidth="1"/>
    <col min="7" max="7" width="28.28515625" style="1" bestFit="1" customWidth="1"/>
    <col min="8" max="8" width="18.42578125" style="1" customWidth="1"/>
    <col min="9" max="9" width="11.7109375" style="1" bestFit="1" customWidth="1"/>
    <col min="10" max="10" width="23.5703125" style="1" bestFit="1" customWidth="1"/>
    <col min="11" max="16384" width="9.140625" style="1"/>
  </cols>
  <sheetData>
    <row r="6" spans="2:10" ht="22.9">
      <c r="F6" s="57" t="s">
        <v>1</v>
      </c>
      <c r="G6" s="57"/>
      <c r="H6" s="57"/>
      <c r="I6" s="57"/>
      <c r="J6" s="57"/>
    </row>
    <row r="7" spans="2:10" ht="43.5" customHeight="1">
      <c r="B7" s="2" t="s">
        <v>2</v>
      </c>
      <c r="C7" s="2" t="s">
        <v>3</v>
      </c>
      <c r="D7" s="3" t="s">
        <v>4</v>
      </c>
      <c r="E7" s="3" t="s">
        <v>5</v>
      </c>
      <c r="F7" s="24" t="s">
        <v>6</v>
      </c>
      <c r="G7" s="24" t="s">
        <v>7</v>
      </c>
      <c r="H7" s="24" t="s">
        <v>8</v>
      </c>
      <c r="I7" s="24" t="s">
        <v>9</v>
      </c>
      <c r="J7" s="24" t="s">
        <v>1</v>
      </c>
    </row>
    <row r="8" spans="2:10" ht="52.9">
      <c r="B8" s="6" t="s">
        <v>10</v>
      </c>
      <c r="C8" s="4" t="s">
        <v>11</v>
      </c>
      <c r="D8" s="5" t="s">
        <v>12</v>
      </c>
      <c r="E8" s="5" t="s">
        <v>13</v>
      </c>
      <c r="F8" s="14" t="s">
        <v>14</v>
      </c>
      <c r="G8" s="5" t="s">
        <v>15</v>
      </c>
      <c r="H8" s="14" t="s">
        <v>16</v>
      </c>
      <c r="I8" s="14">
        <f t="shared" ref="I8:I25" si="0">(IF(F8="1 - Muito Baixo",1,IF(F8="2 - Baixo",2,IF(F8="3 - Médio",3,IF(F8="4 - Alto",4,IF(F8="5 - Muito Alto",5,0))))))*(IF(H8="1 - Raramente",1,IF(H8="2 - Pouco Provável",2,IF(H8="3 - Possível",3,IF(H8="4 - Muito provável",4,IF(H8="5 - Quase Certa ocorrência",5,0))))))</f>
        <v>15</v>
      </c>
      <c r="J8" s="14" t="str">
        <f t="shared" ref="J8:J25" si="1">IF(I8=1,"Baixo (1)",IF(I8=2,"Baixo (2)",IF(I8=3,"Baixo (3)",IF(I8=4,"Baixo (4)",IF(I8=5,"Médio (5)",IF(I8=6,"Médio (6)",IF(I8=8,"Médio (8)",IF(I8=9,"Médio (9)",IF(I8=10,"Alto (10)",IF(I8=12,"Alto (12)",IF(I8=15,"Alto (15)",IF(I8=16,"Alto (16)",IF(I8=20,"Muito Alto (20)",IF(I8=25,"Muito Alto (25)","Erro"))))))))))))))</f>
        <v>Alto (15)</v>
      </c>
    </row>
    <row r="9" spans="2:10" ht="39.6">
      <c r="B9" s="6" t="s">
        <v>17</v>
      </c>
      <c r="C9" s="4" t="s">
        <v>11</v>
      </c>
      <c r="D9" s="5" t="s">
        <v>18</v>
      </c>
      <c r="E9" s="5" t="s">
        <v>19</v>
      </c>
      <c r="F9" s="14" t="s">
        <v>14</v>
      </c>
      <c r="G9" s="14" t="s">
        <v>20</v>
      </c>
      <c r="H9" s="14" t="s">
        <v>16</v>
      </c>
      <c r="I9" s="14">
        <f t="shared" si="0"/>
        <v>15</v>
      </c>
      <c r="J9" s="14" t="str">
        <f t="shared" si="1"/>
        <v>Alto (15)</v>
      </c>
    </row>
    <row r="10" spans="2:10" ht="39.6">
      <c r="B10" s="6" t="s">
        <v>21</v>
      </c>
      <c r="C10" s="4" t="s">
        <v>11</v>
      </c>
      <c r="D10" s="5" t="s">
        <v>22</v>
      </c>
      <c r="E10" s="5" t="s">
        <v>23</v>
      </c>
      <c r="F10" s="14" t="s">
        <v>14</v>
      </c>
      <c r="G10" s="14" t="s">
        <v>20</v>
      </c>
      <c r="H10" s="14" t="s">
        <v>16</v>
      </c>
      <c r="I10" s="14">
        <f t="shared" si="0"/>
        <v>15</v>
      </c>
      <c r="J10" s="14" t="str">
        <f t="shared" si="1"/>
        <v>Alto (15)</v>
      </c>
    </row>
    <row r="11" spans="2:10" ht="118.9">
      <c r="B11" s="6" t="s">
        <v>24</v>
      </c>
      <c r="C11" s="4" t="s">
        <v>11</v>
      </c>
      <c r="D11" s="5" t="s">
        <v>25</v>
      </c>
      <c r="E11" s="5" t="s">
        <v>26</v>
      </c>
      <c r="F11" s="14" t="s">
        <v>14</v>
      </c>
      <c r="G11" s="14" t="s">
        <v>20</v>
      </c>
      <c r="H11" s="14" t="s">
        <v>16</v>
      </c>
      <c r="I11" s="14">
        <f t="shared" si="0"/>
        <v>15</v>
      </c>
      <c r="J11" s="14" t="str">
        <f t="shared" si="1"/>
        <v>Alto (15)</v>
      </c>
    </row>
    <row r="12" spans="2:10" ht="39.6">
      <c r="B12" s="6" t="s">
        <v>27</v>
      </c>
      <c r="C12" s="4" t="s">
        <v>11</v>
      </c>
      <c r="D12" s="5" t="s">
        <v>28</v>
      </c>
      <c r="E12" s="5" t="s">
        <v>29</v>
      </c>
      <c r="F12" s="14" t="s">
        <v>30</v>
      </c>
      <c r="G12" s="14" t="s">
        <v>20</v>
      </c>
      <c r="H12" s="14" t="s">
        <v>16</v>
      </c>
      <c r="I12" s="14">
        <f t="shared" si="0"/>
        <v>12</v>
      </c>
      <c r="J12" s="14" t="str">
        <f t="shared" si="1"/>
        <v>Alto (12)</v>
      </c>
    </row>
    <row r="13" spans="2:10" ht="35.25" customHeight="1">
      <c r="B13" s="6" t="s">
        <v>31</v>
      </c>
      <c r="C13" s="4" t="s">
        <v>11</v>
      </c>
      <c r="D13" s="5" t="s">
        <v>32</v>
      </c>
      <c r="E13" s="5" t="s">
        <v>33</v>
      </c>
      <c r="F13" s="14" t="s">
        <v>14</v>
      </c>
      <c r="G13" s="14" t="s">
        <v>20</v>
      </c>
      <c r="H13" s="14" t="s">
        <v>16</v>
      </c>
      <c r="I13" s="14">
        <f t="shared" si="0"/>
        <v>15</v>
      </c>
      <c r="J13" s="14" t="str">
        <f t="shared" si="1"/>
        <v>Alto (15)</v>
      </c>
    </row>
    <row r="14" spans="2:10" ht="39.6">
      <c r="B14" s="6" t="s">
        <v>34</v>
      </c>
      <c r="C14" s="4" t="s">
        <v>11</v>
      </c>
      <c r="D14" s="5" t="s">
        <v>35</v>
      </c>
      <c r="E14" s="5" t="s">
        <v>36</v>
      </c>
      <c r="F14" s="14" t="s">
        <v>14</v>
      </c>
      <c r="G14" s="5" t="s">
        <v>37</v>
      </c>
      <c r="H14" s="14" t="s">
        <v>16</v>
      </c>
      <c r="I14" s="14">
        <f t="shared" si="0"/>
        <v>15</v>
      </c>
      <c r="J14" s="14" t="str">
        <f t="shared" si="1"/>
        <v>Alto (15)</v>
      </c>
    </row>
    <row r="15" spans="2:10" ht="39.6">
      <c r="B15" s="6" t="s">
        <v>38</v>
      </c>
      <c r="C15" s="4" t="s">
        <v>11</v>
      </c>
      <c r="D15" s="5" t="s">
        <v>39</v>
      </c>
      <c r="E15" s="5" t="s">
        <v>40</v>
      </c>
      <c r="F15" s="14" t="s">
        <v>14</v>
      </c>
      <c r="G15" s="14" t="s">
        <v>41</v>
      </c>
      <c r="H15" s="14" t="s">
        <v>16</v>
      </c>
      <c r="I15" s="14">
        <f t="shared" si="0"/>
        <v>15</v>
      </c>
      <c r="J15" s="14" t="str">
        <f t="shared" si="1"/>
        <v>Alto (15)</v>
      </c>
    </row>
    <row r="16" spans="2:10" ht="41.25" customHeight="1">
      <c r="B16" s="6" t="s">
        <v>42</v>
      </c>
      <c r="C16" s="4" t="s">
        <v>11</v>
      </c>
      <c r="D16" s="5" t="s">
        <v>43</v>
      </c>
      <c r="E16" s="5" t="s">
        <v>44</v>
      </c>
      <c r="F16" s="14" t="s">
        <v>45</v>
      </c>
      <c r="G16" s="14" t="s">
        <v>41</v>
      </c>
      <c r="H16" s="14" t="s">
        <v>16</v>
      </c>
      <c r="I16" s="14">
        <f t="shared" si="0"/>
        <v>3</v>
      </c>
      <c r="J16" s="14" t="str">
        <f t="shared" si="1"/>
        <v>Baixo (3)</v>
      </c>
    </row>
    <row r="17" spans="2:19" ht="79.150000000000006">
      <c r="B17" s="6" t="s">
        <v>46</v>
      </c>
      <c r="C17" s="4" t="s">
        <v>11</v>
      </c>
      <c r="D17" s="5" t="s">
        <v>47</v>
      </c>
      <c r="E17" s="5" t="s">
        <v>48</v>
      </c>
      <c r="F17" s="14" t="s">
        <v>45</v>
      </c>
      <c r="G17" s="14" t="s">
        <v>41</v>
      </c>
      <c r="H17" s="14" t="s">
        <v>16</v>
      </c>
      <c r="I17" s="14">
        <f t="shared" si="0"/>
        <v>3</v>
      </c>
      <c r="J17" s="14" t="str">
        <f t="shared" si="1"/>
        <v>Baixo (3)</v>
      </c>
    </row>
    <row r="18" spans="2:19" ht="52.9">
      <c r="B18" s="6" t="s">
        <v>49</v>
      </c>
      <c r="C18" s="4" t="s">
        <v>11</v>
      </c>
      <c r="D18" s="5" t="s">
        <v>50</v>
      </c>
      <c r="E18" s="5" t="s">
        <v>51</v>
      </c>
      <c r="F18" s="14" t="s">
        <v>14</v>
      </c>
      <c r="G18" s="14" t="s">
        <v>52</v>
      </c>
      <c r="H18" s="14" t="s">
        <v>53</v>
      </c>
      <c r="I18" s="14">
        <f t="shared" si="0"/>
        <v>20</v>
      </c>
      <c r="J18" s="14" t="str">
        <f t="shared" si="1"/>
        <v>Muito Alto (20)</v>
      </c>
    </row>
    <row r="19" spans="2:19" ht="39.6">
      <c r="B19" s="6" t="s">
        <v>54</v>
      </c>
      <c r="C19" s="4" t="s">
        <v>11</v>
      </c>
      <c r="D19" s="5" t="s">
        <v>55</v>
      </c>
      <c r="E19" s="5" t="s">
        <v>56</v>
      </c>
      <c r="F19" s="14" t="s">
        <v>14</v>
      </c>
      <c r="G19" s="5" t="s">
        <v>15</v>
      </c>
      <c r="H19" s="14" t="s">
        <v>16</v>
      </c>
      <c r="I19" s="14">
        <f t="shared" si="0"/>
        <v>15</v>
      </c>
      <c r="J19" s="14" t="str">
        <f t="shared" si="1"/>
        <v>Alto (15)</v>
      </c>
    </row>
    <row r="20" spans="2:19" ht="26.45">
      <c r="B20" s="6" t="s">
        <v>57</v>
      </c>
      <c r="C20" s="4" t="s">
        <v>11</v>
      </c>
      <c r="D20" s="5" t="s">
        <v>58</v>
      </c>
      <c r="E20" s="5" t="s">
        <v>59</v>
      </c>
      <c r="F20" s="14" t="s">
        <v>14</v>
      </c>
      <c r="G20" s="5" t="s">
        <v>60</v>
      </c>
      <c r="H20" s="14" t="s">
        <v>16</v>
      </c>
      <c r="I20" s="14">
        <f t="shared" si="0"/>
        <v>15</v>
      </c>
      <c r="J20" s="14" t="str">
        <f t="shared" si="1"/>
        <v>Alto (15)</v>
      </c>
    </row>
    <row r="21" spans="2:19" ht="26.45">
      <c r="B21" s="6" t="s">
        <v>61</v>
      </c>
      <c r="C21" s="4" t="s">
        <v>11</v>
      </c>
      <c r="D21" s="5" t="s">
        <v>62</v>
      </c>
      <c r="E21" s="5" t="s">
        <v>63</v>
      </c>
      <c r="F21" s="14" t="s">
        <v>14</v>
      </c>
      <c r="G21" s="5" t="s">
        <v>15</v>
      </c>
      <c r="H21" s="14" t="s">
        <v>16</v>
      </c>
      <c r="I21" s="14">
        <f t="shared" si="0"/>
        <v>15</v>
      </c>
      <c r="J21" s="14" t="str">
        <f t="shared" si="1"/>
        <v>Alto (15)</v>
      </c>
    </row>
    <row r="22" spans="2:19" ht="26.45">
      <c r="B22" s="6" t="s">
        <v>64</v>
      </c>
      <c r="C22" s="4" t="s">
        <v>11</v>
      </c>
      <c r="D22" s="5" t="s">
        <v>65</v>
      </c>
      <c r="E22" s="5" t="s">
        <v>66</v>
      </c>
      <c r="F22" s="14" t="s">
        <v>14</v>
      </c>
      <c r="G22" s="5" t="s">
        <v>15</v>
      </c>
      <c r="H22" s="14" t="s">
        <v>16</v>
      </c>
      <c r="I22" s="14">
        <f t="shared" si="0"/>
        <v>15</v>
      </c>
      <c r="J22" s="14" t="str">
        <f t="shared" si="1"/>
        <v>Alto (15)</v>
      </c>
    </row>
    <row r="23" spans="2:19" ht="39.6">
      <c r="B23" s="6" t="s">
        <v>67</v>
      </c>
      <c r="C23" s="4" t="s">
        <v>11</v>
      </c>
      <c r="D23" s="5" t="s">
        <v>68</v>
      </c>
      <c r="E23" s="5" t="s">
        <v>69</v>
      </c>
      <c r="F23" s="14" t="s">
        <v>14</v>
      </c>
      <c r="G23" s="5" t="s">
        <v>15</v>
      </c>
      <c r="H23" s="14" t="s">
        <v>16</v>
      </c>
      <c r="I23" s="14">
        <f t="shared" si="0"/>
        <v>15</v>
      </c>
      <c r="J23" s="14" t="str">
        <f t="shared" si="1"/>
        <v>Alto (15)</v>
      </c>
    </row>
    <row r="24" spans="2:19" ht="39.6">
      <c r="B24" s="6" t="s">
        <v>70</v>
      </c>
      <c r="C24" s="4" t="s">
        <v>11</v>
      </c>
      <c r="D24" s="5" t="s">
        <v>71</v>
      </c>
      <c r="E24" s="5" t="s">
        <v>72</v>
      </c>
      <c r="F24" s="14" t="s">
        <v>14</v>
      </c>
      <c r="G24" s="5" t="s">
        <v>15</v>
      </c>
      <c r="H24" s="14" t="s">
        <v>16</v>
      </c>
      <c r="I24" s="14">
        <f t="shared" si="0"/>
        <v>15</v>
      </c>
      <c r="J24" s="14" t="str">
        <f t="shared" si="1"/>
        <v>Alto (15)</v>
      </c>
    </row>
    <row r="25" spans="2:19" ht="39.6">
      <c r="B25" s="6" t="s">
        <v>73</v>
      </c>
      <c r="C25" s="4" t="s">
        <v>11</v>
      </c>
      <c r="D25" s="5" t="s">
        <v>74</v>
      </c>
      <c r="E25" s="5" t="s">
        <v>75</v>
      </c>
      <c r="F25" s="14" t="s">
        <v>14</v>
      </c>
      <c r="G25" s="5" t="s">
        <v>15</v>
      </c>
      <c r="H25" s="14" t="s">
        <v>16</v>
      </c>
      <c r="I25" s="14">
        <f t="shared" si="0"/>
        <v>15</v>
      </c>
      <c r="J25" s="14" t="str">
        <f t="shared" si="1"/>
        <v>Alto (15)</v>
      </c>
    </row>
    <row r="28" spans="2:19" ht="31.15">
      <c r="B28" s="29"/>
      <c r="S28" s="30" t="s">
        <v>8</v>
      </c>
    </row>
    <row r="37" spans="6:6">
      <c r="F37" s="56"/>
    </row>
    <row r="38" spans="6:6">
      <c r="F38" s="56"/>
    </row>
    <row r="39" spans="6:6">
      <c r="F39" s="56"/>
    </row>
    <row r="40" spans="6:6">
      <c r="F40" s="56"/>
    </row>
    <row r="41" spans="6:6">
      <c r="F41" s="56"/>
    </row>
    <row r="42" spans="6:6">
      <c r="F42" s="56"/>
    </row>
    <row r="43" spans="6:6">
      <c r="F43" s="56"/>
    </row>
    <row r="44" spans="6:6">
      <c r="F44" s="56"/>
    </row>
    <row r="45" spans="6:6">
      <c r="F45" s="56"/>
    </row>
    <row r="46" spans="6:6">
      <c r="F46" s="56"/>
    </row>
    <row r="47" spans="6:6">
      <c r="F47" s="56"/>
    </row>
    <row r="48" spans="6:6">
      <c r="F48" s="56"/>
    </row>
    <row r="49" spans="6:6">
      <c r="F49" s="56"/>
    </row>
    <row r="50" spans="6:6">
      <c r="F50" s="56"/>
    </row>
  </sheetData>
  <mergeCells count="2">
    <mergeCell ref="F37:F50"/>
    <mergeCell ref="F6:J6"/>
  </mergeCells>
  <conditionalFormatting sqref="J8:J25">
    <cfRule type="containsText" dxfId="161" priority="1" operator="containsText" text="Baixo">
      <formula>NOT(ISERROR(SEARCH("Baixo",J8)))</formula>
    </cfRule>
    <cfRule type="containsText" dxfId="160" priority="2" operator="containsText" text="Médio">
      <formula>NOT(ISERROR(SEARCH("Médio",J8)))</formula>
    </cfRule>
    <cfRule type="containsText" dxfId="159" priority="3" operator="containsText" text="Muito Alto">
      <formula>NOT(ISERROR(SEARCH("Muito Alto",J8)))</formula>
    </cfRule>
    <cfRule type="containsText" dxfId="158" priority="4" operator="containsText" text="Alto">
      <formula>NOT(ISERROR(SEARCH("Alto",J8)))</formula>
    </cfRule>
  </conditionalFormatting>
  <dataValidations count="2">
    <dataValidation type="list" allowBlank="1" showInputMessage="1" showErrorMessage="1" sqref="F8:F25" xr:uid="{00000000-0002-0000-0100-000000000000}">
      <formula1>"1 - Muito Baixo, 2 - Baixo, 3 - Médio, 4 - Alto, 5 - Muito Alto,"</formula1>
    </dataValidation>
    <dataValidation type="list" allowBlank="1" showInputMessage="1" showErrorMessage="1" sqref="H8:H25" xr:uid="{00000000-0002-0000-0100-000001000000}">
      <formula1>"5 - Quase Certa ocorrência, 4 - Muito provável, 3 - Possível, 2 - Pouco provável, 1 - Raramente"</formula1>
    </dataValidation>
  </dataValidations>
  <pageMargins left="0.7" right="0.7" top="0.75" bottom="0.75" header="0.3" footer="0.3"/>
  <pageSetup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B7:J16"/>
  <sheetViews>
    <sheetView showGridLines="0" topLeftCell="E9" zoomScale="80" zoomScaleNormal="80" workbookViewId="0">
      <selection activeCell="I9" sqref="I9"/>
    </sheetView>
  </sheetViews>
  <sheetFormatPr defaultColWidth="9.140625" defaultRowHeight="13.15"/>
  <cols>
    <col min="1" max="1" width="2.5703125" style="1" customWidth="1"/>
    <col min="2" max="2" width="17.5703125" style="7" customWidth="1"/>
    <col min="3" max="3" width="21.42578125" style="8" customWidth="1"/>
    <col min="4" max="5" width="81.140625" style="8" customWidth="1"/>
    <col min="6" max="6" width="24.28515625" style="1" customWidth="1"/>
    <col min="7" max="7" width="30.85546875" style="1" customWidth="1"/>
    <col min="8" max="8" width="26" style="1" customWidth="1"/>
    <col min="9" max="9" width="12.7109375" style="1" bestFit="1" customWidth="1"/>
    <col min="10" max="10" width="25.28515625" style="1" customWidth="1"/>
    <col min="11" max="16384" width="9.140625" style="1"/>
  </cols>
  <sheetData>
    <row r="7" spans="2:10" ht="22.9">
      <c r="F7" s="57" t="s">
        <v>1</v>
      </c>
      <c r="G7" s="57"/>
      <c r="H7" s="57"/>
      <c r="I7" s="57"/>
      <c r="J7" s="57"/>
    </row>
    <row r="8" spans="2:10" ht="43.5" customHeight="1">
      <c r="B8" s="2" t="s">
        <v>2</v>
      </c>
      <c r="C8" s="2" t="s">
        <v>3</v>
      </c>
      <c r="D8" s="3" t="s">
        <v>4</v>
      </c>
      <c r="E8" s="3" t="s">
        <v>5</v>
      </c>
      <c r="F8" s="24" t="s">
        <v>6</v>
      </c>
      <c r="G8" s="24" t="s">
        <v>7</v>
      </c>
      <c r="H8" s="23" t="s">
        <v>8</v>
      </c>
      <c r="I8" s="24" t="s">
        <v>9</v>
      </c>
      <c r="J8" s="24" t="s">
        <v>1</v>
      </c>
    </row>
    <row r="9" spans="2:10" ht="105.6">
      <c r="B9" s="9" t="s">
        <v>76</v>
      </c>
      <c r="C9" s="4" t="s">
        <v>77</v>
      </c>
      <c r="D9" s="5" t="s">
        <v>78</v>
      </c>
      <c r="E9" s="5" t="s">
        <v>79</v>
      </c>
      <c r="F9" s="14" t="s">
        <v>14</v>
      </c>
      <c r="G9" s="5" t="s">
        <v>80</v>
      </c>
      <c r="H9" s="14" t="s">
        <v>53</v>
      </c>
      <c r="I9" s="14">
        <f t="shared" ref="I9:I16" si="0">(IF(F9="1 - Muito Baixo",1,IF(F9="2 - Baixo",2,IF(F9="3 - Médio",3,IF(F9="4 - Alto",4,IF(F9="5 - Muito Alto",5,0))))))*(IF(H9="1 - Raramente",1,IF(H9="2 - Pouco Provável",2,IF(H9="3 - Possível",3,IF(H9="4 - Muito provável",4,IF(H9="5 - Quase Certa ocorrência",5,0))))))</f>
        <v>20</v>
      </c>
      <c r="J9" s="14" t="str">
        <f t="shared" ref="J9:J16" si="1">IF(I9=1,"Baixo (1)",IF(I9=2,"Baixo (2)",IF(I9=3,"Baixo (3)",IF(I9=4,"Baixo (4)",IF(I9=5,"Médio (5)",IF(I9=6,"Médio (6)",IF(I9=8,"Médio (8)",IF(I9=9,"Médio (9)",IF(I9=10,"Alto (10)",IF(I9=12,"Alto (12)",IF(I9=15,"Alto (15)",IF(I9=16,"Alto (16)",IF(I9=20,"Muito Alto (20)",IF(I9=25,"Muito Alto (25)","Erro"))))))))))))))</f>
        <v>Muito Alto (20)</v>
      </c>
    </row>
    <row r="10" spans="2:10" ht="92.45">
      <c r="B10" s="9" t="s">
        <v>81</v>
      </c>
      <c r="C10" s="4" t="s">
        <v>77</v>
      </c>
      <c r="D10" s="5" t="s">
        <v>82</v>
      </c>
      <c r="E10" s="5" t="s">
        <v>83</v>
      </c>
      <c r="F10" s="14" t="s">
        <v>14</v>
      </c>
      <c r="G10" s="5" t="s">
        <v>80</v>
      </c>
      <c r="H10" s="14" t="s">
        <v>53</v>
      </c>
      <c r="I10" s="5">
        <f t="shared" si="0"/>
        <v>20</v>
      </c>
      <c r="J10" s="14" t="str">
        <f t="shared" si="1"/>
        <v>Muito Alto (20)</v>
      </c>
    </row>
    <row r="11" spans="2:10" ht="66">
      <c r="B11" s="9" t="s">
        <v>84</v>
      </c>
      <c r="C11" s="4" t="s">
        <v>77</v>
      </c>
      <c r="D11" s="5" t="s">
        <v>85</v>
      </c>
      <c r="E11" s="5" t="s">
        <v>86</v>
      </c>
      <c r="F11" s="14" t="s">
        <v>14</v>
      </c>
      <c r="G11" s="5" t="s">
        <v>20</v>
      </c>
      <c r="H11" s="14" t="s">
        <v>16</v>
      </c>
      <c r="I11" s="5">
        <f t="shared" si="0"/>
        <v>15</v>
      </c>
      <c r="J11" s="14" t="str">
        <f t="shared" si="1"/>
        <v>Alto (15)</v>
      </c>
    </row>
    <row r="12" spans="2:10" ht="52.9">
      <c r="B12" s="9" t="s">
        <v>87</v>
      </c>
      <c r="C12" s="4" t="s">
        <v>77</v>
      </c>
      <c r="D12" s="5" t="s">
        <v>88</v>
      </c>
      <c r="E12" s="5" t="s">
        <v>89</v>
      </c>
      <c r="F12" s="14" t="s">
        <v>14</v>
      </c>
      <c r="G12" s="5" t="s">
        <v>20</v>
      </c>
      <c r="H12" s="14" t="s">
        <v>16</v>
      </c>
      <c r="I12" s="5">
        <f t="shared" si="0"/>
        <v>15</v>
      </c>
      <c r="J12" s="14" t="str">
        <f t="shared" si="1"/>
        <v>Alto (15)</v>
      </c>
    </row>
    <row r="13" spans="2:10" ht="52.9">
      <c r="B13" s="9" t="s">
        <v>90</v>
      </c>
      <c r="C13" s="4" t="s">
        <v>77</v>
      </c>
      <c r="D13" s="5" t="s">
        <v>91</v>
      </c>
      <c r="E13" s="5" t="s">
        <v>92</v>
      </c>
      <c r="F13" s="14" t="s">
        <v>14</v>
      </c>
      <c r="G13" s="5" t="s">
        <v>93</v>
      </c>
      <c r="H13" s="14" t="s">
        <v>53</v>
      </c>
      <c r="I13" s="5">
        <f t="shared" si="0"/>
        <v>20</v>
      </c>
      <c r="J13" s="14" t="str">
        <f t="shared" si="1"/>
        <v>Muito Alto (20)</v>
      </c>
    </row>
    <row r="14" spans="2:10" ht="39.6">
      <c r="B14" s="9" t="s">
        <v>94</v>
      </c>
      <c r="C14" s="4" t="s">
        <v>77</v>
      </c>
      <c r="D14" s="5" t="s">
        <v>95</v>
      </c>
      <c r="E14" s="5" t="s">
        <v>96</v>
      </c>
      <c r="F14" s="14" t="s">
        <v>97</v>
      </c>
      <c r="G14" s="5" t="s">
        <v>93</v>
      </c>
      <c r="H14" s="14" t="s">
        <v>53</v>
      </c>
      <c r="I14" s="5">
        <f t="shared" si="0"/>
        <v>8</v>
      </c>
      <c r="J14" s="14" t="str">
        <f t="shared" si="1"/>
        <v>Médio (8)</v>
      </c>
    </row>
    <row r="15" spans="2:10" ht="118.9">
      <c r="B15" s="9" t="s">
        <v>98</v>
      </c>
      <c r="C15" s="4" t="s">
        <v>77</v>
      </c>
      <c r="D15" s="5" t="s">
        <v>99</v>
      </c>
      <c r="E15" s="5" t="s">
        <v>100</v>
      </c>
      <c r="F15" s="14" t="s">
        <v>14</v>
      </c>
      <c r="G15" s="5" t="s">
        <v>101</v>
      </c>
      <c r="H15" s="14" t="s">
        <v>53</v>
      </c>
      <c r="I15" s="5">
        <f t="shared" si="0"/>
        <v>20</v>
      </c>
      <c r="J15" s="14" t="str">
        <f t="shared" si="1"/>
        <v>Muito Alto (20)</v>
      </c>
    </row>
    <row r="16" spans="2:10" ht="39.6">
      <c r="B16" s="9" t="s">
        <v>102</v>
      </c>
      <c r="C16" s="4" t="s">
        <v>77</v>
      </c>
      <c r="D16" s="5" t="s">
        <v>103</v>
      </c>
      <c r="E16" s="5" t="s">
        <v>104</v>
      </c>
      <c r="F16" s="14" t="s">
        <v>14</v>
      </c>
      <c r="G16" s="5" t="s">
        <v>80</v>
      </c>
      <c r="H16" s="14" t="s">
        <v>53</v>
      </c>
      <c r="I16" s="5">
        <f t="shared" si="0"/>
        <v>20</v>
      </c>
      <c r="J16" s="14" t="str">
        <f t="shared" si="1"/>
        <v>Muito Alto (20)</v>
      </c>
    </row>
  </sheetData>
  <mergeCells count="1">
    <mergeCell ref="F7:J7"/>
  </mergeCells>
  <conditionalFormatting sqref="J9:J16">
    <cfRule type="containsText" dxfId="143" priority="1" operator="containsText" text="Baixo">
      <formula>NOT(ISERROR(SEARCH("Baixo",J9)))</formula>
    </cfRule>
    <cfRule type="containsText" dxfId="142" priority="2" operator="containsText" text="Médio">
      <formula>NOT(ISERROR(SEARCH("Médio",J9)))</formula>
    </cfRule>
    <cfRule type="containsText" dxfId="141" priority="3" operator="containsText" text="Muito Alto">
      <formula>NOT(ISERROR(SEARCH("Muito Alto",J9)))</formula>
    </cfRule>
    <cfRule type="containsText" dxfId="140" priority="4" operator="containsText" text="Alto">
      <formula>NOT(ISERROR(SEARCH("Alto",J9)))</formula>
    </cfRule>
  </conditionalFormatting>
  <dataValidations count="2">
    <dataValidation type="list" allowBlank="1" showInputMessage="1" showErrorMessage="1" sqref="F9:F16" xr:uid="{00000000-0002-0000-0200-000000000000}">
      <formula1>"1 - Muito Baixo, 2 - Baixo, 3 - Médio, 4 - Alto, 5 - Muito Alto,"</formula1>
    </dataValidation>
    <dataValidation type="list" allowBlank="1" showInputMessage="1" showErrorMessage="1" sqref="H9:H16" xr:uid="{00000000-0002-0000-0200-000001000000}">
      <formula1>"5 - Quase Certa ocorrência, 4 - Muito provável, 3 - Possível, 2 - Pouco provável, 1 - Raramente"</formula1>
    </dataValidation>
  </dataValidations>
  <pageMargins left="0.7" right="0.7" top="0.75" bottom="0.75" header="0.3" footer="0.3"/>
  <pageSetup orientation="portrait"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6:J8"/>
  <sheetViews>
    <sheetView showGridLines="0" topLeftCell="E1" workbookViewId="0">
      <selection activeCell="H8" sqref="H8"/>
    </sheetView>
  </sheetViews>
  <sheetFormatPr defaultColWidth="9.140625" defaultRowHeight="13.15"/>
  <cols>
    <col min="1" max="1" width="2.5703125" style="1" customWidth="1"/>
    <col min="2" max="2" width="17.5703125" style="7" customWidth="1"/>
    <col min="3" max="3" width="21.42578125" style="8" customWidth="1"/>
    <col min="4" max="5" width="81.140625" style="8" customWidth="1"/>
    <col min="6" max="6" width="22.42578125" style="1" customWidth="1"/>
    <col min="7" max="7" width="20.28515625" style="1" customWidth="1"/>
    <col min="8" max="8" width="20.85546875" style="1" customWidth="1"/>
    <col min="9" max="9" width="11.42578125" style="1" bestFit="1" customWidth="1"/>
    <col min="10" max="10" width="17.140625" style="1" customWidth="1"/>
    <col min="11" max="16384" width="9.140625" style="1"/>
  </cols>
  <sheetData>
    <row r="6" spans="2:10" ht="22.9">
      <c r="F6" s="57" t="s">
        <v>1</v>
      </c>
      <c r="G6" s="57"/>
      <c r="H6" s="57"/>
      <c r="I6" s="57"/>
      <c r="J6" s="57"/>
    </row>
    <row r="7" spans="2:10" ht="64.5" customHeight="1">
      <c r="B7" s="2" t="s">
        <v>2</v>
      </c>
      <c r="C7" s="2" t="s">
        <v>3</v>
      </c>
      <c r="D7" s="3" t="s">
        <v>4</v>
      </c>
      <c r="E7" s="3" t="s">
        <v>5</v>
      </c>
      <c r="F7" s="24" t="s">
        <v>6</v>
      </c>
      <c r="G7" s="23" t="s">
        <v>7</v>
      </c>
      <c r="H7" s="23" t="s">
        <v>8</v>
      </c>
      <c r="I7" s="24" t="s">
        <v>9</v>
      </c>
      <c r="J7" s="24" t="s">
        <v>1</v>
      </c>
    </row>
    <row r="8" spans="2:10" ht="26.45">
      <c r="B8" s="6" t="s">
        <v>105</v>
      </c>
      <c r="C8" s="4" t="s">
        <v>106</v>
      </c>
      <c r="D8" s="5" t="s">
        <v>107</v>
      </c>
      <c r="E8" s="5" t="s">
        <v>108</v>
      </c>
      <c r="F8" s="14" t="s">
        <v>14</v>
      </c>
      <c r="G8" s="5" t="s">
        <v>20</v>
      </c>
      <c r="H8" s="14" t="s">
        <v>16</v>
      </c>
      <c r="I8" s="14">
        <f>(IF(F8="1 - Muito Baixo",1,IF(F8="2 - Baixo",2,IF(F8="3 - Médio",3,IF(F8="4 - Alto",4,IF(F8="5 - Muito Alto",5,0))))))*(IF(H8="1 - Raramente",1,IF(H8="2 - Pouco Provável",2,IF(H8="3 - Possível",3,IF(H8="4 - Muito provável",4,IF(H8="5 - Quase Certa ocorrência",5,0))))))</f>
        <v>15</v>
      </c>
      <c r="J8" s="14" t="str">
        <f t="shared" ref="J8" si="0">IF(I8=1,"Baixo (1)",IF(I8=2,"Baixo (2)",IF(I8=3,"Baixo (3)",IF(I8=4,"Baixo (4)",IF(I8=5,"Médio (5)",IF(I8=6,"Médio (6)",IF(I8=8,"Médio (8)",IF(I8=9,"Médio (9)",IF(I8=10,"Alto (10)",IF(I8=12,"Alto (12)",IF(I8=15,"Alto (15)",IF(I8=16,"Alto (16)",IF(I8=20,"Muito Alto (20)",IF(I8=25,"Muito Alto (25)","Erro"))))))))))))))</f>
        <v>Alto (15)</v>
      </c>
    </row>
  </sheetData>
  <mergeCells count="1">
    <mergeCell ref="F6:J6"/>
  </mergeCells>
  <conditionalFormatting sqref="J8">
    <cfRule type="containsText" dxfId="125" priority="1" operator="containsText" text="Baixo">
      <formula>NOT(ISERROR(SEARCH("Baixo",J8)))</formula>
    </cfRule>
    <cfRule type="containsText" dxfId="124" priority="2" operator="containsText" text="Médio">
      <formula>NOT(ISERROR(SEARCH("Médio",J8)))</formula>
    </cfRule>
    <cfRule type="containsText" dxfId="123" priority="3" operator="containsText" text="Muito Alto">
      <formula>NOT(ISERROR(SEARCH("Muito Alto",J8)))</formula>
    </cfRule>
    <cfRule type="containsText" dxfId="122" priority="4" operator="containsText" text="Alto">
      <formula>NOT(ISERROR(SEARCH("Alto",J8)))</formula>
    </cfRule>
  </conditionalFormatting>
  <dataValidations count="2">
    <dataValidation type="list" allowBlank="1" showInputMessage="1" showErrorMessage="1" sqref="F8" xr:uid="{00000000-0002-0000-0300-000000000000}">
      <formula1>"1 - Muito Baixo, 2 - Baixo, 3 - Médio, 4 - Alto, 5 - Muito Alto,"</formula1>
    </dataValidation>
    <dataValidation type="list" allowBlank="1" showInputMessage="1" showErrorMessage="1" sqref="H8" xr:uid="{00000000-0002-0000-03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6:J10"/>
  <sheetViews>
    <sheetView showGridLines="0" topLeftCell="E10" workbookViewId="0">
      <selection activeCell="H8" sqref="H8"/>
    </sheetView>
  </sheetViews>
  <sheetFormatPr defaultColWidth="9.140625" defaultRowHeight="13.15"/>
  <cols>
    <col min="1" max="1" width="2.5703125" style="1" customWidth="1"/>
    <col min="2" max="2" width="17.5703125" style="7" customWidth="1"/>
    <col min="3" max="3" width="21.42578125" style="8" customWidth="1"/>
    <col min="4" max="4" width="81.140625" style="8" customWidth="1"/>
    <col min="5" max="5" width="87.7109375" style="7" customWidth="1"/>
    <col min="6" max="7" width="20.140625" style="1" customWidth="1"/>
    <col min="8" max="8" width="33.28515625" style="1" customWidth="1"/>
    <col min="9" max="9" width="11.42578125" style="1" bestFit="1" customWidth="1"/>
    <col min="10" max="10" width="31.42578125" style="1" customWidth="1"/>
    <col min="11" max="16384" width="9.140625" style="1"/>
  </cols>
  <sheetData>
    <row r="6" spans="2:10" ht="22.9">
      <c r="F6" s="57" t="s">
        <v>1</v>
      </c>
      <c r="G6" s="57"/>
      <c r="H6" s="57"/>
      <c r="I6" s="57"/>
      <c r="J6" s="57"/>
    </row>
    <row r="7" spans="2:10" ht="43.5" customHeight="1">
      <c r="B7" s="2" t="s">
        <v>2</v>
      </c>
      <c r="C7" s="2" t="s">
        <v>3</v>
      </c>
      <c r="D7" s="3" t="s">
        <v>4</v>
      </c>
      <c r="E7" s="3" t="s">
        <v>5</v>
      </c>
      <c r="F7" s="24" t="s">
        <v>6</v>
      </c>
      <c r="G7" s="23" t="s">
        <v>7</v>
      </c>
      <c r="H7" s="23" t="s">
        <v>8</v>
      </c>
      <c r="I7" s="24" t="s">
        <v>9</v>
      </c>
      <c r="J7" s="24" t="s">
        <v>1</v>
      </c>
    </row>
    <row r="8" spans="2:10" ht="158.44999999999999">
      <c r="B8" s="6" t="s">
        <v>109</v>
      </c>
      <c r="C8" s="4" t="s">
        <v>110</v>
      </c>
      <c r="D8" s="5" t="s">
        <v>111</v>
      </c>
      <c r="E8" s="5" t="s">
        <v>112</v>
      </c>
      <c r="F8" s="14" t="s">
        <v>97</v>
      </c>
      <c r="G8" s="5" t="s">
        <v>113</v>
      </c>
      <c r="H8" s="14" t="s">
        <v>53</v>
      </c>
      <c r="I8" s="14">
        <f>(IF(F8="1 - Muito Baixo",1,IF(F8="2 - Baixo",2,IF(F8="3 - Médio",3,IF(F8="4 - Alto",4,IF(F8="5 - Muito Alto",5,0))))))*(IF(H8="1 - Raramente",1,IF(H8="2 - Pouco Provável",2,IF(H8="3 - Possível",3,IF(H8="4 - Muito provável",4,IF(H8="5 - Quase Certa ocorrência",5,0))))))</f>
        <v>8</v>
      </c>
      <c r="J8" s="14" t="str">
        <f t="shared" ref="J8:J10" si="0">IF(I8=1,"Baixo (1)",IF(I8=2,"Baixo (2)",IF(I8=3,"Baixo (3)",IF(I8=4,"Baixo (4)",IF(I8=5,"Médio (5)",IF(I8=6,"Médio (6)",IF(I8=8,"Médio (8)",IF(I8=9,"Médio (9)",IF(I8=10,"Alto (10)",IF(I8=12,"Alto (12)",IF(I8=15,"Alto (15)",IF(I8=16,"Alto (16)",IF(I8=20,"Muito Alto (20)",IF(I8=25,"Muito Alto (25)","Erro"))))))))))))))</f>
        <v>Médio (8)</v>
      </c>
    </row>
    <row r="9" spans="2:10" ht="158.44999999999999">
      <c r="B9" s="6" t="s">
        <v>114</v>
      </c>
      <c r="C9" s="4" t="s">
        <v>110</v>
      </c>
      <c r="D9" s="5" t="s">
        <v>115</v>
      </c>
      <c r="E9" s="5" t="s">
        <v>116</v>
      </c>
      <c r="F9" s="14" t="s">
        <v>97</v>
      </c>
      <c r="G9" s="5" t="s">
        <v>113</v>
      </c>
      <c r="H9" s="14" t="s">
        <v>53</v>
      </c>
      <c r="I9" s="5">
        <f>(IF(F9="1 - Muito Baixo",1,IF(F9="2 - Baixo",2,IF(F9="3 - Médio",3,IF(F9="4 - Alto",4,IF(F9="5 - Muito Alto",5,0))))))*(IF(H9="1 - Raramente",1,IF(H9="2 - Pouco Provável",2,IF(H9="3 - Possível",3,IF(H9="4 - Muito provável",4,IF(H9="5 - Quase Certa ocorrência",5,0))))))</f>
        <v>8</v>
      </c>
      <c r="J9" s="14" t="str">
        <f t="shared" si="0"/>
        <v>Médio (8)</v>
      </c>
    </row>
    <row r="10" spans="2:10" ht="171.6">
      <c r="B10" s="6" t="s">
        <v>117</v>
      </c>
      <c r="C10" s="4" t="s">
        <v>110</v>
      </c>
      <c r="D10" s="5" t="s">
        <v>118</v>
      </c>
      <c r="E10" s="5" t="s">
        <v>119</v>
      </c>
      <c r="F10" s="14" t="s">
        <v>97</v>
      </c>
      <c r="G10" s="5" t="s">
        <v>113</v>
      </c>
      <c r="H10" s="14" t="s">
        <v>53</v>
      </c>
      <c r="I10" s="5">
        <f>(IF(F10="1 - Muito Baixo",1,IF(F10="2 - Baixo",2,IF(F10="3 - Médio",3,IF(F10="4 - Alto",4,IF(F10="5 - Muito Alto",5,0))))))*(IF(H10="1 - Raramente",1,IF(H10="2 - Pouco Provável",2,IF(H10="3 - Possível",3,IF(H10="4 - Muito provável",4,IF(H10="5 - Quase Certa ocorrência",5,0))))))</f>
        <v>8</v>
      </c>
      <c r="J10" s="14" t="str">
        <f t="shared" si="0"/>
        <v>Médio (8)</v>
      </c>
    </row>
  </sheetData>
  <mergeCells count="1">
    <mergeCell ref="F6:J6"/>
  </mergeCells>
  <conditionalFormatting sqref="J8:J10">
    <cfRule type="containsText" dxfId="107" priority="1" operator="containsText" text="Baixo">
      <formula>NOT(ISERROR(SEARCH("Baixo",J8)))</formula>
    </cfRule>
    <cfRule type="containsText" dxfId="106" priority="2" operator="containsText" text="Médio">
      <formula>NOT(ISERROR(SEARCH("Médio",J8)))</formula>
    </cfRule>
    <cfRule type="containsText" dxfId="105" priority="3" operator="containsText" text="Muito Alto">
      <formula>NOT(ISERROR(SEARCH("Muito Alto",J8)))</formula>
    </cfRule>
    <cfRule type="containsText" dxfId="104" priority="4" operator="containsText" text="Alto">
      <formula>NOT(ISERROR(SEARCH("Alto",J8)))</formula>
    </cfRule>
  </conditionalFormatting>
  <dataValidations count="2">
    <dataValidation type="list" allowBlank="1" showInputMessage="1" showErrorMessage="1" sqref="F8:F10" xr:uid="{00000000-0002-0000-0400-000000000000}">
      <formula1>"1 - Muito Baixo, 2 - Baixo, 3 - Médio, 4 - Alto, 5 - Muito Alto,"</formula1>
    </dataValidation>
    <dataValidation type="list" allowBlank="1" showInputMessage="1" showErrorMessage="1" sqref="H8:H10" xr:uid="{00000000-0002-0000-04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B6:J15"/>
  <sheetViews>
    <sheetView showGridLines="0" workbookViewId="0"/>
  </sheetViews>
  <sheetFormatPr defaultColWidth="9.140625" defaultRowHeight="13.15"/>
  <cols>
    <col min="1" max="1" width="2.5703125" style="1" customWidth="1"/>
    <col min="2" max="2" width="17.5703125" style="7" customWidth="1"/>
    <col min="3" max="3" width="21.42578125" style="8" customWidth="1"/>
    <col min="4" max="5" width="81.140625" style="8" customWidth="1"/>
    <col min="6" max="6" width="17.85546875" style="1" customWidth="1"/>
    <col min="7" max="7" width="25.42578125" style="1" customWidth="1"/>
    <col min="8" max="8" width="17.140625" style="1" customWidth="1"/>
    <col min="9" max="9" width="11.42578125" style="1" bestFit="1" customWidth="1"/>
    <col min="10" max="10" width="21.28515625" style="1" customWidth="1"/>
    <col min="11" max="16384" width="9.140625" style="1"/>
  </cols>
  <sheetData>
    <row r="6" spans="2:10" ht="22.9">
      <c r="F6" s="57" t="s">
        <v>1</v>
      </c>
      <c r="G6" s="57"/>
      <c r="H6" s="57"/>
      <c r="I6" s="57"/>
      <c r="J6" s="57"/>
    </row>
    <row r="7" spans="2:10" ht="43.5" customHeight="1">
      <c r="B7" s="2" t="s">
        <v>2</v>
      </c>
      <c r="C7" s="2" t="s">
        <v>3</v>
      </c>
      <c r="D7" s="3" t="s">
        <v>4</v>
      </c>
      <c r="E7" s="3" t="s">
        <v>5</v>
      </c>
      <c r="F7" s="24" t="s">
        <v>6</v>
      </c>
      <c r="G7" s="24" t="s">
        <v>7</v>
      </c>
      <c r="H7" s="23" t="s">
        <v>8</v>
      </c>
      <c r="I7" s="24" t="s">
        <v>9</v>
      </c>
      <c r="J7" s="24" t="s">
        <v>1</v>
      </c>
    </row>
    <row r="8" spans="2:10" ht="39.6">
      <c r="B8" s="6" t="s">
        <v>120</v>
      </c>
      <c r="C8" s="4" t="s">
        <v>121</v>
      </c>
      <c r="D8" s="5" t="s">
        <v>122</v>
      </c>
      <c r="E8" s="5" t="s">
        <v>123</v>
      </c>
      <c r="F8" s="14" t="s">
        <v>14</v>
      </c>
      <c r="G8" s="5" t="s">
        <v>124</v>
      </c>
      <c r="H8" s="14" t="s">
        <v>16</v>
      </c>
      <c r="I8" s="27">
        <f t="shared" ref="I8:I15" si="0">(IF(F8="1 - Muito Baixo",1,IF(F8="2 - Baixo",2,IF(F8="3 - Médio",3,IF(F8="4 - Alto",4,IF(F8="5 - Muito Alto",5,0))))))*(IF(H8="1 - Raramente",1,IF(H8="2 - Pouco Provável",2,IF(H8="3 - Possível",3,IF(H8="4 - Muito provável",4,IF(H8="5 - Quase Certa ocorrência",5,0))))))</f>
        <v>15</v>
      </c>
      <c r="J8" s="14" t="str">
        <f t="shared" ref="J8:J15" si="1">IF(I8=1,"Baixo (1)",IF(I8=2,"Baixo (2)",IF(I8=3,"Baixo (3)",IF(I8=4,"Baixo (4)",IF(I8=5,"Médio (5)",IF(I8=6,"Médio (6)",IF(I8=8,"Médio (8)",IF(I8=9,"Médio (9)",IF(I8=10,"Alto (10)",IF(I8=12,"Alto (12)",IF(I8=15,"Alto (15)",IF(I8=16,"Alto (16)",IF(I8=20,"Muito Alto (20)",IF(I8=25,"Muito Alto (25)","Erro"))))))))))))))</f>
        <v>Alto (15)</v>
      </c>
    </row>
    <row r="9" spans="2:10" ht="52.9">
      <c r="B9" s="6" t="s">
        <v>125</v>
      </c>
      <c r="C9" s="4" t="s">
        <v>121</v>
      </c>
      <c r="D9" s="5" t="s">
        <v>126</v>
      </c>
      <c r="E9" s="5" t="s">
        <v>127</v>
      </c>
      <c r="F9" s="14" t="s">
        <v>14</v>
      </c>
      <c r="G9" s="5" t="s">
        <v>124</v>
      </c>
      <c r="H9" s="14" t="s">
        <v>16</v>
      </c>
      <c r="I9" s="10">
        <f t="shared" si="0"/>
        <v>15</v>
      </c>
      <c r="J9" s="14" t="str">
        <f t="shared" si="1"/>
        <v>Alto (15)</v>
      </c>
    </row>
    <row r="10" spans="2:10" ht="52.9">
      <c r="B10" s="6" t="s">
        <v>128</v>
      </c>
      <c r="C10" s="4" t="s">
        <v>121</v>
      </c>
      <c r="D10" s="5" t="s">
        <v>129</v>
      </c>
      <c r="E10" s="5" t="s">
        <v>127</v>
      </c>
      <c r="F10" s="14" t="s">
        <v>14</v>
      </c>
      <c r="G10" s="5" t="s">
        <v>124</v>
      </c>
      <c r="H10" s="14" t="s">
        <v>16</v>
      </c>
      <c r="I10" s="10">
        <f t="shared" si="0"/>
        <v>15</v>
      </c>
      <c r="J10" s="14" t="str">
        <f t="shared" si="1"/>
        <v>Alto (15)</v>
      </c>
    </row>
    <row r="11" spans="2:10" ht="52.9">
      <c r="B11" s="6" t="s">
        <v>130</v>
      </c>
      <c r="C11" s="4" t="s">
        <v>121</v>
      </c>
      <c r="D11" s="5" t="s">
        <v>131</v>
      </c>
      <c r="E11" s="5" t="s">
        <v>127</v>
      </c>
      <c r="F11" s="14" t="s">
        <v>14</v>
      </c>
      <c r="G11" s="5" t="s">
        <v>124</v>
      </c>
      <c r="H11" s="14" t="s">
        <v>16</v>
      </c>
      <c r="I11" s="10">
        <f t="shared" si="0"/>
        <v>15</v>
      </c>
      <c r="J11" s="14" t="str">
        <f t="shared" si="1"/>
        <v>Alto (15)</v>
      </c>
    </row>
    <row r="12" spans="2:10" ht="52.9">
      <c r="B12" s="6" t="s">
        <v>132</v>
      </c>
      <c r="C12" s="4" t="s">
        <v>121</v>
      </c>
      <c r="D12" s="5" t="s">
        <v>133</v>
      </c>
      <c r="E12" s="5" t="s">
        <v>127</v>
      </c>
      <c r="F12" s="14" t="s">
        <v>14</v>
      </c>
      <c r="G12" s="5" t="s">
        <v>124</v>
      </c>
      <c r="H12" s="14" t="s">
        <v>16</v>
      </c>
      <c r="I12" s="10">
        <f t="shared" si="0"/>
        <v>15</v>
      </c>
      <c r="J12" s="14" t="str">
        <f t="shared" si="1"/>
        <v>Alto (15)</v>
      </c>
    </row>
    <row r="13" spans="2:10" ht="52.9">
      <c r="B13" s="6" t="s">
        <v>134</v>
      </c>
      <c r="C13" s="4" t="s">
        <v>121</v>
      </c>
      <c r="D13" s="5" t="s">
        <v>135</v>
      </c>
      <c r="E13" s="5" t="s">
        <v>127</v>
      </c>
      <c r="F13" s="14" t="s">
        <v>14</v>
      </c>
      <c r="G13" s="5" t="s">
        <v>124</v>
      </c>
      <c r="H13" s="14" t="s">
        <v>16</v>
      </c>
      <c r="I13" s="10">
        <f t="shared" si="0"/>
        <v>15</v>
      </c>
      <c r="J13" s="14" t="str">
        <f t="shared" si="1"/>
        <v>Alto (15)</v>
      </c>
    </row>
    <row r="14" spans="2:10" ht="39.6">
      <c r="B14" s="6" t="s">
        <v>136</v>
      </c>
      <c r="C14" s="4" t="s">
        <v>121</v>
      </c>
      <c r="D14" s="5" t="s">
        <v>137</v>
      </c>
      <c r="E14" s="5" t="s">
        <v>138</v>
      </c>
      <c r="F14" s="14" t="s">
        <v>14</v>
      </c>
      <c r="G14" s="5" t="s">
        <v>124</v>
      </c>
      <c r="H14" s="14" t="s">
        <v>16</v>
      </c>
      <c r="I14" s="10">
        <f t="shared" si="0"/>
        <v>15</v>
      </c>
      <c r="J14" s="14" t="str">
        <f t="shared" si="1"/>
        <v>Alto (15)</v>
      </c>
    </row>
    <row r="15" spans="2:10" ht="39.6">
      <c r="B15" s="6" t="s">
        <v>139</v>
      </c>
      <c r="C15" s="4" t="s">
        <v>121</v>
      </c>
      <c r="D15" s="5" t="s">
        <v>140</v>
      </c>
      <c r="E15" s="5" t="s">
        <v>141</v>
      </c>
      <c r="F15" s="14" t="s">
        <v>14</v>
      </c>
      <c r="G15" s="5" t="s">
        <v>124</v>
      </c>
      <c r="H15" s="14" t="s">
        <v>16</v>
      </c>
      <c r="I15" s="10">
        <f t="shared" si="0"/>
        <v>15</v>
      </c>
      <c r="J15" s="14" t="str">
        <f t="shared" si="1"/>
        <v>Alto (15)</v>
      </c>
    </row>
  </sheetData>
  <mergeCells count="1">
    <mergeCell ref="F6:J6"/>
  </mergeCells>
  <conditionalFormatting sqref="J8:J15">
    <cfRule type="containsText" dxfId="89" priority="1" operator="containsText" text="Baixo">
      <formula>NOT(ISERROR(SEARCH("Baixo",J8)))</formula>
    </cfRule>
    <cfRule type="containsText" dxfId="88" priority="2" operator="containsText" text="Médio">
      <formula>NOT(ISERROR(SEARCH("Médio",J8)))</formula>
    </cfRule>
    <cfRule type="containsText" dxfId="87" priority="3" operator="containsText" text="Muito Alto">
      <formula>NOT(ISERROR(SEARCH("Muito Alto",J8)))</formula>
    </cfRule>
    <cfRule type="containsText" dxfId="86" priority="4" operator="containsText" text="Alto">
      <formula>NOT(ISERROR(SEARCH("Alto",J8)))</formula>
    </cfRule>
  </conditionalFormatting>
  <dataValidations count="2">
    <dataValidation type="list" allowBlank="1" showInputMessage="1" showErrorMessage="1" sqref="F8:F15" xr:uid="{00000000-0002-0000-0500-000000000000}">
      <formula1>"1 - Muito Baixo, 2 - Baixo, 3 - Médio, 4 - Alto, 5 - Muito Alto,"</formula1>
    </dataValidation>
    <dataValidation type="list" allowBlank="1" showInputMessage="1" showErrorMessage="1" sqref="H8:H15" xr:uid="{00000000-0002-0000-05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6:J9"/>
  <sheetViews>
    <sheetView showGridLines="0" workbookViewId="0"/>
  </sheetViews>
  <sheetFormatPr defaultColWidth="9.140625" defaultRowHeight="13.15"/>
  <cols>
    <col min="1" max="1" width="2.5703125" style="1" customWidth="1"/>
    <col min="2" max="2" width="17.5703125" style="7" customWidth="1"/>
    <col min="3" max="3" width="21.42578125" style="8" customWidth="1"/>
    <col min="4" max="5" width="81.140625" style="8" customWidth="1"/>
    <col min="6" max="6" width="20.5703125" style="1" customWidth="1"/>
    <col min="7" max="7" width="25.5703125" style="1" customWidth="1"/>
    <col min="8" max="8" width="29.140625" style="1" customWidth="1"/>
    <col min="9" max="9" width="11.42578125" style="1" bestFit="1" customWidth="1"/>
    <col min="10" max="10" width="22" style="1" customWidth="1"/>
    <col min="11" max="16384" width="9.140625" style="1"/>
  </cols>
  <sheetData>
    <row r="6" spans="2:10" ht="22.9">
      <c r="F6" s="57" t="s">
        <v>1</v>
      </c>
      <c r="G6" s="57"/>
      <c r="H6" s="57"/>
      <c r="I6" s="57"/>
      <c r="J6" s="57"/>
    </row>
    <row r="7" spans="2:10" ht="47.25" customHeight="1">
      <c r="B7" s="2" t="s">
        <v>2</v>
      </c>
      <c r="C7" s="2" t="s">
        <v>3</v>
      </c>
      <c r="D7" s="3" t="s">
        <v>4</v>
      </c>
      <c r="E7" s="3" t="s">
        <v>5</v>
      </c>
      <c r="F7" s="24" t="s">
        <v>6</v>
      </c>
      <c r="G7" s="24" t="s">
        <v>7</v>
      </c>
      <c r="H7" s="23" t="s">
        <v>8</v>
      </c>
      <c r="I7" s="24" t="s">
        <v>9</v>
      </c>
      <c r="J7" s="24" t="s">
        <v>1</v>
      </c>
    </row>
    <row r="8" spans="2:10" ht="66">
      <c r="B8" s="6" t="s">
        <v>142</v>
      </c>
      <c r="C8" s="4" t="s">
        <v>143</v>
      </c>
      <c r="D8" s="5" t="s">
        <v>144</v>
      </c>
      <c r="E8" s="5" t="s">
        <v>145</v>
      </c>
      <c r="F8" s="14" t="s">
        <v>45</v>
      </c>
      <c r="G8" s="5" t="s">
        <v>146</v>
      </c>
      <c r="H8" s="14" t="s">
        <v>53</v>
      </c>
      <c r="I8" s="14">
        <f t="shared" ref="I8:I9" si="0">(IF(F8="1 - Muito Baixo",1,IF(F8="2 - Baixo",2,IF(F8="3 - Médio",3,IF(F8="4 - Alto",4,IF(F8="5 - Muito Alto",5,0))))))*(IF(H8="1 - Raramente",1,IF(H8="2 - Pouco Provável",2,IF(H8="3 - Possível",3,IF(H8="4 - Muito provável",4,IF(H8="5 - Quase Certa ocorrência",5,0))))))</f>
        <v>4</v>
      </c>
      <c r="J8" s="14" t="str">
        <f t="shared" ref="J8:J9" si="1">IF(I8=1,"Baixo (1)",IF(I8=2,"Baixo (2)",IF(I8=3,"Baixo (3)",IF(I8=4,"Baixo (4)",IF(I8=5,"Médio (5)",IF(I8=6,"Médio (6)",IF(I8=8,"Médio (8)",IF(I8=9,"Médio (9)",IF(I8=10,"Alto (10)",IF(I8=12,"Alto (12)",IF(I8=15,"Alto (15)",IF(I8=16,"Alto (16)",IF(I8=20,"Muito Alto (20)",IF(I8=25,"Muito Alto (25)","Erro"))))))))))))))</f>
        <v>Baixo (4)</v>
      </c>
    </row>
    <row r="9" spans="2:10" ht="52.9">
      <c r="B9" s="6" t="s">
        <v>147</v>
      </c>
      <c r="C9" s="4" t="s">
        <v>143</v>
      </c>
      <c r="D9" s="5" t="s">
        <v>148</v>
      </c>
      <c r="E9" s="5" t="s">
        <v>149</v>
      </c>
      <c r="F9" s="14" t="s">
        <v>45</v>
      </c>
      <c r="G9" s="5" t="s">
        <v>146</v>
      </c>
      <c r="H9" s="14" t="s">
        <v>53</v>
      </c>
      <c r="I9" s="14">
        <f t="shared" si="0"/>
        <v>4</v>
      </c>
      <c r="J9" s="14" t="str">
        <f t="shared" si="1"/>
        <v>Baixo (4)</v>
      </c>
    </row>
  </sheetData>
  <mergeCells count="1">
    <mergeCell ref="F6:J6"/>
  </mergeCells>
  <conditionalFormatting sqref="J8:J9">
    <cfRule type="containsText" dxfId="71" priority="1" operator="containsText" text="Baixo">
      <formula>NOT(ISERROR(SEARCH("Baixo",J8)))</formula>
    </cfRule>
    <cfRule type="containsText" dxfId="70" priority="2" operator="containsText" text="Médio">
      <formula>NOT(ISERROR(SEARCH("Médio",J8)))</formula>
    </cfRule>
    <cfRule type="containsText" dxfId="69" priority="3" operator="containsText" text="Muito Alto">
      <formula>NOT(ISERROR(SEARCH("Muito Alto",J8)))</formula>
    </cfRule>
    <cfRule type="containsText" dxfId="68" priority="4" operator="containsText" text="Alto">
      <formula>NOT(ISERROR(SEARCH("Alto",J8)))</formula>
    </cfRule>
  </conditionalFormatting>
  <dataValidations count="2">
    <dataValidation type="list" allowBlank="1" showInputMessage="1" showErrorMessage="1" sqref="F8:F9" xr:uid="{00000000-0002-0000-0600-000000000000}">
      <formula1>"1 - Muito Baixo, 2 - Baixo, 3 - Médio, 4 - Alto, 5 - Muito Alto,"</formula1>
    </dataValidation>
    <dataValidation type="list" allowBlank="1" showInputMessage="1" showErrorMessage="1" sqref="H8:H9" xr:uid="{00000000-0002-0000-06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6:J13"/>
  <sheetViews>
    <sheetView showGridLines="0" workbookViewId="0"/>
  </sheetViews>
  <sheetFormatPr defaultColWidth="9.140625" defaultRowHeight="13.15"/>
  <cols>
    <col min="1" max="1" width="2.5703125" style="1" customWidth="1"/>
    <col min="2" max="2" width="17.5703125" style="7" customWidth="1"/>
    <col min="3" max="3" width="21.42578125" style="8" customWidth="1"/>
    <col min="4" max="5" width="81.140625" style="8" customWidth="1"/>
    <col min="6" max="6" width="17.5703125" style="1" customWidth="1"/>
    <col min="7" max="7" width="28" style="1" customWidth="1"/>
    <col min="8" max="8" width="21.42578125" style="1" customWidth="1"/>
    <col min="9" max="9" width="11.42578125" style="1" bestFit="1" customWidth="1"/>
    <col min="10" max="10" width="25.28515625" style="1" customWidth="1"/>
    <col min="11" max="16384" width="9.140625" style="1"/>
  </cols>
  <sheetData>
    <row r="6" spans="2:10" ht="22.9">
      <c r="F6" s="57" t="s">
        <v>1</v>
      </c>
      <c r="G6" s="57"/>
      <c r="H6" s="57"/>
      <c r="I6" s="57"/>
      <c r="J6" s="57"/>
    </row>
    <row r="7" spans="2:10" ht="43.5" customHeight="1">
      <c r="B7" s="2" t="s">
        <v>2</v>
      </c>
      <c r="C7" s="2" t="s">
        <v>3</v>
      </c>
      <c r="D7" s="3" t="s">
        <v>4</v>
      </c>
      <c r="E7" s="3" t="s">
        <v>5</v>
      </c>
      <c r="F7" s="24" t="s">
        <v>6</v>
      </c>
      <c r="G7" s="24" t="s">
        <v>7</v>
      </c>
      <c r="H7" s="25" t="s">
        <v>8</v>
      </c>
      <c r="I7" s="24" t="s">
        <v>9</v>
      </c>
      <c r="J7" s="24" t="s">
        <v>1</v>
      </c>
    </row>
    <row r="8" spans="2:10" ht="39.6">
      <c r="B8" s="6" t="s">
        <v>150</v>
      </c>
      <c r="C8" s="4" t="s">
        <v>151</v>
      </c>
      <c r="D8" s="5" t="s">
        <v>152</v>
      </c>
      <c r="E8" s="5" t="s">
        <v>153</v>
      </c>
      <c r="F8" s="14" t="s">
        <v>30</v>
      </c>
      <c r="G8" s="11" t="s">
        <v>60</v>
      </c>
      <c r="H8" s="14" t="s">
        <v>16</v>
      </c>
      <c r="I8" s="14">
        <f t="shared" ref="I8:I13" si="0">(IF(F8="1 - Muito Baixo",1,IF(F8="2 - Baixo",2,IF(F8="3 - Médio",3,IF(F8="4 - Alto",4,IF(F8="5 - Muito Alto",5,0))))))*(IF(H8="1 - Raramente",1,IF(H8="2 - Pouco Provável",2,IF(H8="3 - Possível",3,IF(H8="4 - Muito provável",4,IF(H8="5 - Quase Certa ocorrência",5,0))))))</f>
        <v>12</v>
      </c>
      <c r="J8" s="14" t="str">
        <f t="shared" ref="J8:J13" si="1">IF(I8=1,"Baixo (1)",IF(I8=2,"Baixo (2)",IF(I8=3,"Baixo (3)",IF(I8=4,"Baixo (4)",IF(I8=5,"Médio (5)",IF(I8=6,"Médio (6)",IF(I8=8,"Médio (8)",IF(I8=9,"Médio (9)",IF(I8=10,"Alto (10)",IF(I8=12,"Alto (12)",IF(I8=15,"Alto (15)",IF(I8=16,"Alto (16)",IF(I8=20,"Muito Alto (20)",IF(I8=25,"Muito Alto (25)","Erro"))))))))))))))</f>
        <v>Alto (12)</v>
      </c>
    </row>
    <row r="9" spans="2:10" ht="39.6">
      <c r="B9" s="6" t="s">
        <v>154</v>
      </c>
      <c r="C9" s="4" t="s">
        <v>151</v>
      </c>
      <c r="D9" s="5" t="s">
        <v>155</v>
      </c>
      <c r="E9" s="5" t="s">
        <v>156</v>
      </c>
      <c r="F9" s="14" t="s">
        <v>30</v>
      </c>
      <c r="G9" s="11" t="s">
        <v>60</v>
      </c>
      <c r="H9" s="14" t="s">
        <v>16</v>
      </c>
      <c r="I9" s="11">
        <f t="shared" si="0"/>
        <v>12</v>
      </c>
      <c r="J9" s="14" t="str">
        <f t="shared" si="1"/>
        <v>Alto (12)</v>
      </c>
    </row>
    <row r="10" spans="2:10" ht="52.9">
      <c r="B10" s="6" t="s">
        <v>157</v>
      </c>
      <c r="C10" s="4" t="s">
        <v>151</v>
      </c>
      <c r="D10" s="5" t="s">
        <v>158</v>
      </c>
      <c r="E10" s="5" t="s">
        <v>159</v>
      </c>
      <c r="F10" s="14" t="s">
        <v>30</v>
      </c>
      <c r="G10" s="11" t="s">
        <v>60</v>
      </c>
      <c r="H10" s="14" t="s">
        <v>16</v>
      </c>
      <c r="I10" s="11">
        <f t="shared" si="0"/>
        <v>12</v>
      </c>
      <c r="J10" s="14" t="str">
        <f t="shared" si="1"/>
        <v>Alto (12)</v>
      </c>
    </row>
    <row r="11" spans="2:10" ht="52.9">
      <c r="B11" s="6" t="s">
        <v>160</v>
      </c>
      <c r="C11" s="4" t="s">
        <v>151</v>
      </c>
      <c r="D11" s="5" t="s">
        <v>161</v>
      </c>
      <c r="E11" s="5" t="s">
        <v>162</v>
      </c>
      <c r="F11" s="14" t="s">
        <v>30</v>
      </c>
      <c r="G11" s="11" t="s">
        <v>60</v>
      </c>
      <c r="H11" s="14" t="s">
        <v>16</v>
      </c>
      <c r="I11" s="11">
        <f t="shared" si="0"/>
        <v>12</v>
      </c>
      <c r="J11" s="14" t="str">
        <f t="shared" si="1"/>
        <v>Alto (12)</v>
      </c>
    </row>
    <row r="12" spans="2:10" ht="39.6">
      <c r="B12" s="6" t="s">
        <v>163</v>
      </c>
      <c r="C12" s="4" t="s">
        <v>151</v>
      </c>
      <c r="D12" s="5" t="s">
        <v>164</v>
      </c>
      <c r="E12" s="5" t="s">
        <v>165</v>
      </c>
      <c r="F12" s="14" t="s">
        <v>14</v>
      </c>
      <c r="G12" s="5" t="s">
        <v>15</v>
      </c>
      <c r="H12" s="14" t="s">
        <v>16</v>
      </c>
      <c r="I12" s="14">
        <f t="shared" si="0"/>
        <v>15</v>
      </c>
      <c r="J12" s="14" t="str">
        <f t="shared" si="1"/>
        <v>Alto (15)</v>
      </c>
    </row>
    <row r="13" spans="2:10" ht="39.6">
      <c r="B13" s="6" t="s">
        <v>166</v>
      </c>
      <c r="C13" s="4" t="s">
        <v>151</v>
      </c>
      <c r="D13" s="5" t="s">
        <v>167</v>
      </c>
      <c r="E13" s="5" t="s">
        <v>168</v>
      </c>
      <c r="F13" s="14" t="s">
        <v>14</v>
      </c>
      <c r="G13" s="5" t="s">
        <v>15</v>
      </c>
      <c r="H13" s="14" t="s">
        <v>16</v>
      </c>
      <c r="I13" s="14">
        <f t="shared" si="0"/>
        <v>15</v>
      </c>
      <c r="J13" s="14" t="str">
        <f t="shared" si="1"/>
        <v>Alto (15)</v>
      </c>
    </row>
  </sheetData>
  <mergeCells count="1">
    <mergeCell ref="F6:J6"/>
  </mergeCells>
  <conditionalFormatting sqref="J8:J13">
    <cfRule type="containsText" dxfId="53" priority="1" operator="containsText" text="Baixo">
      <formula>NOT(ISERROR(SEARCH("Baixo",J8)))</formula>
    </cfRule>
    <cfRule type="containsText" dxfId="52" priority="2" operator="containsText" text="Médio">
      <formula>NOT(ISERROR(SEARCH("Médio",J8)))</formula>
    </cfRule>
    <cfRule type="containsText" dxfId="51" priority="3" operator="containsText" text="Muito Alto">
      <formula>NOT(ISERROR(SEARCH("Muito Alto",J8)))</formula>
    </cfRule>
    <cfRule type="containsText" dxfId="50" priority="4" operator="containsText" text="Alto">
      <formula>NOT(ISERROR(SEARCH("Alto",J8)))</formula>
    </cfRule>
  </conditionalFormatting>
  <dataValidations count="2">
    <dataValidation type="list" allowBlank="1" showInputMessage="1" showErrorMessage="1" sqref="F8:F13" xr:uid="{00000000-0002-0000-0700-000000000000}">
      <formula1>"1 - Muito Baixo, 2 - Baixo, 3 - Médio, 4 - Alto, 5 - Muito Alto,"</formula1>
    </dataValidation>
    <dataValidation type="list" allowBlank="1" showInputMessage="1" showErrorMessage="1" sqref="H8:H13" xr:uid="{00000000-0002-0000-07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6:J10"/>
  <sheetViews>
    <sheetView showGridLines="0" topLeftCell="E1" workbookViewId="0">
      <selection activeCell="H10" sqref="H10"/>
    </sheetView>
  </sheetViews>
  <sheetFormatPr defaultColWidth="9.140625" defaultRowHeight="13.15"/>
  <cols>
    <col min="1" max="1" width="2.5703125" style="1" customWidth="1"/>
    <col min="2" max="2" width="17.5703125" style="7" customWidth="1"/>
    <col min="3" max="3" width="21.42578125" style="8" customWidth="1"/>
    <col min="4" max="5" width="81.140625" style="8" customWidth="1"/>
    <col min="6" max="6" width="21.85546875" style="1" customWidth="1"/>
    <col min="7" max="7" width="24.140625" style="1" customWidth="1"/>
    <col min="8" max="8" width="18.28515625" style="1" bestFit="1" customWidth="1"/>
    <col min="9" max="9" width="10.42578125" style="1" customWidth="1"/>
    <col min="10" max="10" width="20" style="1" customWidth="1"/>
    <col min="11" max="16384" width="9.140625" style="1"/>
  </cols>
  <sheetData>
    <row r="6" spans="2:10" ht="22.9">
      <c r="F6" s="57" t="s">
        <v>1</v>
      </c>
      <c r="G6" s="57"/>
      <c r="H6" s="57"/>
      <c r="I6" s="57"/>
      <c r="J6" s="57"/>
    </row>
    <row r="7" spans="2:10" ht="43.5" customHeight="1">
      <c r="B7" s="2" t="s">
        <v>2</v>
      </c>
      <c r="C7" s="2" t="s">
        <v>3</v>
      </c>
      <c r="D7" s="3" t="s">
        <v>4</v>
      </c>
      <c r="E7" s="3" t="s">
        <v>5</v>
      </c>
      <c r="F7" s="24" t="s">
        <v>6</v>
      </c>
      <c r="G7" s="24" t="s">
        <v>7</v>
      </c>
      <c r="H7" s="23" t="s">
        <v>8</v>
      </c>
      <c r="I7" s="24" t="s">
        <v>9</v>
      </c>
      <c r="J7" s="24" t="s">
        <v>1</v>
      </c>
    </row>
    <row r="8" spans="2:10" ht="39.6">
      <c r="B8" s="6" t="s">
        <v>169</v>
      </c>
      <c r="C8" s="4" t="s">
        <v>170</v>
      </c>
      <c r="D8" s="5" t="s">
        <v>171</v>
      </c>
      <c r="E8" s="26" t="s">
        <v>172</v>
      </c>
      <c r="F8" s="14" t="s">
        <v>14</v>
      </c>
      <c r="G8" s="28" t="s">
        <v>173</v>
      </c>
      <c r="H8" s="14" t="s">
        <v>174</v>
      </c>
      <c r="I8" s="28">
        <f>(IF(F8="1 - Muito Baixo",1,IF(F8="2 - Baixo",2,IF(F8="3 - Médio",3,IF(F8="4 - Alto",4,IF(F8="5 - Muito Alto",5,0))))))*(IF(H8="1 - Raramente",1,IF(H8="2 - Pouco Provável",2,IF(H8="3 - Possível",3,IF(H8="4 - Muito provável",4,IF(H8="5 - Quase Certa ocorrência",5,0))))))</f>
        <v>10</v>
      </c>
      <c r="J8" s="14" t="str">
        <f t="shared" ref="J8:J10" si="0">IF(I8=1,"Baixo (1)",IF(I8=2,"Baixo (2)",IF(I8=3,"Baixo (3)",IF(I8=4,"Baixo (4)",IF(I8=5,"Médio (5)",IF(I8=6,"Médio (6)",IF(I8=8,"Médio (8)",IF(I8=9,"Médio (9)",IF(I8=10,"Alto (10)",IF(I8=12,"Alto (12)",IF(I8=15,"Alto (15)",IF(I8=16,"Alto (16)",IF(I8=20,"Muito Alto (20)",IF(I8=25,"Muito Alto (25)","Erro"))))))))))))))</f>
        <v>Alto (10)</v>
      </c>
    </row>
    <row r="9" spans="2:10" ht="52.9">
      <c r="B9" s="6" t="s">
        <v>175</v>
      </c>
      <c r="C9" s="4" t="s">
        <v>170</v>
      </c>
      <c r="D9" s="5" t="s">
        <v>176</v>
      </c>
      <c r="E9" s="26" t="s">
        <v>177</v>
      </c>
      <c r="F9" s="14" t="s">
        <v>14</v>
      </c>
      <c r="G9" s="28" t="s">
        <v>173</v>
      </c>
      <c r="H9" s="14" t="s">
        <v>174</v>
      </c>
      <c r="I9" s="28">
        <f>(IF(F9="1 - Muito Baixo",1,IF(F9="2 - Baixo",2,IF(F9="3 - Médio",3,IF(F9="4 - Alto",4,IF(F9="5 - Muito Alto",5,0))))))*(IF(H9="1 - Raramente",1,IF(H9="2 - Pouco Provável",2,IF(H9="3 - Possível",3,IF(H9="4 - Muito provável",4,IF(H9="5 - Quase Certa ocorrência",5,0))))))</f>
        <v>10</v>
      </c>
      <c r="J9" s="14" t="str">
        <f t="shared" si="0"/>
        <v>Alto (10)</v>
      </c>
    </row>
    <row r="10" spans="2:10" ht="39.6">
      <c r="B10" s="6" t="s">
        <v>178</v>
      </c>
      <c r="C10" s="4" t="s">
        <v>170</v>
      </c>
      <c r="D10" s="5" t="s">
        <v>179</v>
      </c>
      <c r="E10" s="26" t="s">
        <v>180</v>
      </c>
      <c r="F10" s="14" t="s">
        <v>14</v>
      </c>
      <c r="G10" s="28" t="s">
        <v>173</v>
      </c>
      <c r="H10" s="14" t="s">
        <v>174</v>
      </c>
      <c r="I10" s="28">
        <f>(IF(F10="1 - Muito Baixo",1,IF(F10="2 - Baixo",2,IF(F10="3 - Médio",3,IF(F10="4 - Alto",4,IF(F10="5 - Muito Alto",5,0))))))*(IF(H10="1 - Raramente",1,IF(H10="2 - Pouco Provável",2,IF(H10="3 - Possível",3,IF(H10="4 - Muito provável",4,IF(H10="5 - Quase Certa ocorrência",5,0))))))</f>
        <v>10</v>
      </c>
      <c r="J10" s="14" t="str">
        <f t="shared" si="0"/>
        <v>Alto (10)</v>
      </c>
    </row>
  </sheetData>
  <mergeCells count="1">
    <mergeCell ref="F6:J6"/>
  </mergeCells>
  <conditionalFormatting sqref="J8:J10">
    <cfRule type="containsText" dxfId="35" priority="1" operator="containsText" text="Baixo">
      <formula>NOT(ISERROR(SEARCH("Baixo",J8)))</formula>
    </cfRule>
    <cfRule type="containsText" dxfId="34" priority="2" operator="containsText" text="Médio">
      <formula>NOT(ISERROR(SEARCH("Médio",J8)))</formula>
    </cfRule>
    <cfRule type="containsText" dxfId="33" priority="3" operator="containsText" text="Muito Alto">
      <formula>NOT(ISERROR(SEARCH("Muito Alto",J8)))</formula>
    </cfRule>
    <cfRule type="containsText" dxfId="32" priority="4" operator="containsText" text="Alto">
      <formula>NOT(ISERROR(SEARCH("Alto",J8)))</formula>
    </cfRule>
  </conditionalFormatting>
  <dataValidations count="2">
    <dataValidation type="list" allowBlank="1" showInputMessage="1" showErrorMessage="1" sqref="F8:F10" xr:uid="{00000000-0002-0000-0800-000000000000}">
      <formula1>"1 - Muito Baixo, 2 - Baixo, 3 - Médio, 4 - Alto, 5 - Muito Alto,"</formula1>
    </dataValidation>
    <dataValidation type="list" allowBlank="1" showInputMessage="1" showErrorMessage="1" sqref="H8:H10" xr:uid="{00000000-0002-0000-0800-000001000000}">
      <formula1>"5 - Quase Certa ocorrência, 4 - Muito provável, 3 - Possível, 2 - Pouco provável, 1 - Raramente"</formula1>
    </dataValidation>
  </dataValidations>
  <pageMargins left="0.7" right="0.7" top="0.75" bottom="0.75" header="0.3" footer="0.3"/>
  <pageSetup orientation="portrait" verticalDpi="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6:J9"/>
  <sheetViews>
    <sheetView showGridLines="0" topLeftCell="E1" zoomScaleNormal="100" workbookViewId="0">
      <selection activeCell="F8" sqref="F8"/>
    </sheetView>
  </sheetViews>
  <sheetFormatPr defaultColWidth="9.140625" defaultRowHeight="13.15"/>
  <cols>
    <col min="1" max="1" width="2.5703125" style="1" customWidth="1"/>
    <col min="2" max="2" width="17.5703125" style="7" customWidth="1"/>
    <col min="3" max="3" width="21.42578125" style="8" customWidth="1"/>
    <col min="4" max="5" width="81.140625" style="8" customWidth="1"/>
    <col min="6" max="6" width="14.140625" style="1" customWidth="1"/>
    <col min="7" max="7" width="17" style="1" customWidth="1"/>
    <col min="8" max="8" width="19.5703125" style="1" customWidth="1"/>
    <col min="9" max="9" width="9.28515625" style="1" customWidth="1"/>
    <col min="10" max="10" width="19.5703125" style="1" customWidth="1"/>
    <col min="11" max="16384" width="9.140625" style="1"/>
  </cols>
  <sheetData>
    <row r="6" spans="2:10" ht="22.9">
      <c r="F6" s="57" t="s">
        <v>1</v>
      </c>
      <c r="G6" s="57"/>
      <c r="H6" s="57"/>
      <c r="I6" s="57"/>
      <c r="J6" s="57"/>
    </row>
    <row r="7" spans="2:10" ht="43.5" customHeight="1">
      <c r="B7" s="2" t="s">
        <v>2</v>
      </c>
      <c r="C7" s="2" t="s">
        <v>3</v>
      </c>
      <c r="D7" s="3" t="s">
        <v>4</v>
      </c>
      <c r="E7" s="3" t="s">
        <v>5</v>
      </c>
      <c r="F7" s="24" t="s">
        <v>6</v>
      </c>
      <c r="G7" s="23" t="s">
        <v>7</v>
      </c>
      <c r="H7" s="23" t="s">
        <v>8</v>
      </c>
      <c r="I7" s="24" t="s">
        <v>9</v>
      </c>
      <c r="J7" s="24" t="s">
        <v>1</v>
      </c>
    </row>
    <row r="8" spans="2:10" ht="105.6">
      <c r="B8" s="6" t="s">
        <v>181</v>
      </c>
      <c r="C8" s="4" t="s">
        <v>182</v>
      </c>
      <c r="D8" s="5" t="s">
        <v>183</v>
      </c>
      <c r="E8" s="26" t="s">
        <v>184</v>
      </c>
      <c r="F8" s="14" t="s">
        <v>14</v>
      </c>
      <c r="G8" s="5" t="s">
        <v>185</v>
      </c>
      <c r="H8" s="14" t="s">
        <v>53</v>
      </c>
      <c r="I8" s="14">
        <f>(IF(F8="1 - Muito Baixo",1,IF(F8="2 - Baixo",2,IF(F8="3 - Médio",3,IF(F8="4 - Alto",4,IF(F8="5 - Muito Alto",5,0))))))*(IF(H8="1 - Raramente",1,IF(H8="2 - Pouco Provável",2,IF(H8="3 - Possível",3,IF(H8="4 - Muito provável",4,IF(H8="5 - Quase Certa ocorrência",5,0))))))</f>
        <v>20</v>
      </c>
      <c r="J8" s="5" t="str">
        <f t="shared" ref="J8:J9" si="0">IF(I8=1,"Baixo (1)",IF(I8=2,"Baixo (2)",IF(I8=3,"Baixo (3)",IF(I8=4,"Baixo (4)",IF(I8=5,"Médio (5)",IF(I8=6,"Médio (6)",IF(I8=8,"Médio (8)",IF(I8=9,"Médio (9)",IF(I8=10,"Alto (10)",IF(I8=12,"Alto (12)",IF(I8=15,"Alto (15)",IF(I8=16,"Alto (16)",IF(I8=20,"Muito Alto (20)",IF(I8=25,"Muito Alto (25)","Erro"))))))))))))))</f>
        <v>Muito Alto (20)</v>
      </c>
    </row>
    <row r="9" spans="2:10" ht="39.6">
      <c r="B9" s="6" t="s">
        <v>186</v>
      </c>
      <c r="C9" s="4" t="s">
        <v>182</v>
      </c>
      <c r="D9" s="5" t="s">
        <v>187</v>
      </c>
      <c r="E9" s="26" t="s">
        <v>188</v>
      </c>
      <c r="F9" s="14" t="s">
        <v>14</v>
      </c>
      <c r="G9" s="5" t="s">
        <v>185</v>
      </c>
      <c r="H9" s="14" t="s">
        <v>53</v>
      </c>
      <c r="I9" s="5">
        <f>(IF(F9="1 - Muito Baixo",1,IF(F9="2 - Baixo",2,IF(F9="3 - Médio",3,IF(F9="4 - Alto",4,IF(F9="5 - Muito Alto",5,0))))))*(IF(H9="1 - Raramente",1,IF(H9="2 - Pouco Provável",2,IF(H9="3 - Possível",3,IF(H9="4 - Muito provável",4,IF(H9="5 - Quase Certa ocorrência",5,0))))))</f>
        <v>20</v>
      </c>
      <c r="J9" s="5" t="str">
        <f t="shared" si="0"/>
        <v>Muito Alto (20)</v>
      </c>
    </row>
  </sheetData>
  <mergeCells count="1">
    <mergeCell ref="F6:J6"/>
  </mergeCells>
  <conditionalFormatting sqref="J8:J9">
    <cfRule type="containsText" dxfId="17" priority="1" operator="containsText" text="Baixo">
      <formula>NOT(ISERROR(SEARCH("Baixo",J8)))</formula>
    </cfRule>
    <cfRule type="containsText" dxfId="16" priority="2" operator="containsText" text="Médio">
      <formula>NOT(ISERROR(SEARCH("Médio",J8)))</formula>
    </cfRule>
    <cfRule type="containsText" dxfId="15" priority="3" operator="containsText" text="Muito Alto">
      <formula>NOT(ISERROR(SEARCH("Muito Alto",J8)))</formula>
    </cfRule>
    <cfRule type="containsText" dxfId="14" priority="4" operator="containsText" text="Alto">
      <formula>NOT(ISERROR(SEARCH("Alto",J8)))</formula>
    </cfRule>
  </conditionalFormatting>
  <dataValidations count="2">
    <dataValidation type="list" allowBlank="1" showInputMessage="1" showErrorMessage="1" sqref="F8:F9" xr:uid="{00000000-0002-0000-0900-000000000000}">
      <formula1>"1 - Muito Baixo, 2 - Baixo, 3 - Médio, 4 - Alto, 5 - Muito Alto,"</formula1>
    </dataValidation>
    <dataValidation type="list" allowBlank="1" showInputMessage="1" showErrorMessage="1" sqref="H8:H9" xr:uid="{00000000-0002-0000-0900-000001000000}">
      <formula1>"5 - Quase Certa ocorrência, 4 - Muito provável, 3 - Possível, 2 - Pouco provável, 1 - Raramente"</formula1>
    </dataValidation>
  </dataValidation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8:H40"/>
  <sheetViews>
    <sheetView showGridLines="0" topLeftCell="A7" zoomScale="91" zoomScaleNormal="130" workbookViewId="0">
      <selection activeCell="C19" sqref="C19:C31"/>
    </sheetView>
  </sheetViews>
  <sheetFormatPr defaultRowHeight="14.45"/>
  <cols>
    <col min="3" max="3" width="39.42578125" bestFit="1" customWidth="1"/>
    <col min="4" max="4" width="35.85546875" bestFit="1" customWidth="1"/>
    <col min="5" max="5" width="22.5703125" bestFit="1" customWidth="1"/>
    <col min="6" max="6" width="18.85546875" customWidth="1"/>
    <col min="7" max="7" width="23.85546875" customWidth="1"/>
    <col min="8" max="8" width="20.85546875" customWidth="1"/>
    <col min="9" max="9" width="16.5703125" customWidth="1"/>
  </cols>
  <sheetData>
    <row r="8" spans="2:8" ht="15" customHeight="1">
      <c r="C8" s="59" t="s">
        <v>1</v>
      </c>
    </row>
    <row r="9" spans="2:8" ht="15" customHeight="1">
      <c r="B9" s="31"/>
      <c r="C9" s="60"/>
      <c r="D9" s="58" t="s">
        <v>6</v>
      </c>
      <c r="E9" s="58"/>
      <c r="F9" s="58"/>
      <c r="G9" s="58"/>
      <c r="H9" s="58"/>
    </row>
    <row r="10" spans="2:8">
      <c r="C10" s="20" t="s">
        <v>8</v>
      </c>
      <c r="D10" s="15" t="s">
        <v>189</v>
      </c>
      <c r="E10" s="15" t="s">
        <v>190</v>
      </c>
      <c r="F10" s="15" t="s">
        <v>191</v>
      </c>
      <c r="G10" s="15" t="s">
        <v>192</v>
      </c>
      <c r="H10" s="15" t="s">
        <v>193</v>
      </c>
    </row>
    <row r="11" spans="2:8">
      <c r="C11" s="21" t="s">
        <v>194</v>
      </c>
      <c r="D11" s="16" t="s">
        <v>195</v>
      </c>
      <c r="E11" s="17" t="s">
        <v>196</v>
      </c>
      <c r="F11" s="17" t="s">
        <v>197</v>
      </c>
      <c r="G11" s="18" t="s">
        <v>198</v>
      </c>
      <c r="H11" s="18" t="s">
        <v>199</v>
      </c>
    </row>
    <row r="12" spans="2:8">
      <c r="C12" s="21" t="s">
        <v>53</v>
      </c>
      <c r="D12" s="19" t="s">
        <v>200</v>
      </c>
      <c r="E12" s="16" t="s">
        <v>201</v>
      </c>
      <c r="F12" s="17" t="s">
        <v>202</v>
      </c>
      <c r="G12" s="17" t="s">
        <v>203</v>
      </c>
      <c r="H12" s="18" t="s">
        <v>198</v>
      </c>
    </row>
    <row r="13" spans="2:8">
      <c r="C13" s="21" t="s">
        <v>16</v>
      </c>
      <c r="D13" s="19" t="s">
        <v>204</v>
      </c>
      <c r="E13" s="16" t="s">
        <v>195</v>
      </c>
      <c r="F13" s="16" t="s">
        <v>205</v>
      </c>
      <c r="G13" s="17" t="s">
        <v>202</v>
      </c>
      <c r="H13" s="17" t="s">
        <v>197</v>
      </c>
    </row>
    <row r="14" spans="2:8">
      <c r="C14" s="21" t="s">
        <v>174</v>
      </c>
      <c r="D14" s="19" t="s">
        <v>206</v>
      </c>
      <c r="E14" s="19" t="s">
        <v>200</v>
      </c>
      <c r="F14" s="16" t="s">
        <v>201</v>
      </c>
      <c r="G14" s="16" t="s">
        <v>207</v>
      </c>
      <c r="H14" s="17" t="s">
        <v>196</v>
      </c>
    </row>
    <row r="15" spans="2:8">
      <c r="C15" s="21" t="s">
        <v>208</v>
      </c>
      <c r="D15" s="19" t="s">
        <v>209</v>
      </c>
      <c r="E15" s="19" t="s">
        <v>206</v>
      </c>
      <c r="F15" s="19" t="s">
        <v>204</v>
      </c>
      <c r="G15" s="19" t="s">
        <v>200</v>
      </c>
      <c r="H15" s="16" t="s">
        <v>195</v>
      </c>
    </row>
    <row r="18" spans="3:4">
      <c r="C18" s="15" t="s">
        <v>210</v>
      </c>
      <c r="D18" s="15" t="s">
        <v>8</v>
      </c>
    </row>
    <row r="19" spans="3:4">
      <c r="C19" s="13" t="s">
        <v>41</v>
      </c>
      <c r="D19" s="13" t="s">
        <v>16</v>
      </c>
    </row>
    <row r="20" spans="3:4">
      <c r="C20" s="13" t="s">
        <v>173</v>
      </c>
      <c r="D20" s="13" t="s">
        <v>211</v>
      </c>
    </row>
    <row r="21" spans="3:4">
      <c r="C21" s="13" t="s">
        <v>212</v>
      </c>
      <c r="D21" s="13" t="s">
        <v>16</v>
      </c>
    </row>
    <row r="22" spans="3:4">
      <c r="C22" s="13" t="s">
        <v>52</v>
      </c>
      <c r="D22" s="13" t="s">
        <v>53</v>
      </c>
    </row>
    <row r="23" spans="3:4">
      <c r="C23" s="13" t="s">
        <v>101</v>
      </c>
      <c r="D23" s="13" t="s">
        <v>53</v>
      </c>
    </row>
    <row r="24" spans="3:4">
      <c r="C24" s="13" t="s">
        <v>213</v>
      </c>
      <c r="D24" s="13" t="s">
        <v>208</v>
      </c>
    </row>
    <row r="25" spans="3:4">
      <c r="C25" s="13" t="s">
        <v>214</v>
      </c>
      <c r="D25" s="13" t="s">
        <v>194</v>
      </c>
    </row>
    <row r="26" spans="3:4">
      <c r="C26" s="13" t="s">
        <v>146</v>
      </c>
      <c r="D26" s="13" t="s">
        <v>53</v>
      </c>
    </row>
    <row r="27" spans="3:4">
      <c r="C27" s="13" t="s">
        <v>215</v>
      </c>
      <c r="D27" s="13" t="s">
        <v>16</v>
      </c>
    </row>
    <row r="28" spans="3:4">
      <c r="C28" s="13" t="s">
        <v>216</v>
      </c>
      <c r="D28" s="13" t="s">
        <v>208</v>
      </c>
    </row>
    <row r="29" spans="3:4">
      <c r="C29" s="13" t="s">
        <v>60</v>
      </c>
      <c r="D29" s="13" t="s">
        <v>16</v>
      </c>
    </row>
    <row r="30" spans="3:4">
      <c r="C30" s="13" t="s">
        <v>20</v>
      </c>
      <c r="D30" s="13" t="s">
        <v>16</v>
      </c>
    </row>
    <row r="31" spans="3:4">
      <c r="C31" s="13" t="s">
        <v>217</v>
      </c>
      <c r="D31" s="13" t="s">
        <v>208</v>
      </c>
    </row>
    <row r="34" spans="3:7">
      <c r="F34" s="58" t="s">
        <v>218</v>
      </c>
      <c r="G34" s="58"/>
    </row>
    <row r="35" spans="3:7">
      <c r="C35" s="15" t="s">
        <v>219</v>
      </c>
      <c r="D35" s="15" t="s">
        <v>220</v>
      </c>
      <c r="E35" s="15" t="s">
        <v>221</v>
      </c>
      <c r="F35" s="15" t="s">
        <v>222</v>
      </c>
      <c r="G35" s="15" t="s">
        <v>223</v>
      </c>
    </row>
    <row r="36" spans="3:7">
      <c r="C36" s="13" t="s">
        <v>45</v>
      </c>
      <c r="D36" s="13" t="s">
        <v>224</v>
      </c>
      <c r="E36" s="12">
        <v>76981903.319999993</v>
      </c>
      <c r="F36" s="13" t="s">
        <v>225</v>
      </c>
      <c r="G36" s="22">
        <f>E36*1%</f>
        <v>769819.03319999995</v>
      </c>
    </row>
    <row r="37" spans="3:7">
      <c r="C37" s="13" t="s">
        <v>190</v>
      </c>
      <c r="D37" s="13" t="s">
        <v>226</v>
      </c>
      <c r="E37" s="12">
        <v>76981903.319999993</v>
      </c>
      <c r="F37" s="22">
        <f>G36+0.01</f>
        <v>769819.04319999996</v>
      </c>
      <c r="G37" s="22">
        <f>E37*2%</f>
        <v>1539638.0663999999</v>
      </c>
    </row>
    <row r="38" spans="3:7">
      <c r="C38" s="13" t="s">
        <v>227</v>
      </c>
      <c r="D38" s="13" t="s">
        <v>228</v>
      </c>
      <c r="E38" s="12">
        <v>76981903.319999993</v>
      </c>
      <c r="F38" s="22">
        <f>G37+0.01</f>
        <v>1539638.0763999999</v>
      </c>
      <c r="G38" s="22">
        <f>E38*5%</f>
        <v>3849095.1659999997</v>
      </c>
    </row>
    <row r="39" spans="3:7">
      <c r="C39" s="13" t="s">
        <v>30</v>
      </c>
      <c r="D39" s="13" t="s">
        <v>229</v>
      </c>
      <c r="E39" s="12">
        <v>76981903.319999993</v>
      </c>
      <c r="F39" s="22">
        <f>G38+0.01</f>
        <v>3849095.1759999995</v>
      </c>
      <c r="G39" s="22">
        <f>E39*10%</f>
        <v>7698190.3319999995</v>
      </c>
    </row>
    <row r="40" spans="3:7">
      <c r="C40" s="13" t="s">
        <v>14</v>
      </c>
      <c r="D40" s="13" t="s">
        <v>230</v>
      </c>
      <c r="E40" s="12">
        <v>76981903.319999993</v>
      </c>
      <c r="F40" s="22">
        <f>G39+0.01</f>
        <v>7698190.3419999992</v>
      </c>
      <c r="G40" s="13" t="s">
        <v>225</v>
      </c>
    </row>
  </sheetData>
  <mergeCells count="3">
    <mergeCell ref="D9:H9"/>
    <mergeCell ref="F34:G34"/>
    <mergeCell ref="C8:C9"/>
  </mergeCells>
  <pageMargins left="0.7" right="0.7" top="0.75" bottom="0.75" header="0.3" footer="0.3"/>
  <pageSetup paperSize="9" scale="73" orientation="landscape"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opLeftCell="A16" zoomScale="70" zoomScaleNormal="70" workbookViewId="0"/>
  </sheetViews>
  <sheetFormatPr defaultRowHeight="14.4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A326B-4151-482E-B1C4-6AC6FB88586A}">
  <dimension ref="B2:I64"/>
  <sheetViews>
    <sheetView workbookViewId="0">
      <selection activeCell="E24" sqref="E24"/>
    </sheetView>
  </sheetViews>
  <sheetFormatPr defaultRowHeight="14.45"/>
  <cols>
    <col min="2" max="2" width="66.7109375" customWidth="1"/>
    <col min="3" max="3" width="14.7109375" customWidth="1"/>
    <col min="4" max="4" width="74.140625" customWidth="1"/>
    <col min="5" max="5" width="37" customWidth="1"/>
    <col min="6" max="7" width="14.7109375" customWidth="1"/>
    <col min="8" max="8" width="16.7109375" customWidth="1"/>
    <col min="9" max="9" width="37" customWidth="1"/>
  </cols>
  <sheetData>
    <row r="2" spans="2:9" ht="21">
      <c r="B2" s="33" t="s">
        <v>231</v>
      </c>
    </row>
    <row r="3" spans="2:9">
      <c r="B3" s="34" t="s">
        <v>232</v>
      </c>
    </row>
    <row r="5" spans="2:9">
      <c r="B5" s="35" t="s">
        <v>3</v>
      </c>
      <c r="C5" s="35" t="s">
        <v>233</v>
      </c>
      <c r="D5" s="35" t="s">
        <v>234</v>
      </c>
      <c r="E5" s="35" t="s">
        <v>235</v>
      </c>
      <c r="F5" s="35" t="s">
        <v>236</v>
      </c>
      <c r="G5" s="35" t="s">
        <v>237</v>
      </c>
      <c r="H5" s="35" t="s">
        <v>238</v>
      </c>
      <c r="I5" s="35" t="s">
        <v>239</v>
      </c>
    </row>
    <row r="6" spans="2:9">
      <c r="B6" s="36" t="s">
        <v>11</v>
      </c>
      <c r="C6" s="37">
        <v>18</v>
      </c>
      <c r="D6" s="37">
        <v>1</v>
      </c>
      <c r="E6" s="37">
        <v>14</v>
      </c>
      <c r="F6" s="37">
        <v>0</v>
      </c>
      <c r="G6" s="37">
        <v>3</v>
      </c>
      <c r="H6" s="38">
        <f>AVERAGE(Compliance!I8:I25)</f>
        <v>13.777777777777779</v>
      </c>
      <c r="I6" s="13" t="s">
        <v>240</v>
      </c>
    </row>
    <row r="7" spans="2:9">
      <c r="B7" s="36" t="s">
        <v>77</v>
      </c>
      <c r="C7" s="37">
        <v>8</v>
      </c>
      <c r="D7" s="37">
        <v>5</v>
      </c>
      <c r="E7" s="37">
        <v>2</v>
      </c>
      <c r="F7" s="37">
        <v>1</v>
      </c>
      <c r="G7" s="37">
        <v>0</v>
      </c>
      <c r="H7" s="38">
        <f>AVERAGE('Compras e Contas a Pagar'!I9:I16)</f>
        <v>17.25</v>
      </c>
      <c r="I7" s="13" t="s">
        <v>241</v>
      </c>
    </row>
    <row r="8" spans="2:9">
      <c r="B8" s="36" t="s">
        <v>106</v>
      </c>
      <c r="C8" s="37">
        <v>1</v>
      </c>
      <c r="D8" s="37">
        <v>0</v>
      </c>
      <c r="E8" s="37">
        <v>1</v>
      </c>
      <c r="F8" s="37">
        <v>0</v>
      </c>
      <c r="G8" s="37">
        <v>0</v>
      </c>
      <c r="H8" s="38">
        <f>Contabilidade!I8</f>
        <v>15</v>
      </c>
      <c r="I8" s="13" t="s">
        <v>20</v>
      </c>
    </row>
    <row r="9" spans="2:9">
      <c r="B9" s="36" t="s">
        <v>110</v>
      </c>
      <c r="C9" s="37">
        <v>3</v>
      </c>
      <c r="D9" s="37">
        <v>0</v>
      </c>
      <c r="E9" s="37">
        <v>0</v>
      </c>
      <c r="F9" s="37">
        <v>3</v>
      </c>
      <c r="G9" s="37">
        <v>0</v>
      </c>
      <c r="H9" s="38">
        <f>AVERAGE(Licenças!I8:I10)</f>
        <v>8</v>
      </c>
      <c r="I9" s="13" t="s">
        <v>242</v>
      </c>
    </row>
    <row r="10" spans="2:9">
      <c r="B10" s="36" t="s">
        <v>243</v>
      </c>
      <c r="C10" s="37">
        <v>8</v>
      </c>
      <c r="D10" s="37">
        <v>0</v>
      </c>
      <c r="E10" s="37">
        <v>8</v>
      </c>
      <c r="F10" s="37">
        <v>0</v>
      </c>
      <c r="G10" s="37">
        <v>0</v>
      </c>
      <c r="H10" s="38">
        <f>AVERAGE(Ope_Est_Man!I8:I15)</f>
        <v>15</v>
      </c>
      <c r="I10" s="13" t="s">
        <v>244</v>
      </c>
    </row>
    <row r="11" spans="2:9">
      <c r="B11" s="36" t="s">
        <v>143</v>
      </c>
      <c r="C11" s="37">
        <v>2</v>
      </c>
      <c r="D11" s="37">
        <v>0</v>
      </c>
      <c r="E11" s="37">
        <v>0</v>
      </c>
      <c r="F11" s="37">
        <v>0</v>
      </c>
      <c r="G11" s="37">
        <v>2</v>
      </c>
      <c r="H11" s="38">
        <f>AVERAGE(Qualidade!I8:I9)</f>
        <v>4</v>
      </c>
      <c r="I11" s="13" t="s">
        <v>245</v>
      </c>
    </row>
    <row r="12" spans="2:9">
      <c r="B12" s="36" t="s">
        <v>151</v>
      </c>
      <c r="C12" s="37">
        <v>6</v>
      </c>
      <c r="D12" s="37">
        <v>0</v>
      </c>
      <c r="E12" s="37">
        <v>6</v>
      </c>
      <c r="F12" s="37">
        <v>0</v>
      </c>
      <c r="G12" s="37">
        <v>0</v>
      </c>
      <c r="H12" s="38">
        <f>AVERAGE('Recursos Humanos'!I8:I13)</f>
        <v>13</v>
      </c>
      <c r="I12" s="13" t="s">
        <v>246</v>
      </c>
    </row>
    <row r="13" spans="2:9">
      <c r="B13" s="36" t="s">
        <v>247</v>
      </c>
      <c r="C13" s="37">
        <v>3</v>
      </c>
      <c r="D13" s="37">
        <v>0</v>
      </c>
      <c r="E13" s="37">
        <v>3</v>
      </c>
      <c r="F13" s="37">
        <v>0</v>
      </c>
      <c r="G13" s="37">
        <v>0</v>
      </c>
      <c r="H13" s="38">
        <f>AVERAGE('Tecnologia da Informação'!I8:I10)</f>
        <v>10</v>
      </c>
      <c r="I13" s="13" t="s">
        <v>248</v>
      </c>
    </row>
    <row r="14" spans="2:9">
      <c r="B14" s="36" t="s">
        <v>182</v>
      </c>
      <c r="C14" s="37">
        <v>2</v>
      </c>
      <c r="D14" s="37">
        <v>2</v>
      </c>
      <c r="E14" s="37">
        <v>0</v>
      </c>
      <c r="F14" s="37">
        <v>0</v>
      </c>
      <c r="G14" s="37">
        <v>0</v>
      </c>
      <c r="H14" s="38">
        <f>AVERAGE('Vendas e Contas a Receber'!I8:I9)</f>
        <v>20</v>
      </c>
      <c r="I14" s="13" t="s">
        <v>249</v>
      </c>
    </row>
    <row r="15" spans="2:9">
      <c r="B15" s="39" t="s">
        <v>250</v>
      </c>
      <c r="C15" s="40">
        <f>SUM(C6:C14)</f>
        <v>51</v>
      </c>
      <c r="D15" s="40">
        <f>SUM(D6:D14)</f>
        <v>8</v>
      </c>
      <c r="E15" s="40">
        <f>SUM(E6:E14)</f>
        <v>34</v>
      </c>
      <c r="F15" s="40">
        <f>SUM(F6:F14)</f>
        <v>4</v>
      </c>
      <c r="G15" s="40">
        <f>SUM(G6:G14)</f>
        <v>5</v>
      </c>
      <c r="H15" s="41">
        <f>AVERAGE(H6:H14)</f>
        <v>12.891975308641975</v>
      </c>
      <c r="I15" s="39" t="s">
        <v>225</v>
      </c>
    </row>
    <row r="17" spans="2:5" ht="18">
      <c r="B17" s="42" t="s">
        <v>251</v>
      </c>
    </row>
    <row r="19" spans="2:5">
      <c r="B19" s="43" t="s">
        <v>252</v>
      </c>
    </row>
    <row r="20" spans="2:5">
      <c r="B20" s="35" t="s">
        <v>2</v>
      </c>
      <c r="C20" s="35" t="s">
        <v>3</v>
      </c>
      <c r="D20" s="35" t="s">
        <v>253</v>
      </c>
      <c r="E20" s="35" t="s">
        <v>254</v>
      </c>
    </row>
    <row r="21" spans="2:5">
      <c r="B21" s="13" t="s">
        <v>49</v>
      </c>
      <c r="C21" s="13" t="s">
        <v>11</v>
      </c>
      <c r="D21" s="13" t="s">
        <v>255</v>
      </c>
      <c r="E21" s="13" t="s">
        <v>256</v>
      </c>
    </row>
    <row r="22" spans="2:5">
      <c r="B22" s="13" t="s">
        <v>76</v>
      </c>
      <c r="C22" s="13" t="s">
        <v>77</v>
      </c>
      <c r="D22" s="13" t="s">
        <v>257</v>
      </c>
      <c r="E22" s="13" t="s">
        <v>241</v>
      </c>
    </row>
    <row r="23" spans="2:5">
      <c r="B23" s="13" t="s">
        <v>81</v>
      </c>
      <c r="C23" s="13" t="s">
        <v>77</v>
      </c>
      <c r="D23" s="13" t="s">
        <v>258</v>
      </c>
      <c r="E23" s="13" t="s">
        <v>241</v>
      </c>
    </row>
    <row r="24" spans="2:5">
      <c r="B24" s="13" t="s">
        <v>90</v>
      </c>
      <c r="C24" s="13" t="s">
        <v>77</v>
      </c>
      <c r="D24" s="13" t="s">
        <v>259</v>
      </c>
      <c r="E24" s="13" t="s">
        <v>93</v>
      </c>
    </row>
    <row r="25" spans="2:5">
      <c r="B25" s="13" t="s">
        <v>98</v>
      </c>
      <c r="C25" s="13" t="s">
        <v>77</v>
      </c>
      <c r="D25" s="13" t="s">
        <v>260</v>
      </c>
      <c r="E25" s="13" t="s">
        <v>101</v>
      </c>
    </row>
    <row r="26" spans="2:5">
      <c r="B26" s="13" t="s">
        <v>102</v>
      </c>
      <c r="C26" s="13" t="s">
        <v>77</v>
      </c>
      <c r="D26" s="13" t="s">
        <v>261</v>
      </c>
      <c r="E26" s="13" t="s">
        <v>241</v>
      </c>
    </row>
    <row r="27" spans="2:5">
      <c r="B27" s="13" t="s">
        <v>181</v>
      </c>
      <c r="C27" s="13" t="s">
        <v>182</v>
      </c>
      <c r="D27" s="13" t="s">
        <v>262</v>
      </c>
      <c r="E27" s="13" t="s">
        <v>263</v>
      </c>
    </row>
    <row r="28" spans="2:5">
      <c r="B28" s="13" t="s">
        <v>186</v>
      </c>
      <c r="C28" s="13" t="s">
        <v>182</v>
      </c>
      <c r="D28" s="13" t="s">
        <v>264</v>
      </c>
      <c r="E28" s="13" t="s">
        <v>263</v>
      </c>
    </row>
    <row r="30" spans="2:5" ht="18">
      <c r="B30" s="44" t="s">
        <v>265</v>
      </c>
    </row>
    <row r="32" spans="2:5">
      <c r="B32" s="32" t="s">
        <v>266</v>
      </c>
    </row>
    <row r="33" spans="2:2">
      <c r="B33" t="s">
        <v>267</v>
      </c>
    </row>
    <row r="34" spans="2:2">
      <c r="B34" t="s">
        <v>268</v>
      </c>
    </row>
    <row r="35" spans="2:2">
      <c r="B35" t="s">
        <v>269</v>
      </c>
    </row>
    <row r="36" spans="2:2">
      <c r="B36" t="s">
        <v>270</v>
      </c>
    </row>
    <row r="37" spans="2:2">
      <c r="B37" t="s">
        <v>271</v>
      </c>
    </row>
    <row r="39" spans="2:2">
      <c r="B39" s="32" t="s">
        <v>272</v>
      </c>
    </row>
    <row r="40" spans="2:2">
      <c r="B40" t="s">
        <v>273</v>
      </c>
    </row>
    <row r="41" spans="2:2">
      <c r="B41" t="s">
        <v>274</v>
      </c>
    </row>
    <row r="42" spans="2:2">
      <c r="B42" t="s">
        <v>275</v>
      </c>
    </row>
    <row r="44" spans="2:2">
      <c r="B44" s="32" t="s">
        <v>276</v>
      </c>
    </row>
    <row r="45" spans="2:2">
      <c r="B45" t="s">
        <v>277</v>
      </c>
    </row>
    <row r="46" spans="2:2">
      <c r="B46" t="s">
        <v>278</v>
      </c>
    </row>
    <row r="47" spans="2:2">
      <c r="B47" t="s">
        <v>279</v>
      </c>
    </row>
    <row r="49" spans="2:6">
      <c r="B49" s="32" t="s">
        <v>280</v>
      </c>
    </row>
    <row r="50" spans="2:6">
      <c r="B50" t="s">
        <v>281</v>
      </c>
    </row>
    <row r="51" spans="2:6">
      <c r="B51" t="s">
        <v>282</v>
      </c>
    </row>
    <row r="52" spans="2:6">
      <c r="B52" t="s">
        <v>283</v>
      </c>
    </row>
    <row r="53" spans="2:6">
      <c r="B53" t="s">
        <v>284</v>
      </c>
    </row>
    <row r="54" spans="2:6">
      <c r="B54" t="s">
        <v>285</v>
      </c>
    </row>
    <row r="56" spans="2:6" ht="18">
      <c r="B56" s="44" t="s">
        <v>286</v>
      </c>
    </row>
    <row r="58" spans="2:6">
      <c r="B58" s="35"/>
      <c r="C58" s="46" t="s">
        <v>287</v>
      </c>
      <c r="D58" s="46" t="s">
        <v>288</v>
      </c>
      <c r="E58" s="46" t="s">
        <v>289</v>
      </c>
      <c r="F58" s="46" t="s">
        <v>290</v>
      </c>
    </row>
    <row r="59" spans="2:6">
      <c r="B59" s="35" t="s">
        <v>291</v>
      </c>
      <c r="C59" s="47" t="s">
        <v>292</v>
      </c>
      <c r="D59" s="48" t="s">
        <v>293</v>
      </c>
      <c r="E59" s="49" t="s">
        <v>294</v>
      </c>
      <c r="F59" s="50" t="s">
        <v>295</v>
      </c>
    </row>
    <row r="60" spans="2:6">
      <c r="B60" s="35" t="s">
        <v>296</v>
      </c>
      <c r="C60" s="47" t="s">
        <v>297</v>
      </c>
      <c r="D60" s="48" t="s">
        <v>298</v>
      </c>
      <c r="E60" s="49" t="s">
        <v>299</v>
      </c>
      <c r="F60" s="49" t="s">
        <v>300</v>
      </c>
    </row>
    <row r="61" spans="2:6">
      <c r="B61" s="35" t="s">
        <v>301</v>
      </c>
      <c r="C61" s="47" t="s">
        <v>302</v>
      </c>
      <c r="D61" s="47" t="s">
        <v>292</v>
      </c>
      <c r="E61" s="48" t="s">
        <v>293</v>
      </c>
      <c r="F61" s="49" t="s">
        <v>303</v>
      </c>
    </row>
    <row r="62" spans="2:6">
      <c r="B62" s="35" t="s">
        <v>304</v>
      </c>
      <c r="C62" s="47" t="s">
        <v>305</v>
      </c>
      <c r="D62" s="47" t="s">
        <v>302</v>
      </c>
      <c r="E62" s="47" t="s">
        <v>292</v>
      </c>
      <c r="F62" s="48" t="s">
        <v>306</v>
      </c>
    </row>
    <row r="64" spans="2:6">
      <c r="B64" s="45" t="s">
        <v>307</v>
      </c>
      <c r="C64" s="53" t="s">
        <v>234</v>
      </c>
      <c r="D64" s="51" t="s">
        <v>235</v>
      </c>
      <c r="E64" s="52" t="s">
        <v>236</v>
      </c>
      <c r="F64" s="54" t="s">
        <v>237</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f41f7b-9f1c-43c1-82c5-36eec04dea99">
      <Terms xmlns="http://schemas.microsoft.com/office/infopath/2007/PartnerControls"/>
    </lcf76f155ced4ddcb4097134ff3c332f>
    <TaxCatchAll xmlns="a96936c6-72bc-454b-a8f3-e2b78f49556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3EE62E81978D2459C1DD99772C6C20E" ma:contentTypeVersion="18" ma:contentTypeDescription="Crie um novo documento." ma:contentTypeScope="" ma:versionID="906bf6ddb70308edd4eccb5069420fe4">
  <xsd:schema xmlns:xsd="http://www.w3.org/2001/XMLSchema" xmlns:xs="http://www.w3.org/2001/XMLSchema" xmlns:p="http://schemas.microsoft.com/office/2006/metadata/properties" xmlns:ns2="a96936c6-72bc-454b-a8f3-e2b78f49556d" xmlns:ns3="7af41f7b-9f1c-43c1-82c5-36eec04dea99" targetNamespace="http://schemas.microsoft.com/office/2006/metadata/properties" ma:root="true" ma:fieldsID="1a5ff5cb5664f7efa695de84393efda7" ns2:_="" ns3:_="">
    <xsd:import namespace="a96936c6-72bc-454b-a8f3-e2b78f49556d"/>
    <xsd:import namespace="7af41f7b-9f1c-43c1-82c5-36eec04dea9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lcf76f155ced4ddcb4097134ff3c332f" minOccurs="0"/>
                <xsd:element ref="ns2:TaxCatchAll" minOccurs="0"/>
                <xsd:element ref="ns3:MediaLengthInSeconds"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6936c6-72bc-454b-a8f3-e2b78f49556d" elementFormDefault="qualified">
    <xsd:import namespace="http://schemas.microsoft.com/office/2006/documentManagement/types"/>
    <xsd:import namespace="http://schemas.microsoft.com/office/infopath/2007/PartnerControls"/>
    <xsd:element name="SharedWithUsers" ma:index="8" nillable="true" ma:displayName="Compartilhado com"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description="" ma:internalName="SharedWithDetails" ma:readOnly="true">
      <xsd:simpleType>
        <xsd:restriction base="dms:Note">
          <xsd:maxLength value="255"/>
        </xsd:restriction>
      </xsd:simpleType>
    </xsd:element>
    <xsd:element name="TaxCatchAll" ma:index="22" nillable="true" ma:displayName="Taxonomy Catch All Column" ma:hidden="true" ma:list="{06fc624d-d6ae-4312-9065-b9d8f7789797}" ma:internalName="TaxCatchAll" ma:showField="CatchAllData" ma:web="a96936c6-72bc-454b-a8f3-e2b78f49556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af41f7b-9f1c-43c1-82c5-36eec04dea99"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c83317ef-c6ea-42c1-a8bf-4d275f285983"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B1EEC-5A8A-407F-876B-35FE3F8FBC8E}"/>
</file>

<file path=customXml/itemProps2.xml><?xml version="1.0" encoding="utf-8"?>
<ds:datastoreItem xmlns:ds="http://schemas.openxmlformats.org/officeDocument/2006/customXml" ds:itemID="{37BC2DAD-A5F1-492E-B0A0-E9D958960C9B}"/>
</file>

<file path=customXml/itemProps3.xml><?xml version="1.0" encoding="utf-8"?>
<ds:datastoreItem xmlns:ds="http://schemas.openxmlformats.org/officeDocument/2006/customXml" ds:itemID="{00542462-9788-4250-A471-18177B844E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Daniel Andrade de Souza | Pinheiro Neto</cp:lastModifiedBy>
  <cp:revision/>
  <dcterms:created xsi:type="dcterms:W3CDTF">2015-06-05T18:17:20Z</dcterms:created>
  <dcterms:modified xsi:type="dcterms:W3CDTF">2026-09-18T21:21:55Z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0x01010073EE62E81978D2459C1DD99772C6C20E</vt:lpwstr>
  </property>
  <property fmtid="{D5CDD505-2E9C-101B-9397-08002B2CF9AE}" pid="3" name="MediaServiceImageTags">
    <vt:lpwstr/>
  </property>
</Properties>
</file>