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https://decalbrasil.sharepoint.com/sgi/evidencias/PC - Programa de Compliance/Mapa de risco/"/>
    </mc:Choice>
  </mc:AlternateContent>
  <xr:revisionPtr revIDLastSave="55" documentId="8_{6A141F69-5384-4853-9733-E16535E98495}" xr6:coauthVersionLast="47" xr6:coauthVersionMax="47" xr10:uidLastSave="{FF911161-6EE5-4F50-8BEE-367CE66AF09D}"/>
  <bookViews>
    <workbookView xWindow="28680" yWindow="-120" windowWidth="29040" windowHeight="15720" xr2:uid="{00000000-000D-0000-FFFF-FFFF00000000}"/>
  </bookViews>
  <sheets>
    <sheet name="Mapa de risco" sheetId="1" r:id="rId1"/>
    <sheet name="Grupo de delitos" sheetId="2" r:id="rId2"/>
  </sheets>
  <externalReferences>
    <externalReference r:id="rId3"/>
  </externalReferences>
  <definedNames>
    <definedName name="_xlnm.Print_Area" localSheetId="0">'Mapa de risco'!$A$1:$S$71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F51" i="1"/>
  <c r="L26" i="1" l="1"/>
  <c r="Q26" i="1" s="1"/>
  <c r="L16" i="1"/>
  <c r="Q16" i="1" s="1"/>
  <c r="L15" i="1"/>
  <c r="O15" i="1" s="1"/>
  <c r="L19" i="1"/>
  <c r="O19" i="1"/>
  <c r="P19" i="1"/>
  <c r="Q19" i="1"/>
  <c r="O26" i="1" l="1"/>
  <c r="P26" i="1"/>
  <c r="P15" i="1"/>
  <c r="Q15" i="1"/>
  <c r="O16" i="1"/>
  <c r="F65" i="1"/>
  <c r="F64" i="1"/>
  <c r="F66" i="1"/>
  <c r="G65" i="1"/>
  <c r="G66" i="1"/>
  <c r="B66" i="1"/>
  <c r="B65" i="1"/>
  <c r="B64" i="1"/>
  <c r="L30" i="1"/>
  <c r="Q30" i="1" s="1"/>
  <c r="L29" i="1"/>
  <c r="P29" i="1" s="1"/>
  <c r="F58" i="1"/>
  <c r="G58" i="1"/>
  <c r="O30" i="1" l="1"/>
  <c r="P30" i="1"/>
  <c r="Q29" i="1"/>
  <c r="O29" i="1"/>
  <c r="G63" i="1"/>
  <c r="F63" i="1"/>
  <c r="L27" i="1"/>
  <c r="Q27" i="1" s="1"/>
  <c r="G51" i="1"/>
  <c r="F52" i="1"/>
  <c r="B56" i="1"/>
  <c r="L24" i="1"/>
  <c r="O24" i="1" s="1"/>
  <c r="L20" i="1"/>
  <c r="O20" i="1" s="1"/>
  <c r="G64" i="1"/>
  <c r="G62" i="1"/>
  <c r="F62" i="1"/>
  <c r="B62" i="1"/>
  <c r="G61" i="1"/>
  <c r="F61" i="1"/>
  <c r="B61" i="1"/>
  <c r="G60" i="1"/>
  <c r="F60" i="1"/>
  <c r="B60" i="1"/>
  <c r="G59" i="1"/>
  <c r="F59" i="1"/>
  <c r="B59" i="1"/>
  <c r="B58" i="1"/>
  <c r="G57" i="1"/>
  <c r="F57" i="1"/>
  <c r="B57" i="1"/>
  <c r="G56" i="1"/>
  <c r="F56" i="1"/>
  <c r="G55" i="1"/>
  <c r="F55" i="1"/>
  <c r="B55" i="1"/>
  <c r="G54" i="1"/>
  <c r="F54" i="1"/>
  <c r="B54" i="1"/>
  <c r="G53" i="1"/>
  <c r="F53" i="1"/>
  <c r="B53" i="1"/>
  <c r="G52" i="1"/>
  <c r="B52" i="1"/>
  <c r="B51" i="1"/>
  <c r="G50" i="1"/>
  <c r="F50" i="1"/>
  <c r="B50" i="1"/>
  <c r="L28" i="1"/>
  <c r="O28" i="1" s="1"/>
  <c r="L25" i="1"/>
  <c r="P25" i="1" s="1"/>
  <c r="L23" i="1"/>
  <c r="Q23" i="1" s="1"/>
  <c r="L22" i="1"/>
  <c r="O22" i="1" s="1"/>
  <c r="L21" i="1"/>
  <c r="Q21" i="1" s="1"/>
  <c r="L18" i="1"/>
  <c r="P18" i="1" s="1"/>
  <c r="L17" i="1"/>
  <c r="O17" i="1" s="1"/>
  <c r="O21" i="1" l="1"/>
  <c r="Q18" i="1"/>
  <c r="P24" i="1"/>
  <c r="Q24" i="1"/>
  <c r="P23" i="1"/>
  <c r="O27" i="1"/>
  <c r="O23" i="1"/>
  <c r="P27" i="1"/>
  <c r="P22" i="1"/>
  <c r="P17" i="1"/>
  <c r="Q17" i="1"/>
  <c r="O25" i="1"/>
  <c r="Q28" i="1"/>
  <c r="Q25" i="1"/>
  <c r="Q22" i="1"/>
  <c r="P28" i="1"/>
  <c r="P20" i="1"/>
  <c r="P21" i="1"/>
  <c r="Q20" i="1"/>
  <c r="O18" i="1"/>
</calcChain>
</file>

<file path=xl/sharedStrings.xml><?xml version="1.0" encoding="utf-8"?>
<sst xmlns="http://schemas.openxmlformats.org/spreadsheetml/2006/main" count="166" uniqueCount="90">
  <si>
    <t xml:space="preserve"> ANÁLISE DE RISCO - F.PC.07.01.S</t>
  </si>
  <si>
    <t>IMPACTO</t>
  </si>
  <si>
    <t>PROBABILIDADE</t>
  </si>
  <si>
    <t>1 – Muito pequeno</t>
  </si>
  <si>
    <t>2 – Pequeno</t>
  </si>
  <si>
    <t>3 – Moderado</t>
  </si>
  <si>
    <t>4 – Grande</t>
  </si>
  <si>
    <t>5 – Muito grande</t>
  </si>
  <si>
    <t>5 - Ocorrência quase certa</t>
  </si>
  <si>
    <t>Médio (5)</t>
  </si>
  <si>
    <t>Alto (10)</t>
  </si>
  <si>
    <t>Alto (15)</t>
  </si>
  <si>
    <t>Muito alto (20)</t>
  </si>
  <si>
    <t>Muito alto (25)</t>
  </si>
  <si>
    <t>4 - Muito provável</t>
  </si>
  <si>
    <t>Médio (4)</t>
  </si>
  <si>
    <t>Médio (6)</t>
  </si>
  <si>
    <t>Alto (12)</t>
  </si>
  <si>
    <t>Alto (16)</t>
  </si>
  <si>
    <t>3 - Possível</t>
  </si>
  <si>
    <t>Baixo (3)</t>
  </si>
  <si>
    <t>Médio (9)</t>
  </si>
  <si>
    <t>2 - Pouco provável</t>
  </si>
  <si>
    <t>Baixo (2)</t>
  </si>
  <si>
    <t>Baixo (4)</t>
  </si>
  <si>
    <t>Médio (8)</t>
  </si>
  <si>
    <t>1 - Remota</t>
  </si>
  <si>
    <t>Baixo (1)</t>
  </si>
  <si>
    <t>Grupo de desvios</t>
  </si>
  <si>
    <t>Probabilidade</t>
  </si>
  <si>
    <t>X</t>
  </si>
  <si>
    <t>Impacto</t>
  </si>
  <si>
    <t>=</t>
  </si>
  <si>
    <t>Risco</t>
  </si>
  <si>
    <t>Controles internos</t>
  </si>
  <si>
    <t>Canal de denúncia</t>
  </si>
  <si>
    <t>Propriedade intelectual e industrial</t>
  </si>
  <si>
    <t>Agentes públicos</t>
  </si>
  <si>
    <t>Clientes e fornecedores</t>
  </si>
  <si>
    <t>Lavagem de dinheiro</t>
  </si>
  <si>
    <t>Direitos dos trabalhadores</t>
  </si>
  <si>
    <t>Meio ambiente, Segurança do trabalho e Responsabilidade social</t>
  </si>
  <si>
    <t>Desvios tecnológicos</t>
  </si>
  <si>
    <t>Pagamento indevido (propinas)</t>
  </si>
  <si>
    <t>Assédio moral e sexual</t>
  </si>
  <si>
    <t>Fraude e Roubo</t>
  </si>
  <si>
    <t>Privacidade de dados e Segurança da informação</t>
  </si>
  <si>
    <t>Corrupção</t>
  </si>
  <si>
    <t>Regulatório</t>
  </si>
  <si>
    <t>Reputação</t>
  </si>
  <si>
    <t xml:space="preserve"> </t>
  </si>
  <si>
    <t>Escala para valorar o impacto econômico</t>
  </si>
  <si>
    <t>Gravidade do impacto</t>
  </si>
  <si>
    <t>Imapcto financeiro no negócio</t>
  </si>
  <si>
    <t>1 - Muito pequeno</t>
  </si>
  <si>
    <t>Menos de 1%</t>
  </si>
  <si>
    <t>2 - Pequeno</t>
  </si>
  <si>
    <t>Entre 1% e 2%</t>
  </si>
  <si>
    <t>3 - Moderado</t>
  </si>
  <si>
    <t>Entre 2% e 5%</t>
  </si>
  <si>
    <t>4 - Grande</t>
  </si>
  <si>
    <t>Entre 5% e 10%</t>
  </si>
  <si>
    <t>5 - Muito grande</t>
  </si>
  <si>
    <t>Mais de 10%</t>
  </si>
  <si>
    <t>Gráfico Mapa de riscos</t>
  </si>
  <si>
    <t>Data da última revisão: 20/11/2025</t>
  </si>
  <si>
    <t>Grupo de delitos</t>
  </si>
  <si>
    <t>Riesgo inherente</t>
  </si>
  <si>
    <t>Riesgo residual 2025</t>
  </si>
  <si>
    <t>Corrupción</t>
  </si>
  <si>
    <t>4 - Muy probable</t>
  </si>
  <si>
    <t>3 - Es posible</t>
  </si>
  <si>
    <t>Delitos tecnológicos</t>
  </si>
  <si>
    <t xml:space="preserve">Propiedad intelectual </t>
  </si>
  <si>
    <t>Agentes publicos</t>
  </si>
  <si>
    <t>2 - Es raro que suceda</t>
  </si>
  <si>
    <t>Mercado y consumidores</t>
  </si>
  <si>
    <t>Blanqueo de capitales</t>
  </si>
  <si>
    <t>1 - Sería excepcional</t>
  </si>
  <si>
    <t>Derechos de los trabajadores y trata de personas</t>
  </si>
  <si>
    <t>Medio ambiente y seguridad colectiva</t>
  </si>
  <si>
    <t>Canal etico</t>
  </si>
  <si>
    <t>Pago indebido (soborno)</t>
  </si>
  <si>
    <t>Intimidad</t>
  </si>
  <si>
    <t>Estafa y Robo</t>
  </si>
  <si>
    <t>Privacidad de datos y seguridad de la información</t>
  </si>
  <si>
    <t>Regulador</t>
  </si>
  <si>
    <t>Reputación</t>
  </si>
  <si>
    <t>Classificación</t>
  </si>
  <si>
    <t>5 - Caso certo que suceda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</si>
</sst>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2D69B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10">
    <xf numFmtId="0" fontId="0" fillId="0" borderId="0" xfId="0"/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7" fillId="2" borderId="0" xfId="1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8" fillId="2" borderId="0" xfId="2" applyFont="1" applyFill="1"/>
    <xf numFmtId="0" fontId="6" fillId="2" borderId="0" xfId="2" applyFill="1"/>
    <xf numFmtId="0" fontId="7" fillId="2" borderId="0" xfId="1" applyFont="1" applyFill="1" applyAlignment="1">
      <alignment wrapText="1"/>
    </xf>
    <xf numFmtId="0" fontId="2" fillId="2" borderId="0" xfId="0" applyFont="1" applyFill="1"/>
    <xf numFmtId="0" fontId="6" fillId="3" borderId="5" xfId="0" applyFont="1" applyFill="1" applyBorder="1" applyAlignment="1">
      <alignment horizontal="left" vertical="center"/>
    </xf>
    <xf numFmtId="0" fontId="6" fillId="4" borderId="4" xfId="1" applyFill="1" applyBorder="1" applyAlignment="1">
      <alignment horizontal="center" vertical="center" wrapText="1"/>
    </xf>
    <xf numFmtId="0" fontId="10" fillId="5" borderId="5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6" fillId="4" borderId="5" xfId="1" applyFill="1" applyBorder="1" applyAlignment="1">
      <alignment horizontal="center" vertical="center" wrapText="1"/>
    </xf>
    <xf numFmtId="0" fontId="6" fillId="7" borderId="4" xfId="1" applyFill="1" applyBorder="1" applyAlignment="1">
      <alignment horizontal="center" vertical="center" wrapText="1"/>
    </xf>
    <xf numFmtId="0" fontId="6" fillId="7" borderId="5" xfId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4" fillId="2" borderId="0" xfId="0" applyFont="1" applyFill="1" applyAlignment="1">
      <alignment vertical="center"/>
    </xf>
    <xf numFmtId="0" fontId="0" fillId="2" borderId="8" xfId="0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0" fillId="2" borderId="0" xfId="0" quotePrefix="1" applyFill="1"/>
    <xf numFmtId="0" fontId="0" fillId="2" borderId="14" xfId="0" applyFill="1" applyBorder="1" applyAlignment="1">
      <alignment horizontal="center"/>
    </xf>
    <xf numFmtId="0" fontId="17" fillId="2" borderId="6" xfId="0" applyFont="1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0" fontId="17" fillId="2" borderId="9" xfId="0" applyFont="1" applyFill="1" applyBorder="1" applyAlignment="1">
      <alignment horizontal="left"/>
    </xf>
    <xf numFmtId="0" fontId="19" fillId="2" borderId="0" xfId="0" applyFont="1" applyFill="1"/>
    <xf numFmtId="49" fontId="3" fillId="3" borderId="12" xfId="0" applyNumberFormat="1" applyFont="1" applyFill="1" applyBorder="1" applyAlignment="1">
      <alignment horizontal="left"/>
    </xf>
    <xf numFmtId="49" fontId="3" fillId="3" borderId="13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/>
    </xf>
    <xf numFmtId="0" fontId="23" fillId="3" borderId="5" xfId="2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16" fillId="2" borderId="0" xfId="0" applyFont="1" applyFill="1"/>
    <xf numFmtId="0" fontId="2" fillId="2" borderId="0" xfId="0" applyFont="1" applyFill="1" applyAlignment="1">
      <alignment horizontal="justify" vertical="center"/>
    </xf>
    <xf numFmtId="0" fontId="26" fillId="10" borderId="17" xfId="0" applyFont="1" applyFill="1" applyBorder="1" applyAlignment="1">
      <alignment horizontal="left" vertical="center" wrapText="1"/>
    </xf>
    <xf numFmtId="0" fontId="26" fillId="10" borderId="18" xfId="0" applyFont="1" applyFill="1" applyBorder="1" applyAlignment="1">
      <alignment horizontal="left" vertical="center" wrapText="1"/>
    </xf>
    <xf numFmtId="0" fontId="27" fillId="11" borderId="19" xfId="0" applyFont="1" applyFill="1" applyBorder="1" applyAlignment="1">
      <alignment horizontal="left" vertical="center"/>
    </xf>
    <xf numFmtId="0" fontId="28" fillId="12" borderId="20" xfId="0" applyFont="1" applyFill="1" applyBorder="1" applyAlignment="1">
      <alignment horizontal="center" vertical="center" wrapText="1"/>
    </xf>
    <xf numFmtId="0" fontId="28" fillId="13" borderId="20" xfId="0" applyFont="1" applyFill="1" applyBorder="1" applyAlignment="1">
      <alignment horizontal="center" vertical="center" wrapText="1"/>
    </xf>
    <xf numFmtId="0" fontId="28" fillId="14" borderId="20" xfId="0" applyFont="1" applyFill="1" applyBorder="1" applyAlignment="1">
      <alignment horizontal="center" vertical="center" wrapText="1"/>
    </xf>
    <xf numFmtId="0" fontId="28" fillId="14" borderId="20" xfId="0" applyFont="1" applyFill="1" applyBorder="1" applyAlignment="1">
      <alignment horizontal="left" vertical="center" wrapText="1"/>
    </xf>
    <xf numFmtId="0" fontId="25" fillId="0" borderId="21" xfId="0" applyFont="1" applyBorder="1"/>
    <xf numFmtId="0" fontId="26" fillId="11" borderId="22" xfId="0" applyFont="1" applyFill="1" applyBorder="1" applyAlignment="1">
      <alignment horizontal="left" vertical="center"/>
    </xf>
    <xf numFmtId="0" fontId="25" fillId="0" borderId="22" xfId="0" applyFont="1" applyBorder="1"/>
    <xf numFmtId="0" fontId="25" fillId="0" borderId="23" xfId="0" applyFont="1" applyBorder="1"/>
    <xf numFmtId="0" fontId="24" fillId="2" borderId="1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24" fillId="2" borderId="10" xfId="0" applyFont="1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11" fillId="3" borderId="5" xfId="2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left"/>
    </xf>
    <xf numFmtId="0" fontId="21" fillId="8" borderId="16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2" fillId="9" borderId="16" xfId="0" applyFont="1" applyFill="1" applyBorder="1" applyAlignment="1">
      <alignment horizontal="right"/>
    </xf>
    <xf numFmtId="0" fontId="22" fillId="9" borderId="12" xfId="0" applyFont="1" applyFill="1" applyBorder="1" applyAlignment="1">
      <alignment horizontal="right"/>
    </xf>
    <xf numFmtId="0" fontId="18" fillId="2" borderId="12" xfId="0" applyFont="1" applyFill="1" applyBorder="1" applyAlignment="1">
      <alignment horizontal="left"/>
    </xf>
    <xf numFmtId="0" fontId="18" fillId="2" borderId="4" xfId="0" applyFont="1" applyFill="1" applyBorder="1" applyAlignment="1">
      <alignment horizontal="left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5" fillId="2" borderId="12" xfId="1" applyFont="1" applyFill="1" applyBorder="1" applyAlignment="1">
      <alignment horizontal="left" vertical="center" wrapText="1"/>
    </xf>
    <xf numFmtId="0" fontId="15" fillId="2" borderId="4" xfId="1" applyFont="1" applyFill="1" applyBorder="1" applyAlignment="1">
      <alignment horizontal="left" vertical="center" wrapText="1"/>
    </xf>
    <xf numFmtId="0" fontId="15" fillId="2" borderId="5" xfId="1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right"/>
    </xf>
    <xf numFmtId="0" fontId="16" fillId="2" borderId="0" xfId="0" applyFont="1" applyFill="1" applyAlignment="1">
      <alignment horizontal="right"/>
    </xf>
    <xf numFmtId="0" fontId="16" fillId="2" borderId="7" xfId="0" applyFont="1" applyFill="1" applyBorder="1" applyAlignment="1">
      <alignment horizontal="right"/>
    </xf>
    <xf numFmtId="0" fontId="14" fillId="0" borderId="12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49" fontId="5" fillId="2" borderId="0" xfId="0" applyNumberFormat="1" applyFont="1" applyFill="1" applyAlignment="1">
      <alignment horizontal="left"/>
    </xf>
    <xf numFmtId="0" fontId="9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11" fillId="3" borderId="12" xfId="2" applyFont="1" applyFill="1" applyBorder="1" applyAlignment="1">
      <alignment horizontal="left" vertical="center" wrapText="1"/>
    </xf>
    <xf numFmtId="0" fontId="11" fillId="3" borderId="13" xfId="2" applyFont="1" applyFill="1" applyBorder="1" applyAlignment="1">
      <alignment horizontal="left" vertical="center" wrapText="1"/>
    </xf>
    <xf numFmtId="0" fontId="11" fillId="3" borderId="4" xfId="2" applyFont="1" applyFill="1" applyBorder="1" applyAlignment="1">
      <alignment horizontal="left" vertical="center" wrapText="1"/>
    </xf>
    <xf numFmtId="0" fontId="11" fillId="3" borderId="12" xfId="1" applyFont="1" applyFill="1" applyBorder="1" applyAlignment="1">
      <alignment horizontal="left" vertical="center" wrapText="1"/>
    </xf>
    <xf numFmtId="0" fontId="11" fillId="3" borderId="4" xfId="1" applyFont="1" applyFill="1" applyBorder="1" applyAlignment="1">
      <alignment horizontal="left" vertical="center" wrapText="1"/>
    </xf>
    <xf numFmtId="0" fontId="11" fillId="3" borderId="5" xfId="1" applyFont="1" applyFill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6" fillId="2" borderId="1" xfId="0" applyFont="1" applyFill="1" applyBorder="1" applyAlignment="1"/>
    <xf numFmtId="0" fontId="16" fillId="2" borderId="2" xfId="0" applyFont="1" applyFill="1" applyBorder="1" applyAlignment="1"/>
    <xf numFmtId="0" fontId="16" fillId="2" borderId="3" xfId="0" applyFont="1" applyFill="1" applyBorder="1" applyAlignment="1"/>
    <xf numFmtId="0" fontId="16" fillId="2" borderId="6" xfId="0" applyFont="1" applyFill="1" applyBorder="1" applyAlignment="1"/>
    <xf numFmtId="0" fontId="16" fillId="2" borderId="0" xfId="0" applyFont="1" applyFill="1" applyAlignment="1"/>
    <xf numFmtId="0" fontId="16" fillId="2" borderId="7" xfId="0" applyFont="1" applyFill="1" applyBorder="1" applyAlignment="1"/>
    <xf numFmtId="0" fontId="16" fillId="2" borderId="9" xfId="0" applyFont="1" applyFill="1" applyBorder="1" applyAlignment="1"/>
    <xf numFmtId="0" fontId="16" fillId="2" borderId="10" xfId="0" applyFont="1" applyFill="1" applyBorder="1" applyAlignment="1"/>
    <xf numFmtId="0" fontId="16" fillId="2" borderId="11" xfId="0" applyFont="1" applyFill="1" applyBorder="1" applyAlignment="1"/>
  </cellXfs>
  <cellStyles count="3">
    <cellStyle name="Normal" xfId="0" builtinId="0"/>
    <cellStyle name="Normal 2" xfId="2" xr:uid="{00000000-0005-0000-0000-000001000000}"/>
    <cellStyle name="Normal_SummaryRiskAssessmentRegister" xfId="1" xr:uid="{00000000-0005-0000-0000-000002000000}"/>
  </cellStyles>
  <dxfs count="36"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3"/>
        </patternFill>
      </fill>
    </dxf>
  </dxfs>
  <tableStyles count="0" defaultTableStyle="TableStyleMedium2" defaultPivotStyle="PivotStyleLight16"/>
  <colors>
    <mruColors>
      <color rgb="FFFF3300"/>
      <color rgb="FFFD9701"/>
      <color rgb="FFFFA521"/>
      <color rgb="FFFF9900"/>
      <color rgb="FFF254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>
                <a:latin typeface="Arial"/>
              </a:defRPr>
            </a:pPr>
            <a:r>
              <a:rPr lang="en-US"/>
              <a:t>"Gráfico Mapa de riscos"</a:t>
            </a:r>
          </a:p>
        </c:rich>
      </c:tx>
      <c:layout>
        <c:manualLayout>
          <c:xMode val="edge"/>
          <c:yMode val="edge"/>
          <c:x val="0.37374506777966798"/>
          <c:y val="1.82186234817813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771899723606086E-2"/>
          <c:y val="0.12811795581736732"/>
          <c:w val="0.90404718112733862"/>
          <c:h val="0.77978155005705785"/>
        </c:manualLayout>
      </c:layout>
      <c:scatterChart>
        <c:scatterStyle val="lineMarker"/>
        <c:varyColors val="0"/>
        <c:ser>
          <c:idx val="0"/>
          <c:order val="203"/>
          <c:tx>
            <c:strRef>
              <c:f>'Mapa de risco'!$B$52</c:f>
              <c:strCache>
                <c:ptCount val="1"/>
                <c:pt idx="0">
                  <c:v>Canal de denúncia</c:v>
                </c:pt>
              </c:strCache>
            </c:strRef>
          </c:tx>
          <c:dLbls>
            <c:dLbl>
              <c:idx val="0"/>
              <c:layout>
                <c:manualLayout>
                  <c:x val="-0.42082236003027501"/>
                  <c:y val="-0.27511272117601271"/>
                </c:manualLayout>
              </c:layout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/>
                    </a:pPr>
                    <a:fld id="{58A4893D-8617-4BB4-9073-BDD69E264442}" type="CELLREF">
                      <a:rPr lang="en-US" b="1"/>
                      <a:pPr algn="l">
                        <a:defRPr/>
                      </a:pPr>
                      <a:t>[]</a:t>
                    </a:fld>
                    <a:endParaRPr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{58A4893D-8617-4BB4-9073-BDD69E264442}</c15:txfldGUID>
                      <c15:f>'Mapa de risco'!$B$52</c15:f>
                      <c15:dlblFieldTableCache>
                        <c:ptCount val="1"/>
                        <c:pt idx="0">
                          <c:v>Canal de denúncia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3FFD-4B47-B6D3-0719D92012D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'Mapa de risco'!$G$52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'Mapa de risco'!$F$52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FD-4B47-B6D3-0719D92012D2}"/>
            </c:ext>
          </c:extLst>
        </c:ser>
        <c:ser>
          <c:idx val="4"/>
          <c:order val="204"/>
          <c:tx>
            <c:strRef>
              <c:f>'Mapa de risco'!$B$53</c:f>
              <c:strCache>
                <c:ptCount val="1"/>
                <c:pt idx="0">
                  <c:v>Propriedade intelectual e industrial</c:v>
                </c:pt>
              </c:strCache>
            </c:strRef>
          </c:tx>
          <c:dLbls>
            <c:dLbl>
              <c:idx val="0"/>
              <c:layout>
                <c:manualLayout>
                  <c:x val="-0.15365210214186392"/>
                  <c:y val="-6.224248478092572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/>
                    </a:pPr>
                    <a:r>
                      <a:rPr lang="en-US" sz="1100" b="1"/>
                      <a:t>Propriedade intelectual</a:t>
                    </a:r>
                    <a:r>
                      <a:rPr lang="en-US" sz="1100" b="1" baseline="0"/>
                      <a:t> e industrial</a:t>
                    </a:r>
                    <a:endParaRPr lang="en-US" sz="1100" b="1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'Mapa de risco'!$G$53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'Mapa de risco'!$F$53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00E-4F42-885D-9940E6474534}"/>
            </c:ext>
          </c:extLst>
        </c:ser>
        <c:ser>
          <c:idx val="6"/>
          <c:order val="205"/>
          <c:tx>
            <c:strRef>
              <c:f>'Mapa de risco'!$B$54</c:f>
              <c:strCache>
                <c:ptCount val="1"/>
                <c:pt idx="0">
                  <c:v>Agentes públicos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E-900E-4F42-885D-9940E6474534}"/>
              </c:ext>
            </c:extLst>
          </c:dPt>
          <c:dLbls>
            <c:dLbl>
              <c:idx val="0"/>
              <c:layout>
                <c:manualLayout>
                  <c:x val="-0.28655849424095886"/>
                  <c:y val="-0.2876571202859167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rPr>
                      <a:t>Agentes</a:t>
                    </a:r>
                    <a:r>
                      <a:rPr lang="en-US" b="1" baseline="0"/>
                      <a:t> públicos</a:t>
                    </a:r>
                    <a:r>
                      <a:rPr lang="en-US" b="1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0"/>
          </c:trendline>
          <c:xVal>
            <c:numRef>
              <c:f>'Mapa de risco'!$G$54</c:f>
              <c:numCache>
                <c:formatCode>General</c:formatCode>
                <c:ptCount val="1"/>
                <c:pt idx="0">
                  <c:v>80</c:v>
                </c:pt>
              </c:numCache>
            </c:numRef>
          </c:xVal>
          <c:yVal>
            <c:numRef>
              <c:f>'Mapa de risco'!$F$54</c:f>
              <c:numCache>
                <c:formatCode>General</c:formatCode>
                <c:ptCount val="1"/>
                <c:pt idx="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00E-4F42-885D-9940E6474534}"/>
            </c:ext>
          </c:extLst>
        </c:ser>
        <c:ser>
          <c:idx val="7"/>
          <c:order val="206"/>
          <c:tx>
            <c:strRef>
              <c:f>'Mapa de risco'!$B$55</c:f>
              <c:strCache>
                <c:ptCount val="1"/>
                <c:pt idx="0">
                  <c:v>Clientes e fornecedores</c:v>
                </c:pt>
              </c:strCache>
            </c:strRef>
          </c:tx>
          <c:dPt>
            <c:idx val="0"/>
            <c:marker>
              <c:spPr>
                <a:solidFill>
                  <a:schemeClr val="tx1"/>
                </a:solidFill>
                <a:ln w="41275" cap="rnd"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900E-4F42-885D-9940E6474534}"/>
              </c:ext>
            </c:extLst>
          </c:dPt>
          <c:dLbls>
            <c:dLbl>
              <c:idx val="0"/>
              <c:layout>
                <c:manualLayout>
                  <c:x val="2.226649612050055E-3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Clientes</a:t>
                    </a:r>
                    <a:r>
                      <a:rPr lang="en-US" b="1" baseline="0"/>
                      <a:t> e fornecedores</a:t>
                    </a:r>
                    <a:endParaRPr lang="en-US" b="1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'Mapa de risco'!$G$55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'Mapa de risco'!$F$55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00E-4F42-885D-9940E6474534}"/>
            </c:ext>
          </c:extLst>
        </c:ser>
        <c:ser>
          <c:idx val="8"/>
          <c:order val="207"/>
          <c:tx>
            <c:strRef>
              <c:f>'Mapa de risco'!$B$56</c:f>
              <c:strCache>
                <c:ptCount val="1"/>
                <c:pt idx="0">
                  <c:v>Lavagem de dinheiro</c:v>
                </c:pt>
              </c:strCache>
            </c:strRef>
          </c:tx>
          <c:spPr>
            <a:ln w="19050" cap="sq">
              <a:solidFill>
                <a:schemeClr val="tx1"/>
              </a:solidFill>
              <a:bevel/>
            </a:ln>
          </c:spPr>
          <c:dPt>
            <c:idx val="0"/>
            <c:marker>
              <c:spPr>
                <a:gradFill flip="none" rotWithShape="1">
                  <a:gsLst>
                    <a:gs pos="0">
                      <a:srgbClr val="FFC000">
                        <a:shade val="30000"/>
                        <a:satMod val="115000"/>
                      </a:srgbClr>
                    </a:gs>
                    <a:gs pos="50000">
                      <a:srgbClr val="FFC000">
                        <a:shade val="67500"/>
                        <a:satMod val="115000"/>
                      </a:srgbClr>
                    </a:gs>
                    <a:gs pos="100000">
                      <a:srgbClr val="FFC000">
                        <a:shade val="100000"/>
                        <a:satMod val="115000"/>
                      </a:srgbClr>
                    </a:gs>
                  </a:gsLst>
                  <a:path path="circle">
                    <a:fillToRect t="100000" r="100000"/>
                  </a:path>
                  <a:tileRect l="-100000" b="-100000"/>
                </a:gradFill>
                <a:ln w="31750">
                  <a:solidFill>
                    <a:schemeClr val="tx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900E-4F42-885D-9940E6474534}"/>
              </c:ext>
            </c:extLst>
          </c:dPt>
          <c:dLbls>
            <c:dLbl>
              <c:idx val="0"/>
              <c:layout>
                <c:manualLayout>
                  <c:x val="-0.46249392617744345"/>
                  <c:y val="-0.38186162090955361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/>
                    </a:pPr>
                    <a:r>
                      <a:rPr lang="en-US" sz="1100" b="1"/>
                      <a:t>Lavagem</a:t>
                    </a:r>
                    <a:r>
                      <a:rPr lang="en-US" sz="1100" b="1" baseline="0"/>
                      <a:t> de dinheiro</a:t>
                    </a:r>
                    <a:endParaRPr lang="en-US" sz="1100" b="1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'Mapa de risco'!$G$56</c:f>
              <c:numCache>
                <c:formatCode>General</c:formatCode>
                <c:ptCount val="1"/>
                <c:pt idx="0">
                  <c:v>80</c:v>
                </c:pt>
              </c:numCache>
            </c:numRef>
          </c:xVal>
          <c:yVal>
            <c:numRef>
              <c:f>'Mapa de risco'!$F$56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00E-4F42-885D-9940E6474534}"/>
            </c:ext>
          </c:extLst>
        </c:ser>
        <c:ser>
          <c:idx val="209"/>
          <c:order val="208"/>
          <c:tx>
            <c:strRef>
              <c:f>'Mapa de risco'!$B$57</c:f>
              <c:strCache>
                <c:ptCount val="1"/>
                <c:pt idx="0">
                  <c:v>Direitos dos trabalhadores</c:v>
                </c:pt>
              </c:strCache>
            </c:strRef>
          </c:tx>
          <c:dLbls>
            <c:dLbl>
              <c:idx val="0"/>
              <c:layout>
                <c:manualLayout>
                  <c:x val="1.6864175823712298E-2"/>
                  <c:y val="-4.3396596067379813E-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/>
                      <a:t>Direitos dos trabalhadores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'Mapa de risco'!$G$57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'Mapa de risco'!$F$57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00E-4F42-885D-9940E6474534}"/>
            </c:ext>
          </c:extLst>
        </c:ser>
        <c:ser>
          <c:idx val="210"/>
          <c:order val="209"/>
          <c:tx>
            <c:strRef>
              <c:f>'Mapa de risco'!$B$58</c:f>
              <c:strCache>
                <c:ptCount val="1"/>
                <c:pt idx="0">
                  <c:v>Meio ambiente, Segurança do trabalho e Responsabilidade social</c:v>
                </c:pt>
              </c:strCache>
            </c:strRef>
          </c:tx>
          <c:dLbls>
            <c:dLbl>
              <c:idx val="0"/>
              <c:layout>
                <c:manualLayout>
                  <c:x val="-0.14993305204879129"/>
                  <c:y val="-0.35208466812370887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050" b="1"/>
                    </a:pPr>
                    <a:r>
                      <a:rPr lang="en-US" sz="1050" b="1"/>
                      <a:t>Meio</a:t>
                    </a:r>
                    <a:r>
                      <a:rPr lang="en-US" sz="1050" b="1" baseline="0"/>
                      <a:t> Ambiente e Segurança do trabalho e Responsabilidade social</a:t>
                    </a:r>
                    <a:endParaRPr lang="en-US" sz="1050" b="1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33278810408921933"/>
                      <c:h val="4.6844106463878328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7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linear"/>
            <c:dispRSqr val="0"/>
            <c:dispEq val="0"/>
          </c:trendline>
          <c:xVal>
            <c:numRef>
              <c:f>'Mapa de risco'!$G$58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'Mapa de risco'!$F$58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00E-4F42-885D-9940E6474534}"/>
            </c:ext>
          </c:extLst>
        </c:ser>
        <c:ser>
          <c:idx val="211"/>
          <c:order val="210"/>
          <c:tx>
            <c:strRef>
              <c:f>'Mapa de risco'!$B$59</c:f>
              <c:strCache>
                <c:ptCount val="1"/>
                <c:pt idx="0">
                  <c:v>Desvios tecnológicos</c:v>
                </c:pt>
              </c:strCache>
            </c:strRef>
          </c:tx>
          <c:dLbls>
            <c:dLbl>
              <c:idx val="0"/>
              <c:layout>
                <c:manualLayout>
                  <c:x val="-0.15957482887704019"/>
                  <c:y val="-0.20700488871417891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Desvios tecnológicos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'Mapa de risco'!$G$59</c:f>
              <c:numCache>
                <c:formatCode>General</c:formatCode>
                <c:ptCount val="1"/>
                <c:pt idx="0">
                  <c:v>80</c:v>
                </c:pt>
              </c:numCache>
            </c:numRef>
          </c:xVal>
          <c:yVal>
            <c:numRef>
              <c:f>'Mapa de risco'!$F$59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00E-4F42-885D-9940E6474534}"/>
            </c:ext>
          </c:extLst>
        </c:ser>
        <c:ser>
          <c:idx val="212"/>
          <c:order val="211"/>
          <c:tx>
            <c:strRef>
              <c:f>'Mapa de risco'!$B$60</c:f>
              <c:strCache>
                <c:ptCount val="1"/>
                <c:pt idx="0">
                  <c:v>Pagamento indevido (propinas)</c:v>
                </c:pt>
              </c:strCache>
            </c:strRef>
          </c:tx>
          <c:dLbls>
            <c:dLbl>
              <c:idx val="0"/>
              <c:layout>
                <c:manualLayout>
                  <c:x val="-0.52694744941268956"/>
                  <c:y val="-0.44689919463489119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Pagamento indevido (propinas)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'Mapa de risco'!$G$60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'Mapa de risco'!$F$60</c:f>
              <c:numCache>
                <c:formatCode>General</c:formatCode>
                <c:ptCount val="1"/>
                <c:pt idx="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00E-4F42-885D-9940E6474534}"/>
            </c:ext>
          </c:extLst>
        </c:ser>
        <c:ser>
          <c:idx val="213"/>
          <c:order val="212"/>
          <c:tx>
            <c:strRef>
              <c:f>'Mapa de risco'!$B$61</c:f>
              <c:strCache>
                <c:ptCount val="1"/>
                <c:pt idx="0">
                  <c:v>Assédio moral e sexual</c:v>
                </c:pt>
              </c:strCache>
            </c:strRef>
          </c:tx>
          <c:dLbls>
            <c:dLbl>
              <c:idx val="0"/>
              <c:layout>
                <c:manualLayout>
                  <c:x val="-1.1099938623868786E-3"/>
                  <c:y val="4.2293813574808825E-2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Assédio moral e sexual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'Mapa de risco'!$G$61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'Mapa de risco'!$F$61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00E-4F42-885D-9940E6474534}"/>
            </c:ext>
          </c:extLst>
        </c:ser>
        <c:ser>
          <c:idx val="215"/>
          <c:order val="213"/>
          <c:tx>
            <c:strRef>
              <c:f>'Mapa de risco'!$B$64</c:f>
              <c:strCache>
                <c:ptCount val="1"/>
                <c:pt idx="0">
                  <c:v>Corrupção</c:v>
                </c:pt>
              </c:strCache>
            </c:strRef>
          </c:tx>
          <c:dLbls>
            <c:dLbl>
              <c:idx val="0"/>
              <c:layout>
                <c:manualLayout>
                  <c:x val="-0.29058128886305579"/>
                  <c:y val="-0.24958144965719592"/>
                </c:manualLayout>
              </c:layout>
              <c:tx>
                <c:rich>
                  <a:bodyPr/>
                  <a:lstStyle/>
                  <a:p>
                    <a:r>
                      <a:rPr lang="en-US" sz="1100" b="1"/>
                      <a:t>Corrupção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900E-4F42-885D-9940E6474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'Mapa de risco'!$G$64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'Mapa de risco'!$F$64</c:f>
              <c:numCache>
                <c:formatCode>General</c:formatCode>
                <c:ptCount val="1"/>
                <c:pt idx="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00E-4F42-885D-9940E6474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306816"/>
        <c:axId val="221307208"/>
        <c:extLst>
          <c:ext xmlns:c15="http://schemas.microsoft.com/office/drawing/2012/chart" uri="{02D57815-91ED-43cb-92C2-25804820EDAC}">
            <c15:filteredScatterSeries>
              <c15:ser>
                <c:idx val="104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1F9-28AE-4BDF-A701-4D40B7B5D7C4}"/>
                  </c:ext>
                </c:extLst>
              </c15:ser>
            </c15:filteredScatterSeries>
            <c15:filteredScatterSeries>
              <c15:ser>
                <c:idx val="10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A-28AE-4BDF-A701-4D40B7B5D7C4}"/>
                  </c:ext>
                </c:extLst>
              </c15:ser>
            </c15:filteredScatterSeries>
            <c15:filteredScatterSeries>
              <c15:ser>
                <c:idx val="10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B-28AE-4BDF-A701-4D40B7B5D7C4}"/>
                  </c:ext>
                </c:extLst>
              </c15:ser>
            </c15:filteredScatterSeries>
            <c15:filteredScatterSeries>
              <c15:ser>
                <c:idx val="10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C-28AE-4BDF-A701-4D40B7B5D7C4}"/>
                  </c:ext>
                </c:extLst>
              </c15:ser>
            </c15:filteredScatterSeries>
            <c15:filteredScatterSeries>
              <c15:ser>
                <c:idx val="108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D-28AE-4BDF-A701-4D40B7B5D7C4}"/>
                  </c:ext>
                </c:extLst>
              </c15:ser>
            </c15:filteredScatterSeries>
            <c15:filteredScatterSeries>
              <c15:ser>
                <c:idx val="109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E-28AE-4BDF-A701-4D40B7B5D7C4}"/>
                  </c:ext>
                </c:extLst>
              </c15:ser>
            </c15:filteredScatterSeries>
            <c15:filteredScatterSeries>
              <c15:ser>
                <c:idx val="11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F-28AE-4BDF-A701-4D40B7B5D7C4}"/>
                  </c:ext>
                </c:extLst>
              </c15:ser>
            </c15:filteredScatterSeries>
            <c15:filteredScatterSeries>
              <c15:ser>
                <c:idx val="11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0-28AE-4BDF-A701-4D40B7B5D7C4}"/>
                  </c:ext>
                </c:extLst>
              </c15:ser>
            </c15:filteredScatterSeries>
            <c15:filteredScatterSeries>
              <c15:ser>
                <c:idx val="112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1-28AE-4BDF-A701-4D40B7B5D7C4}"/>
                  </c:ext>
                </c:extLst>
              </c15:ser>
            </c15:filteredScatterSeries>
            <c15:filteredScatterSeries>
              <c15:ser>
                <c:idx val="113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2-28AE-4BDF-A701-4D40B7B5D7C4}"/>
                  </c:ext>
                </c:extLst>
              </c15:ser>
            </c15:filteredScatterSeries>
            <c15:filteredScatterSeries>
              <c15:ser>
                <c:idx val="114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3-28AE-4BDF-A701-4D40B7B5D7C4}"/>
                  </c:ext>
                </c:extLst>
              </c15:ser>
            </c15:filteredScatterSeries>
            <c15:filteredScatterSeries>
              <c15:ser>
                <c:idx val="115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4-28AE-4BDF-A701-4D40B7B5D7C4}"/>
                  </c:ext>
                </c:extLst>
              </c15:ser>
            </c15:filteredScatterSeries>
            <c15:filteredScatterSeries>
              <c15:ser>
                <c:idx val="116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5-28AE-4BDF-A701-4D40B7B5D7C4}"/>
                  </c:ext>
                </c:extLst>
              </c15:ser>
            </c15:filteredScatterSeries>
            <c15:filteredScatterSeries>
              <c15:ser>
                <c:idx val="117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6-28AE-4BDF-A701-4D40B7B5D7C4}"/>
                  </c:ext>
                </c:extLst>
              </c15:ser>
            </c15:filteredScatterSeries>
            <c15:filteredScatterSeries>
              <c15:ser>
                <c:idx val="118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7-28AE-4BDF-A701-4D40B7B5D7C4}"/>
                  </c:ext>
                </c:extLst>
              </c15:ser>
            </c15:filteredScatterSeries>
            <c15:filteredScatterSeries>
              <c15:ser>
                <c:idx val="119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8-28AE-4BDF-A701-4D40B7B5D7C4}"/>
                  </c:ext>
                </c:extLst>
              </c15:ser>
            </c15:filteredScatterSeries>
            <c15:filteredScatterSeries>
              <c15:ser>
                <c:idx val="120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9-28AE-4BDF-A701-4D40B7B5D7C4}"/>
                  </c:ext>
                </c:extLst>
              </c15:ser>
            </c15:filteredScatterSeries>
            <c15:filteredScatterSeries>
              <c15:ser>
                <c:idx val="121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A-28AE-4BDF-A701-4D40B7B5D7C4}"/>
                  </c:ext>
                </c:extLst>
              </c15:ser>
            </c15:filteredScatterSeries>
            <c15:filteredScatterSeries>
              <c15:ser>
                <c:idx val="122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B-28AE-4BDF-A701-4D40B7B5D7C4}"/>
                  </c:ext>
                </c:extLst>
              </c15:ser>
            </c15:filteredScatterSeries>
            <c15:filteredScatterSeries>
              <c15:ser>
                <c:idx val="123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C-28AE-4BDF-A701-4D40B7B5D7C4}"/>
                  </c:ext>
                </c:extLst>
              </c15:ser>
            </c15:filteredScatterSeries>
            <c15:filteredScatterSeries>
              <c15:ser>
                <c:idx val="124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D-28AE-4BDF-A701-4D40B7B5D7C4}"/>
                  </c:ext>
                </c:extLst>
              </c15:ser>
            </c15:filteredScatterSeries>
            <c15:filteredScatterSeries>
              <c15:ser>
                <c:idx val="125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E-28AE-4BDF-A701-4D40B7B5D7C4}"/>
                  </c:ext>
                </c:extLst>
              </c15:ser>
            </c15:filteredScatterSeries>
            <c15:filteredScatterSeries>
              <c15:ser>
                <c:idx val="126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0F-28AE-4BDF-A701-4D40B7B5D7C4}"/>
                  </c:ext>
                </c:extLst>
              </c15:ser>
            </c15:filteredScatterSeries>
            <c15:filteredScatterSeries>
              <c15:ser>
                <c:idx val="127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0-28AE-4BDF-A701-4D40B7B5D7C4}"/>
                  </c:ext>
                </c:extLst>
              </c15:ser>
            </c15:filteredScatterSeries>
            <c15:filteredScatterSeries>
              <c15:ser>
                <c:idx val="128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1-28AE-4BDF-A701-4D40B7B5D7C4}"/>
                  </c:ext>
                </c:extLst>
              </c15:ser>
            </c15:filteredScatterSeries>
            <c15:filteredScatterSeries>
              <c15:ser>
                <c:idx val="129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2-28AE-4BDF-A701-4D40B7B5D7C4}"/>
                  </c:ext>
                </c:extLst>
              </c15:ser>
            </c15:filteredScatterSeries>
            <c15:filteredScatterSeries>
              <c15:ser>
                <c:idx val="130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3-28AE-4BDF-A701-4D40B7B5D7C4}"/>
                  </c:ext>
                </c:extLst>
              </c15:ser>
            </c15:filteredScatterSeries>
            <c15:filteredScatterSeries>
              <c15:ser>
                <c:idx val="131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4-28AE-4BDF-A701-4D40B7B5D7C4}"/>
                  </c:ext>
                </c:extLst>
              </c15:ser>
            </c15:filteredScatterSeries>
            <c15:filteredScatterSeries>
              <c15:ser>
                <c:idx val="132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5-28AE-4BDF-A701-4D40B7B5D7C4}"/>
                  </c:ext>
                </c:extLst>
              </c15:ser>
            </c15:filteredScatterSeries>
            <c15:filteredScatterSeries>
              <c15:ser>
                <c:idx val="133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6-28AE-4BDF-A701-4D40B7B5D7C4}"/>
                  </c:ext>
                </c:extLst>
              </c15:ser>
            </c15:filteredScatterSeries>
            <c15:filteredScatterSeries>
              <c15:ser>
                <c:idx val="134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7-28AE-4BDF-A701-4D40B7B5D7C4}"/>
                  </c:ext>
                </c:extLst>
              </c15:ser>
            </c15:filteredScatterSeries>
            <c15:filteredScatterSeries>
              <c15:ser>
                <c:idx val="135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8-28AE-4BDF-A701-4D40B7B5D7C4}"/>
                  </c:ext>
                </c:extLst>
              </c15:ser>
            </c15:filteredScatterSeries>
            <c15:filteredScatterSeries>
              <c15:ser>
                <c:idx val="136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9-28AE-4BDF-A701-4D40B7B5D7C4}"/>
                  </c:ext>
                </c:extLst>
              </c15:ser>
            </c15:filteredScatterSeries>
            <c15:filteredScatterSeries>
              <c15:ser>
                <c:idx val="137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A-28AE-4BDF-A701-4D40B7B5D7C4}"/>
                  </c:ext>
                </c:extLst>
              </c15:ser>
            </c15:filteredScatterSeries>
            <c15:filteredScatterSeries>
              <c15:ser>
                <c:idx val="138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B-28AE-4BDF-A701-4D40B7B5D7C4}"/>
                  </c:ext>
                </c:extLst>
              </c15:ser>
            </c15:filteredScatterSeries>
            <c15:filteredScatterSeries>
              <c15:ser>
                <c:idx val="139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C-28AE-4BDF-A701-4D40B7B5D7C4}"/>
                  </c:ext>
                </c:extLst>
              </c15:ser>
            </c15:filteredScatterSeries>
            <c15:filteredScatterSeries>
              <c15:ser>
                <c:idx val="140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D-28AE-4BDF-A701-4D40B7B5D7C4}"/>
                  </c:ext>
                </c:extLst>
              </c15:ser>
            </c15:filteredScatterSeries>
            <c15:filteredScatterSeries>
              <c15:ser>
                <c:idx val="141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E-28AE-4BDF-A701-4D40B7B5D7C4}"/>
                  </c:ext>
                </c:extLst>
              </c15:ser>
            </c15:filteredScatterSeries>
            <c15:filteredScatterSeries>
              <c15:ser>
                <c:idx val="142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1F-28AE-4BDF-A701-4D40B7B5D7C4}"/>
                  </c:ext>
                </c:extLst>
              </c15:ser>
            </c15:filteredScatterSeries>
            <c15:filteredScatterSeries>
              <c15:ser>
                <c:idx val="143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0-28AE-4BDF-A701-4D40B7B5D7C4}"/>
                  </c:ext>
                </c:extLst>
              </c15:ser>
            </c15:filteredScatterSeries>
            <c15:filteredScatterSeries>
              <c15:ser>
                <c:idx val="144"/>
                <c:order val="4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1-28AE-4BDF-A701-4D40B7B5D7C4}"/>
                  </c:ext>
                </c:extLst>
              </c15:ser>
            </c15:filteredScatterSeries>
            <c15:filteredScatterSeries>
              <c15:ser>
                <c:idx val="145"/>
                <c:order val="4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dPt>
                  <c:idx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3-28AE-4BDF-A701-4D40B7B5D7C4}"/>
                    </c:ext>
                  </c:extLst>
                </c:dPt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2-28AE-4BDF-A701-4D40B7B5D7C4}"/>
                  </c:ext>
                </c:extLst>
              </c15:ser>
            </c15:filteredScatterSeries>
            <c15:filteredScatterSeries>
              <c15:ser>
                <c:idx val="146"/>
                <c:order val="4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4-28AE-4BDF-A701-4D40B7B5D7C4}"/>
                  </c:ext>
                </c:extLst>
              </c15:ser>
            </c15:filteredScatterSeries>
            <c15:filteredScatterSeries>
              <c15:ser>
                <c:idx val="147"/>
                <c:order val="4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5-28AE-4BDF-A701-4D40B7B5D7C4}"/>
                  </c:ext>
                </c:extLst>
              </c15:ser>
            </c15:filteredScatterSeries>
            <c15:filteredScatterSeries>
              <c15:ser>
                <c:idx val="148"/>
                <c:order val="4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6-28AE-4BDF-A701-4D40B7B5D7C4}"/>
                  </c:ext>
                </c:extLst>
              </c15:ser>
            </c15:filteredScatterSeries>
            <c15:filteredScatterSeries>
              <c15:ser>
                <c:idx val="149"/>
                <c:order val="4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7-28AE-4BDF-A701-4D40B7B5D7C4}"/>
                  </c:ext>
                </c:extLst>
              </c15:ser>
            </c15:filteredScatterSeries>
            <c15:filteredScatterSeries>
              <c15:ser>
                <c:idx val="150"/>
                <c:order val="4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8-28AE-4BDF-A701-4D40B7B5D7C4}"/>
                  </c:ext>
                </c:extLst>
              </c15:ser>
            </c15:filteredScatterSeries>
            <c15:filteredScatterSeries>
              <c15:ser>
                <c:idx val="151"/>
                <c:order val="4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9-28AE-4BDF-A701-4D40B7B5D7C4}"/>
                  </c:ext>
                </c:extLst>
              </c15:ser>
            </c15:filteredScatterSeries>
            <c15:filteredScatterSeries>
              <c15:ser>
                <c:idx val="152"/>
                <c:order val="4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A-28AE-4BDF-A701-4D40B7B5D7C4}"/>
                  </c:ext>
                </c:extLst>
              </c15:ser>
            </c15:filteredScatterSeries>
            <c15:filteredScatterSeries>
              <c15:ser>
                <c:idx val="153"/>
                <c:order val="4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B-28AE-4BDF-A701-4D40B7B5D7C4}"/>
                  </c:ext>
                </c:extLst>
              </c15:ser>
            </c15:filteredScatterSeries>
            <c15:filteredScatterSeries>
              <c15:ser>
                <c:idx val="154"/>
                <c:order val="5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C-28AE-4BDF-A701-4D40B7B5D7C4}"/>
                  </c:ext>
                </c:extLst>
              </c15:ser>
            </c15:filteredScatterSeries>
            <c15:filteredScatterSeries>
              <c15:ser>
                <c:idx val="155"/>
                <c:order val="5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D-28AE-4BDF-A701-4D40B7B5D7C4}"/>
                  </c:ext>
                </c:extLst>
              </c15:ser>
            </c15:filteredScatterSeries>
            <c15:filteredScatterSeries>
              <c15:ser>
                <c:idx val="156"/>
                <c:order val="5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E-28AE-4BDF-A701-4D40B7B5D7C4}"/>
                  </c:ext>
                </c:extLst>
              </c15:ser>
            </c15:filteredScatterSeries>
            <c15:filteredScatterSeries>
              <c15:ser>
                <c:idx val="157"/>
                <c:order val="5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2F-28AE-4BDF-A701-4D40B7B5D7C4}"/>
                  </c:ext>
                </c:extLst>
              </c15:ser>
            </c15:filteredScatterSeries>
            <c15:filteredScatterSeries>
              <c15:ser>
                <c:idx val="158"/>
                <c:order val="5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0-28AE-4BDF-A701-4D40B7B5D7C4}"/>
                  </c:ext>
                </c:extLst>
              </c15:ser>
            </c15:filteredScatterSeries>
            <c15:filteredScatterSeries>
              <c15:ser>
                <c:idx val="159"/>
                <c:order val="5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1-28AE-4BDF-A701-4D40B7B5D7C4}"/>
                  </c:ext>
                </c:extLst>
              </c15:ser>
            </c15:filteredScatterSeries>
            <c15:filteredScatterSeries>
              <c15:ser>
                <c:idx val="160"/>
                <c:order val="5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2-28AE-4BDF-A701-4D40B7B5D7C4}"/>
                  </c:ext>
                </c:extLst>
              </c15:ser>
            </c15:filteredScatterSeries>
            <c15:filteredScatterSeries>
              <c15:ser>
                <c:idx val="161"/>
                <c:order val="5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3-28AE-4BDF-A701-4D40B7B5D7C4}"/>
                  </c:ext>
                </c:extLst>
              </c15:ser>
            </c15:filteredScatterSeries>
            <c15:filteredScatterSeries>
              <c15:ser>
                <c:idx val="162"/>
                <c:order val="5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4-28AE-4BDF-A701-4D40B7B5D7C4}"/>
                  </c:ext>
                </c:extLst>
              </c15:ser>
            </c15:filteredScatterSeries>
            <c15:filteredScatterSeries>
              <c15:ser>
                <c:idx val="163"/>
                <c:order val="5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5-28AE-4BDF-A701-4D40B7B5D7C4}"/>
                  </c:ext>
                </c:extLst>
              </c15:ser>
            </c15:filteredScatterSeries>
            <c15:filteredScatterSeries>
              <c15:ser>
                <c:idx val="164"/>
                <c:order val="6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6-28AE-4BDF-A701-4D40B7B5D7C4}"/>
                  </c:ext>
                </c:extLst>
              </c15:ser>
            </c15:filteredScatterSeries>
            <c15:filteredScatterSeries>
              <c15:ser>
                <c:idx val="165"/>
                <c:order val="6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7-28AE-4BDF-A701-4D40B7B5D7C4}"/>
                  </c:ext>
                </c:extLst>
              </c15:ser>
            </c15:filteredScatterSeries>
            <c15:filteredScatterSeries>
              <c15:ser>
                <c:idx val="166"/>
                <c:order val="6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8-28AE-4BDF-A701-4D40B7B5D7C4}"/>
                  </c:ext>
                </c:extLst>
              </c15:ser>
            </c15:filteredScatterSeries>
            <c15:filteredScatterSeries>
              <c15:ser>
                <c:idx val="167"/>
                <c:order val="6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9-28AE-4BDF-A701-4D40B7B5D7C4}"/>
                  </c:ext>
                </c:extLst>
              </c15:ser>
            </c15:filteredScatterSeries>
            <c15:filteredScatterSeries>
              <c15:ser>
                <c:idx val="168"/>
                <c:order val="6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A-28AE-4BDF-A701-4D40B7B5D7C4}"/>
                  </c:ext>
                </c:extLst>
              </c15:ser>
            </c15:filteredScatterSeries>
            <c15:filteredScatterSeries>
              <c15:ser>
                <c:idx val="169"/>
                <c:order val="6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B-28AE-4BDF-A701-4D40B7B5D7C4}"/>
                  </c:ext>
                </c:extLst>
              </c15:ser>
            </c15:filteredScatterSeries>
            <c15:filteredScatterSeries>
              <c15:ser>
                <c:idx val="170"/>
                <c:order val="6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C-28AE-4BDF-A701-4D40B7B5D7C4}"/>
                  </c:ext>
                </c:extLst>
              </c15:ser>
            </c15:filteredScatterSeries>
            <c15:filteredScatterSeries>
              <c15:ser>
                <c:idx val="171"/>
                <c:order val="6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D-28AE-4BDF-A701-4D40B7B5D7C4}"/>
                  </c:ext>
                </c:extLst>
              </c15:ser>
            </c15:filteredScatterSeries>
            <c15:filteredScatterSeries>
              <c15:ser>
                <c:idx val="172"/>
                <c:order val="6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E-28AE-4BDF-A701-4D40B7B5D7C4}"/>
                  </c:ext>
                </c:extLst>
              </c15:ser>
            </c15:filteredScatterSeries>
            <c15:filteredScatterSeries>
              <c15:ser>
                <c:idx val="173"/>
                <c:order val="6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3F-28AE-4BDF-A701-4D40B7B5D7C4}"/>
                  </c:ext>
                </c:extLst>
              </c15:ser>
            </c15:filteredScatterSeries>
            <c15:filteredScatterSeries>
              <c15:ser>
                <c:idx val="174"/>
                <c:order val="7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0-28AE-4BDF-A701-4D40B7B5D7C4}"/>
                  </c:ext>
                </c:extLst>
              </c15:ser>
            </c15:filteredScatterSeries>
            <c15:filteredScatterSeries>
              <c15:ser>
                <c:idx val="175"/>
                <c:order val="7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1-28AE-4BDF-A701-4D40B7B5D7C4}"/>
                  </c:ext>
                </c:extLst>
              </c15:ser>
            </c15:filteredScatterSeries>
            <c15:filteredScatterSeries>
              <c15:ser>
                <c:idx val="176"/>
                <c:order val="7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2-28AE-4BDF-A701-4D40B7B5D7C4}"/>
                  </c:ext>
                </c:extLst>
              </c15:ser>
            </c15:filteredScatterSeries>
            <c15:filteredScatterSeries>
              <c15:ser>
                <c:idx val="177"/>
                <c:order val="7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3-28AE-4BDF-A701-4D40B7B5D7C4}"/>
                  </c:ext>
                </c:extLst>
              </c15:ser>
            </c15:filteredScatterSeries>
            <c15:filteredScatterSeries>
              <c15:ser>
                <c:idx val="178"/>
                <c:order val="7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4-28AE-4BDF-A701-4D40B7B5D7C4}"/>
                  </c:ext>
                </c:extLst>
              </c15:ser>
            </c15:filteredScatterSeries>
            <c15:filteredScatterSeries>
              <c15:ser>
                <c:idx val="179"/>
                <c:order val="7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5-28AE-4BDF-A701-4D40B7B5D7C4}"/>
                  </c:ext>
                </c:extLst>
              </c15:ser>
            </c15:filteredScatterSeries>
            <c15:filteredScatterSeries>
              <c15:ser>
                <c:idx val="180"/>
                <c:order val="7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6-28AE-4BDF-A701-4D40B7B5D7C4}"/>
                  </c:ext>
                </c:extLst>
              </c15:ser>
            </c15:filteredScatterSeries>
            <c15:filteredScatterSeries>
              <c15:ser>
                <c:idx val="181"/>
                <c:order val="7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7-28AE-4BDF-A701-4D40B7B5D7C4}"/>
                  </c:ext>
                </c:extLst>
              </c15:ser>
            </c15:filteredScatterSeries>
            <c15:filteredScatterSeries>
              <c15:ser>
                <c:idx val="182"/>
                <c:order val="7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8-28AE-4BDF-A701-4D40B7B5D7C4}"/>
                  </c:ext>
                </c:extLst>
              </c15:ser>
            </c15:filteredScatterSeries>
            <c15:filteredScatterSeries>
              <c15:ser>
                <c:idx val="183"/>
                <c:order val="7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9-28AE-4BDF-A701-4D40B7B5D7C4}"/>
                  </c:ext>
                </c:extLst>
              </c15:ser>
            </c15:filteredScatterSeries>
            <c15:filteredScatterSeries>
              <c15:ser>
                <c:idx val="184"/>
                <c:order val="8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A-28AE-4BDF-A701-4D40B7B5D7C4}"/>
                  </c:ext>
                </c:extLst>
              </c15:ser>
            </c15:filteredScatterSeries>
            <c15:filteredScatterSeries>
              <c15:ser>
                <c:idx val="185"/>
                <c:order val="8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B-28AE-4BDF-A701-4D40B7B5D7C4}"/>
                  </c:ext>
                </c:extLst>
              </c15:ser>
            </c15:filteredScatterSeries>
            <c15:filteredScatterSeries>
              <c15:ser>
                <c:idx val="186"/>
                <c:order val="8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C-28AE-4BDF-A701-4D40B7B5D7C4}"/>
                  </c:ext>
                </c:extLst>
              </c15:ser>
            </c15:filteredScatterSeries>
            <c15:filteredScatterSeries>
              <c15:ser>
                <c:idx val="187"/>
                <c:order val="8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D-28AE-4BDF-A701-4D40B7B5D7C4}"/>
                  </c:ext>
                </c:extLst>
              </c15:ser>
            </c15:filteredScatterSeries>
            <c15:filteredScatterSeries>
              <c15:ser>
                <c:idx val="188"/>
                <c:order val="8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E-28AE-4BDF-A701-4D40B7B5D7C4}"/>
                  </c:ext>
                </c:extLst>
              </c15:ser>
            </c15:filteredScatterSeries>
            <c15:filteredScatterSeries>
              <c15:ser>
                <c:idx val="189"/>
                <c:order val="8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4F-28AE-4BDF-A701-4D40B7B5D7C4}"/>
                  </c:ext>
                </c:extLst>
              </c15:ser>
            </c15:filteredScatterSeries>
            <c15:filteredScatterSeries>
              <c15:ser>
                <c:idx val="190"/>
                <c:order val="8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0-28AE-4BDF-A701-4D40B7B5D7C4}"/>
                  </c:ext>
                </c:extLst>
              </c15:ser>
            </c15:filteredScatterSeries>
            <c15:filteredScatterSeries>
              <c15:ser>
                <c:idx val="191"/>
                <c:order val="8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1-28AE-4BDF-A701-4D40B7B5D7C4}"/>
                  </c:ext>
                </c:extLst>
              </c15:ser>
            </c15:filteredScatterSeries>
            <c15:filteredScatterSeries>
              <c15:ser>
                <c:idx val="192"/>
                <c:order val="8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2-28AE-4BDF-A701-4D40B7B5D7C4}"/>
                  </c:ext>
                </c:extLst>
              </c15:ser>
            </c15:filteredScatterSeries>
            <c15:filteredScatterSeries>
              <c15:ser>
                <c:idx val="193"/>
                <c:order val="8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3-28AE-4BDF-A701-4D40B7B5D7C4}"/>
                  </c:ext>
                </c:extLst>
              </c15:ser>
            </c15:filteredScatterSeries>
            <c15:filteredScatterSeries>
              <c15:ser>
                <c:idx val="194"/>
                <c:order val="9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4-28AE-4BDF-A701-4D40B7B5D7C4}"/>
                  </c:ext>
                </c:extLst>
              </c15:ser>
            </c15:filteredScatterSeries>
            <c15:filteredScatterSeries>
              <c15:ser>
                <c:idx val="195"/>
                <c:order val="9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5-28AE-4BDF-A701-4D40B7B5D7C4}"/>
                  </c:ext>
                </c:extLst>
              </c15:ser>
            </c15:filteredScatterSeries>
            <c15:filteredScatterSeries>
              <c15:ser>
                <c:idx val="196"/>
                <c:order val="9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6-28AE-4BDF-A701-4D40B7B5D7C4}"/>
                  </c:ext>
                </c:extLst>
              </c15:ser>
            </c15:filteredScatterSeries>
            <c15:filteredScatterSeries>
              <c15:ser>
                <c:idx val="197"/>
                <c:order val="9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dPt>
                  <c:idx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8-28AE-4BDF-A701-4D40B7B5D7C4}"/>
                    </c:ext>
                  </c:extLst>
                </c:dPt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7-28AE-4BDF-A701-4D40B7B5D7C4}"/>
                  </c:ext>
                </c:extLst>
              </c15:ser>
            </c15:filteredScatterSeries>
            <c15:filteredScatterSeries>
              <c15:ser>
                <c:idx val="198"/>
                <c:order val="9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9-28AE-4BDF-A701-4D40B7B5D7C4}"/>
                  </c:ext>
                </c:extLst>
              </c15:ser>
            </c15:filteredScatterSeries>
            <c15:filteredScatterSeries>
              <c15:ser>
                <c:idx val="199"/>
                <c:order val="9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A-28AE-4BDF-A701-4D40B7B5D7C4}"/>
                  </c:ext>
                </c:extLst>
              </c15:ser>
            </c15:filteredScatterSeries>
            <c15:filteredScatterSeries>
              <c15:ser>
                <c:idx val="200"/>
                <c:order val="9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B-28AE-4BDF-A701-4D40B7B5D7C4}"/>
                  </c:ext>
                </c:extLst>
              </c15:ser>
            </c15:filteredScatterSeries>
            <c15:filteredScatterSeries>
              <c15:ser>
                <c:idx val="201"/>
                <c:order val="9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C-28AE-4BDF-A701-4D40B7B5D7C4}"/>
                  </c:ext>
                </c:extLst>
              </c15:ser>
            </c15:filteredScatterSeries>
            <c15:filteredScatterSeries>
              <c15:ser>
                <c:idx val="202"/>
                <c:order val="9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D-28AE-4BDF-A701-4D40B7B5D7C4}"/>
                  </c:ext>
                </c:extLst>
              </c15:ser>
            </c15:filteredScatterSeries>
            <c15:filteredScatterSeries>
              <c15:ser>
                <c:idx val="203"/>
                <c:order val="9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E-28AE-4BDF-A701-4D40B7B5D7C4}"/>
                  </c:ext>
                </c:extLst>
              </c15:ser>
            </c15:filteredScatterSeries>
            <c15:filteredScatterSeries>
              <c15:ser>
                <c:idx val="204"/>
                <c:order val="10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5F-28AE-4BDF-A701-4D40B7B5D7C4}"/>
                  </c:ext>
                </c:extLst>
              </c15:ser>
            </c15:filteredScatterSeries>
            <c15:filteredScatterSeries>
              <c15:ser>
                <c:idx val="205"/>
                <c:order val="10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60-28AE-4BDF-A701-4D40B7B5D7C4}"/>
                  </c:ext>
                </c:extLst>
              </c15:ser>
            </c15:filteredScatterSeries>
            <c15:filteredScatterSeries>
              <c15:ser>
                <c:idx val="206"/>
                <c:order val="10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61-28AE-4BDF-A701-4D40B7B5D7C4}"/>
                  </c:ext>
                </c:extLst>
              </c15:ser>
            </c15:filteredScatterSeries>
            <c15:filteredScatterSeries>
              <c15:ser>
                <c:idx val="207"/>
                <c:order val="10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262-28AE-4BDF-A701-4D40B7B5D7C4}"/>
                  </c:ext>
                </c:extLst>
              </c15:ser>
            </c15:filteredScatterSeries>
            <c15:filteredScatterSeries>
              <c15:ser>
                <c:idx val="52"/>
                <c:order val="10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23-28AE-4BDF-A701-4D40B7B5D7C4}"/>
                  </c:ext>
                </c:extLst>
              </c15:ser>
            </c15:filteredScatterSeries>
            <c15:filteredScatterSeries>
              <c15:ser>
                <c:idx val="53"/>
                <c:order val="10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25-28AE-4BDF-A701-4D40B7B5D7C4}"/>
                  </c:ext>
                </c:extLst>
              </c15:ser>
            </c15:filteredScatterSeries>
            <c15:filteredScatterSeries>
              <c15:ser>
                <c:idx val="54"/>
                <c:order val="10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27-28AE-4BDF-A701-4D40B7B5D7C4}"/>
                  </c:ext>
                </c:extLst>
              </c15:ser>
            </c15:filteredScatterSeries>
            <c15:filteredScatterSeries>
              <c15:ser>
                <c:idx val="55"/>
                <c:order val="10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29-28AE-4BDF-A701-4D40B7B5D7C4}"/>
                  </c:ext>
                </c:extLst>
              </c15:ser>
            </c15:filteredScatterSeries>
            <c15:filteredScatterSeries>
              <c15:ser>
                <c:idx val="56"/>
                <c:order val="10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2B-28AE-4BDF-A701-4D40B7B5D7C4}"/>
                  </c:ext>
                </c:extLst>
              </c15:ser>
            </c15:filteredScatterSeries>
            <c15:filteredScatterSeries>
              <c15:ser>
                <c:idx val="57"/>
                <c:order val="10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2D-28AE-4BDF-A701-4D40B7B5D7C4}"/>
                  </c:ext>
                </c:extLst>
              </c15:ser>
            </c15:filteredScatterSeries>
            <c15:filteredScatterSeries>
              <c15:ser>
                <c:idx val="58"/>
                <c:order val="1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2F-28AE-4BDF-A701-4D40B7B5D7C4}"/>
                  </c:ext>
                </c:extLst>
              </c15:ser>
            </c15:filteredScatterSeries>
            <c15:filteredScatterSeries>
              <c15:ser>
                <c:idx val="59"/>
                <c:order val="1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31-28AE-4BDF-A701-4D40B7B5D7C4}"/>
                  </c:ext>
                </c:extLst>
              </c15:ser>
            </c15:filteredScatterSeries>
            <c15:filteredScatterSeries>
              <c15:ser>
                <c:idx val="60"/>
                <c:order val="1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33-28AE-4BDF-A701-4D40B7B5D7C4}"/>
                  </c:ext>
                </c:extLst>
              </c15:ser>
            </c15:filteredScatterSeries>
            <c15:filteredScatterSeries>
              <c15:ser>
                <c:idx val="61"/>
                <c:order val="1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35-28AE-4BDF-A701-4D40B7B5D7C4}"/>
                  </c:ext>
                </c:extLst>
              </c15:ser>
            </c15:filteredScatterSeries>
            <c15:filteredScatterSeries>
              <c15:ser>
                <c:idx val="62"/>
                <c:order val="1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37-28AE-4BDF-A701-4D40B7B5D7C4}"/>
                  </c:ext>
                </c:extLst>
              </c15:ser>
            </c15:filteredScatterSeries>
            <c15:filteredScatterSeries>
              <c15:ser>
                <c:idx val="63"/>
                <c:order val="1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39-28AE-4BDF-A701-4D40B7B5D7C4}"/>
                  </c:ext>
                </c:extLst>
              </c15:ser>
            </c15:filteredScatterSeries>
            <c15:filteredScatterSeries>
              <c15:ser>
                <c:idx val="64"/>
                <c:order val="1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3B-28AE-4BDF-A701-4D40B7B5D7C4}"/>
                  </c:ext>
                </c:extLst>
              </c15:ser>
            </c15:filteredScatterSeries>
            <c15:filteredScatterSeries>
              <c15:ser>
                <c:idx val="65"/>
                <c:order val="1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3D-28AE-4BDF-A701-4D40B7B5D7C4}"/>
                  </c:ext>
                </c:extLst>
              </c15:ser>
            </c15:filteredScatterSeries>
            <c15:filteredScatterSeries>
              <c15:ser>
                <c:idx val="66"/>
                <c:order val="1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3F-28AE-4BDF-A701-4D40B7B5D7C4}"/>
                  </c:ext>
                </c:extLst>
              </c15:ser>
            </c15:filteredScatterSeries>
            <c15:filteredScatterSeries>
              <c15:ser>
                <c:idx val="67"/>
                <c:order val="1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41-28AE-4BDF-A701-4D40B7B5D7C4}"/>
                  </c:ext>
                </c:extLst>
              </c15:ser>
            </c15:filteredScatterSeries>
            <c15:filteredScatterSeries>
              <c15:ser>
                <c:idx val="68"/>
                <c:order val="1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43-28AE-4BDF-A701-4D40B7B5D7C4}"/>
                  </c:ext>
                </c:extLst>
              </c15:ser>
            </c15:filteredScatterSeries>
            <c15:filteredScatterSeries>
              <c15:ser>
                <c:idx val="69"/>
                <c:order val="1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45-28AE-4BDF-A701-4D40B7B5D7C4}"/>
                  </c:ext>
                </c:extLst>
              </c15:ser>
            </c15:filteredScatterSeries>
            <c15:filteredScatterSeries>
              <c15:ser>
                <c:idx val="70"/>
                <c:order val="1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47-28AE-4BDF-A701-4D40B7B5D7C4}"/>
                  </c:ext>
                </c:extLst>
              </c15:ser>
            </c15:filteredScatterSeries>
            <c15:filteredScatterSeries>
              <c15:ser>
                <c:idx val="71"/>
                <c:order val="1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49-28AE-4BDF-A701-4D40B7B5D7C4}"/>
                  </c:ext>
                </c:extLst>
              </c15:ser>
            </c15:filteredScatterSeries>
            <c15:filteredScatterSeries>
              <c15:ser>
                <c:idx val="72"/>
                <c:order val="1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4B-28AE-4BDF-A701-4D40B7B5D7C4}"/>
                  </c:ext>
                </c:extLst>
              </c15:ser>
            </c15:filteredScatterSeries>
            <c15:filteredScatterSeries>
              <c15:ser>
                <c:idx val="73"/>
                <c:order val="1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4D-28AE-4BDF-A701-4D40B7B5D7C4}"/>
                  </c:ext>
                </c:extLst>
              </c15:ser>
            </c15:filteredScatterSeries>
            <c15:filteredScatterSeries>
              <c15:ser>
                <c:idx val="74"/>
                <c:order val="1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4F-28AE-4BDF-A701-4D40B7B5D7C4}"/>
                  </c:ext>
                </c:extLst>
              </c15:ser>
            </c15:filteredScatterSeries>
            <c15:filteredScatterSeries>
              <c15:ser>
                <c:idx val="75"/>
                <c:order val="1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51-28AE-4BDF-A701-4D40B7B5D7C4}"/>
                  </c:ext>
                </c:extLst>
              </c15:ser>
            </c15:filteredScatterSeries>
            <c15:filteredScatterSeries>
              <c15:ser>
                <c:idx val="76"/>
                <c:order val="1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53-28AE-4BDF-A701-4D40B7B5D7C4}"/>
                  </c:ext>
                </c:extLst>
              </c15:ser>
            </c15:filteredScatterSeries>
            <c15:filteredScatterSeries>
              <c15:ser>
                <c:idx val="77"/>
                <c:order val="1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55-28AE-4BDF-A701-4D40B7B5D7C4}"/>
                  </c:ext>
                </c:extLst>
              </c15:ser>
            </c15:filteredScatterSeries>
            <c15:filteredScatterSeries>
              <c15:ser>
                <c:idx val="78"/>
                <c:order val="1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57-28AE-4BDF-A701-4D40B7B5D7C4}"/>
                  </c:ext>
                </c:extLst>
              </c15:ser>
            </c15:filteredScatterSeries>
            <c15:filteredScatterSeries>
              <c15:ser>
                <c:idx val="79"/>
                <c:order val="1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59-28AE-4BDF-A701-4D40B7B5D7C4}"/>
                  </c:ext>
                </c:extLst>
              </c15:ser>
            </c15:filteredScatterSeries>
            <c15:filteredScatterSeries>
              <c15:ser>
                <c:idx val="80"/>
                <c:order val="1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5B-28AE-4BDF-A701-4D40B7B5D7C4}"/>
                  </c:ext>
                </c:extLst>
              </c15:ser>
            </c15:filteredScatterSeries>
            <c15:filteredScatterSeries>
              <c15:ser>
                <c:idx val="81"/>
                <c:order val="1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5D-28AE-4BDF-A701-4D40B7B5D7C4}"/>
                  </c:ext>
                </c:extLst>
              </c15:ser>
            </c15:filteredScatterSeries>
            <c15:filteredScatterSeries>
              <c15:ser>
                <c:idx val="82"/>
                <c:order val="1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5F-28AE-4BDF-A701-4D40B7B5D7C4}"/>
                  </c:ext>
                </c:extLst>
              </c15:ser>
            </c15:filteredScatterSeries>
            <c15:filteredScatterSeries>
              <c15:ser>
                <c:idx val="83"/>
                <c:order val="1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61-28AE-4BDF-A701-4D40B7B5D7C4}"/>
                  </c:ext>
                </c:extLst>
              </c15:ser>
            </c15:filteredScatterSeries>
            <c15:filteredScatterSeries>
              <c15:ser>
                <c:idx val="84"/>
                <c:order val="1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63-28AE-4BDF-A701-4D40B7B5D7C4}"/>
                  </c:ext>
                </c:extLst>
              </c15:ser>
            </c15:filteredScatterSeries>
            <c15:filteredScatterSeries>
              <c15:ser>
                <c:idx val="85"/>
                <c:order val="1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65-28AE-4BDF-A701-4D40B7B5D7C4}"/>
                  </c:ext>
                </c:extLst>
              </c15:ser>
            </c15:filteredScatterSeries>
            <c15:filteredScatterSeries>
              <c15:ser>
                <c:idx val="86"/>
                <c:order val="1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67-28AE-4BDF-A701-4D40B7B5D7C4}"/>
                  </c:ext>
                </c:extLst>
              </c15:ser>
            </c15:filteredScatterSeries>
            <c15:filteredScatterSeries>
              <c15:ser>
                <c:idx val="87"/>
                <c:order val="1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69-28AE-4BDF-A701-4D40B7B5D7C4}"/>
                  </c:ext>
                </c:extLst>
              </c15:ser>
            </c15:filteredScatterSeries>
            <c15:filteredScatterSeries>
              <c15:ser>
                <c:idx val="88"/>
                <c:order val="14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6B-28AE-4BDF-A701-4D40B7B5D7C4}"/>
                  </c:ext>
                </c:extLst>
              </c15:ser>
            </c15:filteredScatterSeries>
            <c15:filteredScatterSeries>
              <c15:ser>
                <c:idx val="89"/>
                <c:order val="14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6D-28AE-4BDF-A701-4D40B7B5D7C4}"/>
                  </c:ext>
                </c:extLst>
              </c15:ser>
            </c15:filteredScatterSeries>
            <c15:filteredScatterSeries>
              <c15:ser>
                <c:idx val="90"/>
                <c:order val="14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6F-28AE-4BDF-A701-4D40B7B5D7C4}"/>
                  </c:ext>
                </c:extLst>
              </c15:ser>
            </c15:filteredScatterSeries>
            <c15:filteredScatterSeries>
              <c15:ser>
                <c:idx val="91"/>
                <c:order val="14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71-28AE-4BDF-A701-4D40B7B5D7C4}"/>
                  </c:ext>
                </c:extLst>
              </c15:ser>
            </c15:filteredScatterSeries>
            <c15:filteredScatterSeries>
              <c15:ser>
                <c:idx val="92"/>
                <c:order val="14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73-28AE-4BDF-A701-4D40B7B5D7C4}"/>
                  </c:ext>
                </c:extLst>
              </c15:ser>
            </c15:filteredScatterSeries>
            <c15:filteredScatterSeries>
              <c15:ser>
                <c:idx val="93"/>
                <c:order val="14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dPt>
                  <c:idx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6-28AE-4BDF-A701-4D40B7B5D7C4}"/>
                    </c:ext>
                  </c:extLst>
                </c:dPt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77-28AE-4BDF-A701-4D40B7B5D7C4}"/>
                  </c:ext>
                </c:extLst>
              </c15:ser>
            </c15:filteredScatterSeries>
            <c15:filteredScatterSeries>
              <c15:ser>
                <c:idx val="94"/>
                <c:order val="14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79-28AE-4BDF-A701-4D40B7B5D7C4}"/>
                  </c:ext>
                </c:extLst>
              </c15:ser>
            </c15:filteredScatterSeries>
            <c15:filteredScatterSeries>
              <c15:ser>
                <c:idx val="95"/>
                <c:order val="14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7B-28AE-4BDF-A701-4D40B7B5D7C4}"/>
                  </c:ext>
                </c:extLst>
              </c15:ser>
            </c15:filteredScatterSeries>
            <c15:filteredScatterSeries>
              <c15:ser>
                <c:idx val="96"/>
                <c:order val="14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7D-28AE-4BDF-A701-4D40B7B5D7C4}"/>
                  </c:ext>
                </c:extLst>
              </c15:ser>
            </c15:filteredScatterSeries>
            <c15:filteredScatterSeries>
              <c15:ser>
                <c:idx val="97"/>
                <c:order val="14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7F-28AE-4BDF-A701-4D40B7B5D7C4}"/>
                  </c:ext>
                </c:extLst>
              </c15:ser>
            </c15:filteredScatterSeries>
            <c15:filteredScatterSeries>
              <c15:ser>
                <c:idx val="98"/>
                <c:order val="15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81-28AE-4BDF-A701-4D40B7B5D7C4}"/>
                  </c:ext>
                </c:extLst>
              </c15:ser>
            </c15:filteredScatterSeries>
            <c15:filteredScatterSeries>
              <c15:ser>
                <c:idx val="99"/>
                <c:order val="15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83-28AE-4BDF-A701-4D40B7B5D7C4}"/>
                  </c:ext>
                </c:extLst>
              </c15:ser>
            </c15:filteredScatterSeries>
            <c15:filteredScatterSeries>
              <c15:ser>
                <c:idx val="100"/>
                <c:order val="15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85-28AE-4BDF-A701-4D40B7B5D7C4}"/>
                  </c:ext>
                </c:extLst>
              </c15:ser>
            </c15:filteredScatterSeries>
            <c15:filteredScatterSeries>
              <c15:ser>
                <c:idx val="101"/>
                <c:order val="15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87-28AE-4BDF-A701-4D40B7B5D7C4}"/>
                  </c:ext>
                </c:extLst>
              </c15:ser>
            </c15:filteredScatterSeries>
            <c15:filteredScatterSeries>
              <c15:ser>
                <c:idx val="102"/>
                <c:order val="15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89-28AE-4BDF-A701-4D40B7B5D7C4}"/>
                  </c:ext>
                </c:extLst>
              </c15:ser>
            </c15:filteredScatterSeries>
            <c15:filteredScatterSeries>
              <c15:ser>
                <c:idx val="103"/>
                <c:order val="15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8B-28AE-4BDF-A701-4D40B7B5D7C4}"/>
                  </c:ext>
                </c:extLst>
              </c15:ser>
            </c15:filteredScatterSeries>
            <c15:filteredScatterSeries>
              <c15:ser>
                <c:idx val="26"/>
                <c:order val="15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8D-28AE-4BDF-A701-4D40B7B5D7C4}"/>
                  </c:ext>
                </c:extLst>
              </c15:ser>
            </c15:filteredScatterSeries>
            <c15:filteredScatterSeries>
              <c15:ser>
                <c:idx val="27"/>
                <c:order val="15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8F-28AE-4BDF-A701-4D40B7B5D7C4}"/>
                  </c:ext>
                </c:extLst>
              </c15:ser>
            </c15:filteredScatterSeries>
            <c15:filteredScatterSeries>
              <c15:ser>
                <c:idx val="28"/>
                <c:order val="15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91-28AE-4BDF-A701-4D40B7B5D7C4}"/>
                  </c:ext>
                </c:extLst>
              </c15:ser>
            </c15:filteredScatterSeries>
            <c15:filteredScatterSeries>
              <c15:ser>
                <c:idx val="29"/>
                <c:order val="15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93-28AE-4BDF-A701-4D40B7B5D7C4}"/>
                  </c:ext>
                </c:extLst>
              </c15:ser>
            </c15:filteredScatterSeries>
            <c15:filteredScatterSeries>
              <c15:ser>
                <c:idx val="30"/>
                <c:order val="16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95-28AE-4BDF-A701-4D40B7B5D7C4}"/>
                  </c:ext>
                </c:extLst>
              </c15:ser>
            </c15:filteredScatterSeries>
            <c15:filteredScatterSeries>
              <c15:ser>
                <c:idx val="31"/>
                <c:order val="16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97-28AE-4BDF-A701-4D40B7B5D7C4}"/>
                  </c:ext>
                </c:extLst>
              </c15:ser>
            </c15:filteredScatterSeries>
            <c15:filteredScatterSeries>
              <c15:ser>
                <c:idx val="32"/>
                <c:order val="16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99-28AE-4BDF-A701-4D40B7B5D7C4}"/>
                  </c:ext>
                </c:extLst>
              </c15:ser>
            </c15:filteredScatterSeries>
            <c15:filteredScatterSeries>
              <c15:ser>
                <c:idx val="33"/>
                <c:order val="16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9B-28AE-4BDF-A701-4D40B7B5D7C4}"/>
                  </c:ext>
                </c:extLst>
              </c15:ser>
            </c15:filteredScatterSeries>
            <c15:filteredScatterSeries>
              <c15:ser>
                <c:idx val="34"/>
                <c:order val="16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9D-28AE-4BDF-A701-4D40B7B5D7C4}"/>
                  </c:ext>
                </c:extLst>
              </c15:ser>
            </c15:filteredScatterSeries>
            <c15:filteredScatterSeries>
              <c15:ser>
                <c:idx val="35"/>
                <c:order val="16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9F-28AE-4BDF-A701-4D40B7B5D7C4}"/>
                  </c:ext>
                </c:extLst>
              </c15:ser>
            </c15:filteredScatterSeries>
            <c15:filteredScatterSeries>
              <c15:ser>
                <c:idx val="36"/>
                <c:order val="16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A1-28AE-4BDF-A701-4D40B7B5D7C4}"/>
                  </c:ext>
                </c:extLst>
              </c15:ser>
            </c15:filteredScatterSeries>
            <c15:filteredScatterSeries>
              <c15:ser>
                <c:idx val="37"/>
                <c:order val="16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A3-28AE-4BDF-A701-4D40B7B5D7C4}"/>
                  </c:ext>
                </c:extLst>
              </c15:ser>
            </c15:filteredScatterSeries>
            <c15:filteredScatterSeries>
              <c15:ser>
                <c:idx val="38"/>
                <c:order val="16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A5-28AE-4BDF-A701-4D40B7B5D7C4}"/>
                  </c:ext>
                </c:extLst>
              </c15:ser>
            </c15:filteredScatterSeries>
            <c15:filteredScatterSeries>
              <c15:ser>
                <c:idx val="39"/>
                <c:order val="16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A7-28AE-4BDF-A701-4D40B7B5D7C4}"/>
                  </c:ext>
                </c:extLst>
              </c15:ser>
            </c15:filteredScatterSeries>
            <c15:filteredScatterSeries>
              <c15:ser>
                <c:idx val="40"/>
                <c:order val="17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A9-28AE-4BDF-A701-4D40B7B5D7C4}"/>
                  </c:ext>
                </c:extLst>
              </c15:ser>
            </c15:filteredScatterSeries>
            <c15:filteredScatterSeries>
              <c15:ser>
                <c:idx val="41"/>
                <c:order val="17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AB-28AE-4BDF-A701-4D40B7B5D7C4}"/>
                  </c:ext>
                </c:extLst>
              </c15:ser>
            </c15:filteredScatterSeries>
            <c15:filteredScatterSeries>
              <c15:ser>
                <c:idx val="42"/>
                <c:order val="17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AD-28AE-4BDF-A701-4D40B7B5D7C4}"/>
                  </c:ext>
                </c:extLst>
              </c15:ser>
            </c15:filteredScatterSeries>
            <c15:filteredScatterSeries>
              <c15:ser>
                <c:idx val="43"/>
                <c:order val="17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AF-28AE-4BDF-A701-4D40B7B5D7C4}"/>
                  </c:ext>
                </c:extLst>
              </c15:ser>
            </c15:filteredScatterSeries>
            <c15:filteredScatterSeries>
              <c15:ser>
                <c:idx val="44"/>
                <c:order val="17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B1-28AE-4BDF-A701-4D40B7B5D7C4}"/>
                  </c:ext>
                </c:extLst>
              </c15:ser>
            </c15:filteredScatterSeries>
            <c15:filteredScatterSeries>
              <c15:ser>
                <c:idx val="45"/>
                <c:order val="17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B3-28AE-4BDF-A701-4D40B7B5D7C4}"/>
                  </c:ext>
                </c:extLst>
              </c15:ser>
            </c15:filteredScatterSeries>
            <c15:filteredScatterSeries>
              <c15:ser>
                <c:idx val="46"/>
                <c:order val="17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B5-28AE-4BDF-A701-4D40B7B5D7C4}"/>
                  </c:ext>
                </c:extLst>
              </c15:ser>
            </c15:filteredScatterSeries>
            <c15:filteredScatterSeries>
              <c15:ser>
                <c:idx val="47"/>
                <c:order val="17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B7-28AE-4BDF-A701-4D40B7B5D7C4}"/>
                  </c:ext>
                </c:extLst>
              </c15:ser>
            </c15:filteredScatterSeries>
            <c15:filteredScatterSeries>
              <c15:ser>
                <c:idx val="48"/>
                <c:order val="17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B9-28AE-4BDF-A701-4D40B7B5D7C4}"/>
                  </c:ext>
                </c:extLst>
              </c15:ser>
            </c15:filteredScatterSeries>
            <c15:filteredScatterSeries>
              <c15:ser>
                <c:idx val="49"/>
                <c:order val="17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BB-28AE-4BDF-A701-4D40B7B5D7C4}"/>
                  </c:ext>
                </c:extLst>
              </c15:ser>
            </c15:filteredScatterSeries>
            <c15:filteredScatterSeries>
              <c15:ser>
                <c:idx val="50"/>
                <c:order val="18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BD-28AE-4BDF-A701-4D40B7B5D7C4}"/>
                  </c:ext>
                </c:extLst>
              </c15:ser>
            </c15:filteredScatterSeries>
            <c15:filteredScatterSeries>
              <c15:ser>
                <c:idx val="51"/>
                <c:order val="18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BF-28AE-4BDF-A701-4D40B7B5D7C4}"/>
                  </c:ext>
                </c:extLst>
              </c15:ser>
            </c15:filteredScatterSeries>
            <c15:filteredScatterSeries>
              <c15:ser>
                <c:idx val="13"/>
                <c:order val="18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C1-28AE-4BDF-A701-4D40B7B5D7C4}"/>
                  </c:ext>
                </c:extLst>
              </c15:ser>
            </c15:filteredScatterSeries>
            <c15:filteredScatterSeries>
              <c15:ser>
                <c:idx val="14"/>
                <c:order val="18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riesgos'!$B$52:$E$52</c15:sqref>
                        </c15:formulaRef>
                      </c:ext>
                    </c:extLst>
                    <c:strCache>
                      <c:ptCount val="4"/>
                      <c:pt idx="0">
                        <c:v>Delitos tecnológicos</c:v>
                      </c:pt>
                    </c:strCache>
                  </c:strRef>
                </c:tx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900E-4F42-885D-9940E6474534}"/>
                    </c:ext>
                  </c:extLst>
                </c:dPt>
                <c:dLbls>
                  <c:dLbl>
                    <c:idx val="0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 algn="ctr">
                          <a:defRPr lang="en-US" sz="1100" b="1" i="0" u="none" strike="noStrike" kern="1200" baseline="0">
                            <a:solidFill>
                              <a:schemeClr val="bg1"/>
                            </a:solidFill>
                            <a:latin typeface="Arial" pitchFamily="34" charset="0"/>
                            <a:ea typeface="+mn-ea"/>
                            <a:cs typeface="Arial" pitchFamily="34" charset="0"/>
                          </a:defRPr>
                        </a:pPr>
                        <a:endParaRPr lang="pt-BR"/>
                      </a:p>
                    </c:txPr>
                    <c:dLblPos val="t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900E-4F42-885D-9940E647453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riesgos'!$F$52</c15:sqref>
                        </c15:formulaRef>
                      </c:ext>
                    </c:extLst>
                    <c:strCache>
                      <c:ptCount val="1"/>
                      <c:pt idx="0">
                        <c:v>40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C3-28AE-4BDF-A701-4D40B7B5D7C4}"/>
                  </c:ext>
                </c:extLst>
              </c15:ser>
            </c15:filteredScatterSeries>
            <c15:filteredScatterSeries>
              <c15:ser>
                <c:idx val="15"/>
                <c:order val="18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C5-28AE-4BDF-A701-4D40B7B5D7C4}"/>
                  </c:ext>
                </c:extLst>
              </c15:ser>
            </c15:filteredScatterSeries>
            <c15:filteredScatterSeries>
              <c15:ser>
                <c:idx val="16"/>
                <c:order val="18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C7-28AE-4BDF-A701-4D40B7B5D7C4}"/>
                  </c:ext>
                </c:extLst>
              </c15:ser>
            </c15:filteredScatterSeries>
            <c15:filteredScatterSeries>
              <c15:ser>
                <c:idx val="17"/>
                <c:order val="18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riesgos'!$B$55:$E$55</c15:sqref>
                        </c15:formulaRef>
                      </c:ext>
                    </c:extLst>
                    <c:strCache>
                      <c:ptCount val="4"/>
                      <c:pt idx="0">
                        <c:v>Mercado y consumidores</c:v>
                      </c:pt>
                    </c:strCache>
                  </c:strRef>
                </c:tx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>
                        <a:noFill/>
                      </a:ln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4-900E-4F42-885D-9940E6474534}"/>
                    </c:ext>
                  </c:extLst>
                </c:dPt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riesgos'!$F$55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C9-28AE-4BDF-A701-4D40B7B5D7C4}"/>
                  </c:ext>
                </c:extLst>
              </c15:ser>
            </c15:filteredScatterSeries>
            <c15:filteredScatterSeries>
              <c15:ser>
                <c:idx val="18"/>
                <c:order val="18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CB-28AE-4BDF-A701-4D40B7B5D7C4}"/>
                  </c:ext>
                </c:extLst>
              </c15:ser>
            </c15:filteredScatterSeries>
            <c15:filteredScatterSeries>
              <c15:ser>
                <c:idx val="19"/>
                <c:order val="18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riesgos'!$B$57:$E$57</c15:sqref>
                        </c15:formulaRef>
                      </c:ext>
                    </c:extLst>
                    <c:strCache>
                      <c:ptCount val="4"/>
                      <c:pt idx="0">
                        <c:v>Derechos de los trabajadores</c:v>
                      </c:pt>
                    </c:strCache>
                  </c:strRef>
                </c:tx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>
                        <a:noFill/>
                      </a:ln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900E-4F42-885D-9940E6474534}"/>
                    </c:ext>
                  </c:extLst>
                </c:dPt>
                <c:dLbls>
                  <c:dLbl>
                    <c:idx val="0"/>
                    <c:spPr>
                      <a:noFill/>
                      <a:ln w="25400">
                        <a:noFill/>
                      </a:ln>
                    </c:spPr>
                    <c:txPr>
                      <a:bodyPr/>
                      <a:lstStyle/>
                      <a:p>
                        <a:pPr algn="ctr">
                          <a:defRPr lang="en-US" sz="1100" b="1" i="0" u="none" strike="noStrike" kern="1200" baseline="0">
                            <a:solidFill>
                              <a:sysClr val="window" lastClr="FFFFFF"/>
                            </a:solidFill>
                            <a:latin typeface="Arial" pitchFamily="34" charset="0"/>
                            <a:ea typeface="+mn-ea"/>
                            <a:cs typeface="Arial" pitchFamily="34" charset="0"/>
                          </a:defRPr>
                        </a:pPr>
                        <a:endParaRPr lang="pt-BR"/>
                      </a:p>
                    </c:txPr>
                    <c:dLblPos val="t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900E-4F42-885D-9940E647453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riesgos'!$F$57</c15:sqref>
                        </c15:formulaRef>
                      </c:ext>
                    </c:extLst>
                    <c:strCache>
                      <c:ptCount val="1"/>
                      <c:pt idx="0">
                        <c:v>100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CD-28AE-4BDF-A701-4D40B7B5D7C4}"/>
                  </c:ext>
                </c:extLst>
              </c15:ser>
            </c15:filteredScatterSeries>
            <c15:filteredScatterSeries>
              <c15:ser>
                <c:idx val="20"/>
                <c:order val="18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riesgos'!$B$58:$E$58</c15:sqref>
                        </c15:formulaRef>
                      </c:ext>
                    </c:extLst>
                    <c:strCache>
                      <c:ptCount val="4"/>
                      <c:pt idx="0">
                        <c:v>Medio ambiente y seguridad colectiva</c:v>
                      </c:pt>
                    </c:strCache>
                  </c:strRef>
                </c:tx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>
                        <a:noFill/>
                      </a:ln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6-900E-4F42-885D-9940E6474534}"/>
                    </c:ext>
                  </c:extLst>
                </c:dPt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riesgos'!$F$58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CF-28AE-4BDF-A701-4D40B7B5D7C4}"/>
                  </c:ext>
                </c:extLst>
              </c15:ser>
            </c15:filteredScatterSeries>
            <c15:filteredScatterSeries>
              <c15:ser>
                <c:idx val="21"/>
                <c:order val="19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riesgos'!$B$59:$E$59</c15:sqref>
                        </c15:formulaRef>
                      </c:ext>
                    </c:extLst>
                    <c:strCache>
                      <c:ptCount val="4"/>
                      <c:pt idx="0">
                        <c:v>Delitos urbanísticos</c:v>
                      </c:pt>
                    </c:strCache>
                  </c:strRef>
                </c:tx>
                <c:dPt>
                  <c:idx val="0"/>
                  <c:marker>
                    <c:symbol val="circle"/>
                    <c:size val="7"/>
                    <c:spPr>
                      <a:solidFill>
                        <a:schemeClr val="tx1"/>
                      </a:solidFill>
                      <a:ln>
                        <a:noFill/>
                      </a:ln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900E-4F42-885D-9940E6474534}"/>
                    </c:ext>
                  </c:extLst>
                </c:dPt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riesgos'!$F$59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D1-28AE-4BDF-A701-4D40B7B5D7C4}"/>
                  </c:ext>
                </c:extLst>
              </c15:ser>
            </c15:filteredScatterSeries>
            <c15:filteredScatterSeries>
              <c15:ser>
                <c:idx val="22"/>
                <c:order val="19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D3-28AE-4BDF-A701-4D40B7B5D7C4}"/>
                  </c:ext>
                </c:extLst>
              </c15:ser>
            </c15:filteredScatterSeries>
            <c15:filteredScatterSeries>
              <c15:ser>
                <c:idx val="23"/>
                <c:order val="19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D5-28AE-4BDF-A701-4D40B7B5D7C4}"/>
                  </c:ext>
                </c:extLst>
              </c15:ser>
            </c15:filteredScatterSeries>
            <c15:filteredScatterSeries>
              <c15:ser>
                <c:idx val="24"/>
                <c:order val="19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D7-28AE-4BDF-A701-4D40B7B5D7C4}"/>
                  </c:ext>
                </c:extLst>
              </c15:ser>
            </c15:filteredScatterSeries>
            <c15:filteredScatterSeries>
              <c15:ser>
                <c:idx val="25"/>
                <c:order val="19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D9-28AE-4BDF-A701-4D40B7B5D7C4}"/>
                  </c:ext>
                </c:extLst>
              </c15:ser>
            </c15:filteredScatterSeries>
            <c15:filteredScatterSeries>
              <c15:ser>
                <c:idx val="1"/>
                <c:order val="19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riesgos'!$B$51:$E$51</c15:sqref>
                        </c15:formulaRef>
                      </c:ext>
                    </c:extLst>
                    <c:strCache>
                      <c:ptCount val="4"/>
                      <c:pt idx="0">
                        <c:v>Corrupción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DB-28AE-4BDF-A701-4D40B7B5D7C4}"/>
                  </c:ext>
                </c:extLst>
              </c15:ser>
            </c15:filteredScatterSeries>
            <c15:filteredScatterSeries>
              <c15:ser>
                <c:idx val="2"/>
                <c:order val="19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riesgos'!$B$53:$E$53</c15:sqref>
                        </c15:formulaRef>
                      </c:ext>
                    </c:extLst>
                    <c:strCache>
                      <c:ptCount val="4"/>
                      <c:pt idx="0">
                        <c:v>Propiedad intelectual e industrial</c:v>
                      </c:pt>
                    </c:strCache>
                  </c:strRef>
                </c:tx>
                <c:dPt>
                  <c:idx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1-28AE-4BDF-A701-4D40B7B5D7C4}"/>
                    </c:ext>
                  </c:extLst>
                </c:dPt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riesgos'!$F$53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E2-28AE-4BDF-A701-4D40B7B5D7C4}"/>
                  </c:ext>
                </c:extLst>
              </c15:ser>
            </c15:filteredScatterSeries>
            <c15:filteredScatterSeries>
              <c15:ser>
                <c:idx val="3"/>
                <c:order val="19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riesgos'!$B$54:$E$54</c15:sqref>
                        </c15:formulaRef>
                      </c:ext>
                    </c:extLst>
                    <c:strCache>
                      <c:ptCount val="4"/>
                      <c:pt idx="0">
                        <c:v>Hacienda Pública y SS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riesgos'!$F$54</c15:sqref>
                        </c15:formulaRef>
                      </c:ext>
                    </c:extLst>
                    <c:strCache>
                      <c:ptCount val="1"/>
                      <c:pt idx="0">
                        <c:v>80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E4-28AE-4BDF-A701-4D40B7B5D7C4}"/>
                  </c:ext>
                </c:extLst>
              </c15:ser>
            </c15:filteredScatterSeries>
            <c15:filteredScatterSeries>
              <c15:ser>
                <c:idx val="5"/>
                <c:order val="19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riesgos'!$B$56:$E$56</c15:sqref>
                        </c15:formulaRef>
                      </c:ext>
                    </c:extLst>
                    <c:strCache>
                      <c:ptCount val="4"/>
                      <c:pt idx="0">
                        <c:v>Blanqueo de capitales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riesgos'!$F$56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riesgos'!$G$56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E9-28AE-4BDF-A701-4D40B7B5D7C4}"/>
                  </c:ext>
                </c:extLst>
              </c15:ser>
            </c15:filteredScatterSeries>
            <c15:filteredScatterSeries>
              <c15:ser>
                <c:idx val="9"/>
                <c:order val="19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riesgos'!$B$60:$E$60</c15:sqref>
                        </c15:formulaRef>
                      </c:ext>
                    </c:extLst>
                    <c:strCache>
                      <c:ptCount val="4"/>
                      <c:pt idx="0">
                        <c:v>Falsificación de medios de pago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riesgos'!$F$60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1-28AE-4BDF-A701-4D40B7B5D7C4}"/>
                  </c:ext>
                </c:extLst>
              </c15:ser>
            </c15:filteredScatterSeries>
            <c15:filteredScatterSeries>
              <c15:ser>
                <c:idx val="10"/>
                <c:order val="20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riesgos'!$B$61:$E$61</c15:sqref>
                        </c15:formulaRef>
                      </c:ext>
                    </c:extLst>
                    <c:strCache>
                      <c:ptCount val="4"/>
                      <c:pt idx="0">
                        <c:v>Delitos contra la intimidad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riesgos'!$F$61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80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4-28AE-4BDF-A701-4D40B7B5D7C4}"/>
                  </c:ext>
                </c:extLst>
              </c15:ser>
            </c15:filteredScatterSeries>
            <c15:filteredScatterSeries>
              <c15:ser>
                <c:idx val="11"/>
                <c:order val="20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riesgos'!$B$62:$E$62</c15:sqref>
                        </c15:formulaRef>
                      </c:ext>
                    </c:extLst>
                    <c:strCache>
                      <c:ptCount val="4"/>
                      <c:pt idx="0">
                        <c:v>Estafa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riesgos'!$F$62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6-28AE-4BDF-A701-4D40B7B5D7C4}"/>
                  </c:ext>
                </c:extLst>
              </c15:ser>
            </c15:filteredScatterSeries>
            <c15:filteredScatterSeries>
              <c15:ser>
                <c:idx val="12"/>
                <c:order val="20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riesgos'!$B$63:$E$63</c15:sqref>
                        </c15:formulaRef>
                      </c:ext>
                    </c:extLst>
                    <c:strCache>
                      <c:ptCount val="4"/>
                      <c:pt idx="0">
                        <c:v>Insolvencias punibles</c:v>
                      </c:pt>
                    </c:strCache>
                  </c:strRef>
                </c:tx>
                <c:xVal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'[1]13 Mapa de riesgos'!$F$63</c15:sqref>
                        </c15:formulaRef>
                      </c:ext>
                    </c:extLst>
                    <c:strCache>
                      <c:ptCount val="1"/>
                      <c:pt idx="0">
                        <c:v>20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'[1]13 Mapa de riesgos'!$G$63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1F8-28AE-4BDF-A701-4D40B7B5D7C4}"/>
                  </c:ext>
                </c:extLst>
              </c15:ser>
            </c15:filteredScatterSeries>
          </c:ext>
        </c:extLst>
      </c:scatterChart>
      <c:valAx>
        <c:axId val="221306816"/>
        <c:scaling>
          <c:orientation val="minMax"/>
          <c:max val="1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400">
                    <a:latin typeface="Arial"/>
                  </a:defRPr>
                </a:pPr>
                <a:r>
                  <a:rPr lang="en-US"/>
                  <a:t>Probabilidade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221307208"/>
        <c:crosses val="autoZero"/>
        <c:crossBetween val="midCat"/>
      </c:valAx>
      <c:valAx>
        <c:axId val="221307208"/>
        <c:scaling>
          <c:orientation val="minMax"/>
          <c:max val="120"/>
          <c:min val="0"/>
        </c:scaling>
        <c:delete val="0"/>
        <c:axPos val="l"/>
        <c:title>
          <c:tx>
            <c:strRef>
              <c:f>"Impacto"</c:f>
              <c:strCache>
                <c:ptCount val="1"/>
                <c:pt idx="0">
                  <c:v>Impacto</c:v>
                </c:pt>
              </c:strCache>
            </c:strRef>
          </c:tx>
          <c:overlay val="0"/>
          <c:spPr>
            <a:noFill/>
            <a:ln w="25400">
              <a:noFill/>
            </a:ln>
          </c:spPr>
          <c:txPr>
            <a:bodyPr rot="-5400000" vert="horz"/>
            <a:lstStyle/>
            <a:p>
              <a:pPr>
                <a:defRPr sz="2400">
                  <a:latin typeface="Arial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crossAx val="221306816"/>
        <c:crosses val="autoZero"/>
        <c:crossBetween val="midCat"/>
      </c:valAx>
      <c:spPr>
        <a:gradFill rotWithShape="0">
          <a:gsLst>
            <a:gs pos="30000">
              <a:srgbClr val="F8181C"/>
            </a:gs>
            <a:gs pos="59000">
              <a:srgbClr val="FFC000"/>
            </a:gs>
            <a:gs pos="100000">
              <a:srgbClr val="00B050"/>
            </a:gs>
          </a:gsLst>
          <a:lin ang="8100000" scaled="1"/>
        </a:gra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511810</xdr:colOff>
      <xdr:row>34</xdr:row>
      <xdr:rowOff>92710</xdr:rowOff>
    </xdr:from>
    <xdr:to>
      <xdr:col>18</xdr:col>
      <xdr:colOff>304800</xdr:colOff>
      <xdr:row>69</xdr:row>
      <xdr:rowOff>38100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0.82879</cdr:x>
      <cdr:y>0.63736</cdr:y>
    </cdr:from>
    <cdr:to>
      <cdr:x>0.84046</cdr:x>
      <cdr:y>0.65818</cdr:y>
    </cdr:to>
    <cdr:sp macro="" textlink="">
      <cdr:nvSpPr>
        <cdr:cNvPr id="41" name="Fluxograma: Conector 40">
          <a:extLst xmlns:a="http://schemas.openxmlformats.org/drawingml/2006/main">
            <a:ext uri="{FF2B5EF4-FFF2-40B4-BE49-F238E27FC236}">
              <a16:creationId xmlns:a16="http://schemas.microsoft.com/office/drawing/2014/main" id="{5DC30CFA-C22E-DA23-B2F0-127A73744CB4}"/>
            </a:ext>
          </a:extLst>
        </cdr:cNvPr>
        <cdr:cNvSpPr/>
      </cdr:nvSpPr>
      <cdr:spPr>
        <a:xfrm xmlns:a="http://schemas.openxmlformats.org/drawingml/2006/main">
          <a:off x="9432925" y="4027487"/>
          <a:ext cx="132823" cy="131563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F2543A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0.67815</cdr:x>
      <cdr:y>0.50923</cdr:y>
    </cdr:from>
    <cdr:to>
      <cdr:x>0.68982</cdr:x>
      <cdr:y>0.53005</cdr:y>
    </cdr:to>
    <cdr:sp macro="" textlink="">
      <cdr:nvSpPr>
        <cdr:cNvPr id="42" name="Fluxograma: Conector 41">
          <a:extLst xmlns:a="http://schemas.openxmlformats.org/drawingml/2006/main">
            <a:ext uri="{FF2B5EF4-FFF2-40B4-BE49-F238E27FC236}">
              <a16:creationId xmlns:a16="http://schemas.microsoft.com/office/drawing/2014/main" id="{3C340447-3A0F-2EF2-940A-B266C534D6BF}"/>
            </a:ext>
          </a:extLst>
        </cdr:cNvPr>
        <cdr:cNvSpPr/>
      </cdr:nvSpPr>
      <cdr:spPr>
        <a:xfrm xmlns:a="http://schemas.openxmlformats.org/drawingml/2006/main">
          <a:off x="7963553" y="3399495"/>
          <a:ext cx="137041" cy="138989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F2543A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0.82693</cdr:x>
      <cdr:y>0.50797</cdr:y>
    </cdr:from>
    <cdr:to>
      <cdr:x>0.8386</cdr:x>
      <cdr:y>0.52879</cdr:y>
    </cdr:to>
    <cdr:sp macro="" textlink="">
      <cdr:nvSpPr>
        <cdr:cNvPr id="16" name="Fluxograma: Conector 15">
          <a:extLst xmlns:a="http://schemas.openxmlformats.org/drawingml/2006/main">
            <a:ext uri="{FF2B5EF4-FFF2-40B4-BE49-F238E27FC236}">
              <a16:creationId xmlns:a16="http://schemas.microsoft.com/office/drawing/2014/main" id="{0F1C83CB-260E-0CD0-ABC1-EF5042BAF9B7}"/>
            </a:ext>
          </a:extLst>
        </cdr:cNvPr>
        <cdr:cNvSpPr/>
      </cdr:nvSpPr>
      <cdr:spPr>
        <a:xfrm xmlns:a="http://schemas.openxmlformats.org/drawingml/2006/main">
          <a:off x="9710736" y="3391083"/>
          <a:ext cx="137042" cy="138989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FF33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0.00445</cdr:x>
      <cdr:y>0.00806</cdr:y>
    </cdr:from>
    <cdr:to>
      <cdr:x>0.15057</cdr:x>
      <cdr:y>0.04887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899E417D-F9B8-461A-876C-F5B37E6EF2A4}"/>
            </a:ext>
          </a:extLst>
        </cdr:cNvPr>
        <cdr:cNvSpPr/>
      </cdr:nvSpPr>
      <cdr:spPr>
        <a:xfrm xmlns:a="http://schemas.openxmlformats.org/drawingml/2006/main">
          <a:off x="50800" y="50800"/>
          <a:ext cx="1666875" cy="2571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="1"/>
            <a:t>Canal de denúncias</a:t>
          </a:r>
        </a:p>
      </cdr:txBody>
    </cdr:sp>
  </cdr:relSizeAnchor>
  <cdr:relSizeAnchor xmlns:cdr="http://schemas.openxmlformats.org/drawingml/2006/chartDrawing">
    <cdr:from>
      <cdr:x>0.5258</cdr:x>
      <cdr:y>0.50558</cdr:y>
    </cdr:from>
    <cdr:to>
      <cdr:x>0.53934</cdr:x>
      <cdr:y>0.52928</cdr:y>
    </cdr:to>
    <cdr:sp macro="" textlink="">
      <cdr:nvSpPr>
        <cdr:cNvPr id="4" name="Fluxograma: Conector 3">
          <a:extLst xmlns:a="http://schemas.openxmlformats.org/drawingml/2006/main">
            <a:ext uri="{FF2B5EF4-FFF2-40B4-BE49-F238E27FC236}">
              <a16:creationId xmlns:a16="http://schemas.microsoft.com/office/drawing/2014/main" id="{68CAAD12-729D-48CF-80D0-90DCC0C41F55}"/>
            </a:ext>
          </a:extLst>
        </cdr:cNvPr>
        <cdr:cNvSpPr/>
      </cdr:nvSpPr>
      <cdr:spPr>
        <a:xfrm xmlns:a="http://schemas.openxmlformats.org/drawingml/2006/main">
          <a:off x="5984396" y="3194757"/>
          <a:ext cx="154107" cy="149762"/>
        </a:xfrm>
        <a:prstGeom xmlns:a="http://schemas.openxmlformats.org/drawingml/2006/main" prst="flowChartConnector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0.51915</cdr:x>
      <cdr:y>0.34445</cdr:y>
    </cdr:from>
    <cdr:to>
      <cdr:x>0.53018</cdr:x>
      <cdr:y>0.36749</cdr:y>
    </cdr:to>
    <cdr:sp macro="" textlink="">
      <cdr:nvSpPr>
        <cdr:cNvPr id="8" name="Fluxograma: Conector 7">
          <a:extLst xmlns:a="http://schemas.openxmlformats.org/drawingml/2006/main">
            <a:ext uri="{FF2B5EF4-FFF2-40B4-BE49-F238E27FC236}">
              <a16:creationId xmlns:a16="http://schemas.microsoft.com/office/drawing/2014/main" id="{99EA96C9-03B9-4909-B70F-42C6A6DC18B0}"/>
            </a:ext>
          </a:extLst>
        </cdr:cNvPr>
        <cdr:cNvSpPr/>
      </cdr:nvSpPr>
      <cdr:spPr>
        <a:xfrm xmlns:a="http://schemas.openxmlformats.org/drawingml/2006/main">
          <a:off x="5908784" y="2176610"/>
          <a:ext cx="125539" cy="145591"/>
        </a:xfrm>
        <a:prstGeom xmlns:a="http://schemas.openxmlformats.org/drawingml/2006/main" prst="flowChartConnector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0.68273</cdr:x>
      <cdr:y>0.23603</cdr:y>
    </cdr:from>
    <cdr:to>
      <cdr:x>0.69376</cdr:x>
      <cdr:y>0.25907</cdr:y>
    </cdr:to>
    <cdr:sp macro="" textlink="">
      <cdr:nvSpPr>
        <cdr:cNvPr id="9" name="Fluxograma: Conector 8">
          <a:extLst xmlns:a="http://schemas.openxmlformats.org/drawingml/2006/main">
            <a:ext uri="{FF2B5EF4-FFF2-40B4-BE49-F238E27FC236}">
              <a16:creationId xmlns:a16="http://schemas.microsoft.com/office/drawing/2014/main" id="{2075EDA6-FB7F-41BF-884F-F53B8E39F7C4}"/>
            </a:ext>
          </a:extLst>
        </cdr:cNvPr>
        <cdr:cNvSpPr/>
      </cdr:nvSpPr>
      <cdr:spPr>
        <a:xfrm xmlns:a="http://schemas.openxmlformats.org/drawingml/2006/main">
          <a:off x="8163462" y="1576695"/>
          <a:ext cx="131887" cy="153912"/>
        </a:xfrm>
        <a:prstGeom xmlns:a="http://schemas.openxmlformats.org/drawingml/2006/main" prst="flowChartConnector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0.20241</cdr:x>
      <cdr:y>0.38522</cdr:y>
    </cdr:from>
    <cdr:to>
      <cdr:x>0.21344</cdr:x>
      <cdr:y>0.40826</cdr:y>
    </cdr:to>
    <cdr:sp macro="" textlink="">
      <cdr:nvSpPr>
        <cdr:cNvPr id="13" name="Fluxograma: Conector 12">
          <a:extLst xmlns:a="http://schemas.openxmlformats.org/drawingml/2006/main">
            <a:ext uri="{FF2B5EF4-FFF2-40B4-BE49-F238E27FC236}">
              <a16:creationId xmlns:a16="http://schemas.microsoft.com/office/drawing/2014/main" id="{3AAC0DD4-0C8F-40C6-882E-D4BA72A1FDDD}"/>
            </a:ext>
          </a:extLst>
        </cdr:cNvPr>
        <cdr:cNvSpPr/>
      </cdr:nvSpPr>
      <cdr:spPr>
        <a:xfrm xmlns:a="http://schemas.openxmlformats.org/drawingml/2006/main">
          <a:off x="2303763" y="2434210"/>
          <a:ext cx="125539" cy="145591"/>
        </a:xfrm>
        <a:prstGeom xmlns:a="http://schemas.openxmlformats.org/drawingml/2006/main" prst="flowChartConnector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0.53138</cdr:x>
      <cdr:y>0.35804</cdr:y>
    </cdr:from>
    <cdr:to>
      <cdr:x>0.80324</cdr:x>
      <cdr:y>0.42966</cdr:y>
    </cdr:to>
    <cdr:sp macro="" textlink="">
      <cdr:nvSpPr>
        <cdr:cNvPr id="5" name="Retângulo 4">
          <a:extLst xmlns:a="http://schemas.openxmlformats.org/drawingml/2006/main">
            <a:ext uri="{FF2B5EF4-FFF2-40B4-BE49-F238E27FC236}">
              <a16:creationId xmlns:a16="http://schemas.microsoft.com/office/drawing/2014/main" id="{DFCBF6BB-1CCA-95E1-F487-2D7F51DE3954}"/>
            </a:ext>
          </a:extLst>
        </cdr:cNvPr>
        <cdr:cNvSpPr/>
      </cdr:nvSpPr>
      <cdr:spPr>
        <a:xfrm xmlns:a="http://schemas.openxmlformats.org/drawingml/2006/main">
          <a:off x="6353703" y="2391772"/>
          <a:ext cx="3250671" cy="4784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pt-BR" b="1">
              <a:solidFill>
                <a:sysClr val="windowText" lastClr="000000"/>
              </a:solidFill>
            </a:rPr>
            <a:t>Privacidade de dados e Segurança</a:t>
          </a:r>
          <a:r>
            <a:rPr lang="pt-BR" b="1" baseline="0">
              <a:solidFill>
                <a:sysClr val="windowText" lastClr="000000"/>
              </a:solidFill>
            </a:rPr>
            <a:t> da informação</a:t>
          </a:r>
          <a:endParaRPr lang="pt-BR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0.38698</cdr:x>
      <cdr:y>0.38427</cdr:y>
    </cdr:from>
    <cdr:to>
      <cdr:x>0.39801</cdr:x>
      <cdr:y>0.40731</cdr:y>
    </cdr:to>
    <cdr:sp macro="" textlink="">
      <cdr:nvSpPr>
        <cdr:cNvPr id="17" name="Fluxograma: Conector 16">
          <a:extLst xmlns:a="http://schemas.openxmlformats.org/drawingml/2006/main">
            <a:ext uri="{FF2B5EF4-FFF2-40B4-BE49-F238E27FC236}">
              <a16:creationId xmlns:a16="http://schemas.microsoft.com/office/drawing/2014/main" id="{49AB52D8-4641-F504-8235-BF132F6FF646}"/>
            </a:ext>
          </a:extLst>
        </cdr:cNvPr>
        <cdr:cNvSpPr/>
      </cdr:nvSpPr>
      <cdr:spPr>
        <a:xfrm xmlns:a="http://schemas.openxmlformats.org/drawingml/2006/main">
          <a:off x="4627185" y="2567015"/>
          <a:ext cx="131886" cy="153912"/>
        </a:xfrm>
        <a:prstGeom xmlns:a="http://schemas.openxmlformats.org/drawingml/2006/main" prst="flowChartConnector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0.51721</cdr:x>
      <cdr:y>0.22676</cdr:y>
    </cdr:from>
    <cdr:to>
      <cdr:x>0.52824</cdr:x>
      <cdr:y>0.2498</cdr:y>
    </cdr:to>
    <cdr:sp macro="" textlink="">
      <cdr:nvSpPr>
        <cdr:cNvPr id="18" name="Fluxograma: Conector 17">
          <a:extLst xmlns:a="http://schemas.openxmlformats.org/drawingml/2006/main">
            <a:ext uri="{FF2B5EF4-FFF2-40B4-BE49-F238E27FC236}">
              <a16:creationId xmlns:a16="http://schemas.microsoft.com/office/drawing/2014/main" id="{1306C81A-FDC4-17C0-4B59-5F1DFC7D5AD4}"/>
            </a:ext>
          </a:extLst>
        </cdr:cNvPr>
        <cdr:cNvSpPr/>
      </cdr:nvSpPr>
      <cdr:spPr>
        <a:xfrm xmlns:a="http://schemas.openxmlformats.org/drawingml/2006/main">
          <a:off x="6184302" y="1514804"/>
          <a:ext cx="131886" cy="153912"/>
        </a:xfrm>
        <a:prstGeom xmlns:a="http://schemas.openxmlformats.org/drawingml/2006/main" prst="flowChartConnector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0.52423</cdr:x>
      <cdr:y>0.18013</cdr:y>
    </cdr:from>
    <cdr:to>
      <cdr:x>0.55311</cdr:x>
      <cdr:y>0.24072</cdr:y>
    </cdr:to>
    <cdr:cxnSp macro="">
      <cdr:nvCxnSpPr>
        <cdr:cNvPr id="10" name="Conector reto 9">
          <a:extLst xmlns:a="http://schemas.openxmlformats.org/drawingml/2006/main">
            <a:ext uri="{FF2B5EF4-FFF2-40B4-BE49-F238E27FC236}">
              <a16:creationId xmlns:a16="http://schemas.microsoft.com/office/drawing/2014/main" id="{D8338D42-E0D1-A19C-EC45-27EE71A2B8F4}"/>
            </a:ext>
          </a:extLst>
        </cdr:cNvPr>
        <cdr:cNvCxnSpPr/>
      </cdr:nvCxnSpPr>
      <cdr:spPr>
        <a:xfrm xmlns:a="http://schemas.openxmlformats.org/drawingml/2006/main" flipH="1">
          <a:off x="6268299" y="1203325"/>
          <a:ext cx="345226" cy="40475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0.35157</cdr:x>
      <cdr:y>0.21008</cdr:y>
    </cdr:from>
    <cdr:to>
      <cdr:x>0.36989</cdr:x>
      <cdr:y>0.25428</cdr:y>
    </cdr:to>
    <cdr:cxnSp macro="">
      <cdr:nvCxnSpPr>
        <cdr:cNvPr id="20" name="Conector reto 19">
          <a:extLst xmlns:a="http://schemas.openxmlformats.org/drawingml/2006/main">
            <a:ext uri="{FF2B5EF4-FFF2-40B4-BE49-F238E27FC236}">
              <a16:creationId xmlns:a16="http://schemas.microsoft.com/office/drawing/2014/main" id="{6724829B-F266-3C28-3F6B-FF26C7220057}"/>
            </a:ext>
          </a:extLst>
        </cdr:cNvPr>
        <cdr:cNvCxnSpPr/>
      </cdr:nvCxnSpPr>
      <cdr:spPr>
        <a:xfrm xmlns:a="http://schemas.openxmlformats.org/drawingml/2006/main" flipV="1">
          <a:off x="4203700" y="1403350"/>
          <a:ext cx="219075" cy="2952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0.69215</cdr:x>
      <cdr:y>0.25569</cdr:y>
    </cdr:from>
    <cdr:to>
      <cdr:x>0.71721</cdr:x>
      <cdr:y>0.26711</cdr:y>
    </cdr:to>
    <cdr:cxnSp macro="">
      <cdr:nvCxnSpPr>
        <cdr:cNvPr id="24" name="Conector reto 23">
          <a:extLst xmlns:a="http://schemas.openxmlformats.org/drawingml/2006/main">
            <a:ext uri="{FF2B5EF4-FFF2-40B4-BE49-F238E27FC236}">
              <a16:creationId xmlns:a16="http://schemas.microsoft.com/office/drawing/2014/main" id="{702911F5-D179-FBF2-EB0F-DBE5BF8AE91C}"/>
            </a:ext>
          </a:extLst>
        </cdr:cNvPr>
        <cdr:cNvCxnSpPr>
          <a:stCxn xmlns:a="http://schemas.openxmlformats.org/drawingml/2006/main" id="9" idx="5"/>
        </cdr:cNvCxnSpPr>
      </cdr:nvCxnSpPr>
      <cdr:spPr>
        <a:xfrm xmlns:a="http://schemas.openxmlformats.org/drawingml/2006/main">
          <a:off x="8276035" y="1708067"/>
          <a:ext cx="299640" cy="7628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0.52333</cdr:x>
      <cdr:y>0.35661</cdr:y>
    </cdr:from>
    <cdr:to>
      <cdr:x>0.537</cdr:x>
      <cdr:y>0.38161</cdr:y>
    </cdr:to>
    <cdr:cxnSp macro="">
      <cdr:nvCxnSpPr>
        <cdr:cNvPr id="28" name="Conector reto 27">
          <a:extLst xmlns:a="http://schemas.openxmlformats.org/drawingml/2006/main">
            <a:ext uri="{FF2B5EF4-FFF2-40B4-BE49-F238E27FC236}">
              <a16:creationId xmlns:a16="http://schemas.microsoft.com/office/drawing/2014/main" id="{EA4B7E78-D7DC-48C1-AA70-51E469443716}"/>
            </a:ext>
          </a:extLst>
        </cdr:cNvPr>
        <cdr:cNvCxnSpPr/>
      </cdr:nvCxnSpPr>
      <cdr:spPr>
        <a:xfrm xmlns:a="http://schemas.openxmlformats.org/drawingml/2006/main" flipH="1" flipV="1">
          <a:off x="5956300" y="2253457"/>
          <a:ext cx="155575" cy="15795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0.52438</cdr:x>
      <cdr:y>0.31755</cdr:y>
    </cdr:from>
    <cdr:to>
      <cdr:x>0.53072</cdr:x>
      <cdr:y>0.34406</cdr:y>
    </cdr:to>
    <cdr:cxnSp macro="">
      <cdr:nvCxnSpPr>
        <cdr:cNvPr id="33" name="Conector reto 32">
          <a:extLst xmlns:a="http://schemas.openxmlformats.org/drawingml/2006/main">
            <a:ext uri="{FF2B5EF4-FFF2-40B4-BE49-F238E27FC236}">
              <a16:creationId xmlns:a16="http://schemas.microsoft.com/office/drawing/2014/main" id="{587C99B7-465F-6A64-93B3-1C4EDE4730B2}"/>
            </a:ext>
          </a:extLst>
        </cdr:cNvPr>
        <cdr:cNvCxnSpPr/>
      </cdr:nvCxnSpPr>
      <cdr:spPr>
        <a:xfrm xmlns:a="http://schemas.openxmlformats.org/drawingml/2006/main" flipH="1">
          <a:off x="5968313" y="2006600"/>
          <a:ext cx="72125" cy="16751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0.67721</cdr:x>
      <cdr:y>0.66497</cdr:y>
    </cdr:from>
    <cdr:to>
      <cdr:x>0.69297</cdr:x>
      <cdr:y>0.68717</cdr:y>
    </cdr:to>
    <cdr:sp macro="" textlink="">
      <cdr:nvSpPr>
        <cdr:cNvPr id="43" name="Fluxograma: Conector 42">
          <a:extLst xmlns:a="http://schemas.openxmlformats.org/drawingml/2006/main">
            <a:ext uri="{FF2B5EF4-FFF2-40B4-BE49-F238E27FC236}">
              <a16:creationId xmlns:a16="http://schemas.microsoft.com/office/drawing/2014/main" id="{37DFC961-A63F-B184-C69F-75A9256E81F6}"/>
            </a:ext>
          </a:extLst>
        </cdr:cNvPr>
        <cdr:cNvSpPr/>
      </cdr:nvSpPr>
      <cdr:spPr>
        <a:xfrm xmlns:a="http://schemas.openxmlformats.org/drawingml/2006/main">
          <a:off x="7952567" y="4439172"/>
          <a:ext cx="185070" cy="148202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FD970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0.6771</cdr:x>
      <cdr:y>0.76548</cdr:y>
    </cdr:from>
    <cdr:to>
      <cdr:x>0.69287</cdr:x>
      <cdr:y>0.78768</cdr:y>
    </cdr:to>
    <cdr:sp macro="" textlink="">
      <cdr:nvSpPr>
        <cdr:cNvPr id="44" name="Fluxograma: Conector 43">
          <a:extLst xmlns:a="http://schemas.openxmlformats.org/drawingml/2006/main">
            <a:ext uri="{FF2B5EF4-FFF2-40B4-BE49-F238E27FC236}">
              <a16:creationId xmlns:a16="http://schemas.microsoft.com/office/drawing/2014/main" id="{0D7A6953-6394-9454-3B94-B82CC12B2511}"/>
            </a:ext>
          </a:extLst>
        </cdr:cNvPr>
        <cdr:cNvSpPr/>
      </cdr:nvSpPr>
      <cdr:spPr>
        <a:xfrm xmlns:a="http://schemas.openxmlformats.org/drawingml/2006/main">
          <a:off x="7706519" y="4837113"/>
          <a:ext cx="179388" cy="140294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0.52437</cdr:x>
      <cdr:y>0.63736</cdr:y>
    </cdr:from>
    <cdr:to>
      <cdr:x>0.54014</cdr:x>
      <cdr:y>0.65956</cdr:y>
    </cdr:to>
    <cdr:sp macro="" textlink="">
      <cdr:nvSpPr>
        <cdr:cNvPr id="45" name="Fluxograma: Conector 44">
          <a:extLst xmlns:a="http://schemas.openxmlformats.org/drawingml/2006/main">
            <a:ext uri="{FF2B5EF4-FFF2-40B4-BE49-F238E27FC236}">
              <a16:creationId xmlns:a16="http://schemas.microsoft.com/office/drawing/2014/main" id="{63DAB479-747F-7981-23A5-6BAA2B3CFAA9}"/>
            </a:ext>
          </a:extLst>
        </cdr:cNvPr>
        <cdr:cNvSpPr/>
      </cdr:nvSpPr>
      <cdr:spPr>
        <a:xfrm xmlns:a="http://schemas.openxmlformats.org/drawingml/2006/main">
          <a:off x="5968206" y="4027488"/>
          <a:ext cx="179388" cy="140294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0.51551</cdr:x>
      <cdr:y>0.29378</cdr:y>
    </cdr:from>
    <cdr:to>
      <cdr:x>0.52165</cdr:x>
      <cdr:y>0.35064</cdr:y>
    </cdr:to>
    <cdr:cxnSp macro="">
      <cdr:nvCxnSpPr>
        <cdr:cNvPr id="6" name="Conector reto 5">
          <a:extLst xmlns:a="http://schemas.openxmlformats.org/drawingml/2006/main">
            <a:ext uri="{FF2B5EF4-FFF2-40B4-BE49-F238E27FC236}">
              <a16:creationId xmlns:a16="http://schemas.microsoft.com/office/drawing/2014/main" id="{2A3FDC23-73EE-1D31-6DD2-17C74788222B}"/>
            </a:ext>
          </a:extLst>
        </cdr:cNvPr>
        <cdr:cNvCxnSpPr>
          <a:stCxn xmlns:a="http://schemas.openxmlformats.org/drawingml/2006/main" id="94" idx="2"/>
        </cdr:cNvCxnSpPr>
      </cdr:nvCxnSpPr>
      <cdr:spPr>
        <a:xfrm xmlns:a="http://schemas.openxmlformats.org/drawingml/2006/main">
          <a:off x="6055678" y="1850391"/>
          <a:ext cx="72072" cy="35810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0.47619</cdr:x>
      <cdr:y>0.26051</cdr:y>
    </cdr:from>
    <cdr:to>
      <cdr:x>0.55484</cdr:x>
      <cdr:y>0.29378</cdr:y>
    </cdr:to>
    <cdr:sp macro="" textlink="">
      <cdr:nvSpPr>
        <cdr:cNvPr id="94" name="Retângulo 93">
          <a:extLst xmlns:a="http://schemas.openxmlformats.org/drawingml/2006/main">
            <a:ext uri="{FF2B5EF4-FFF2-40B4-BE49-F238E27FC236}">
              <a16:creationId xmlns:a16="http://schemas.microsoft.com/office/drawing/2014/main" id="{2040EEFC-DA18-AD55-30B9-48B42B2E970E}"/>
            </a:ext>
          </a:extLst>
        </cdr:cNvPr>
        <cdr:cNvSpPr/>
      </cdr:nvSpPr>
      <cdr:spPr>
        <a:xfrm xmlns:a="http://schemas.openxmlformats.org/drawingml/2006/main">
          <a:off x="5593715" y="1640841"/>
          <a:ext cx="923925" cy="2095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pt-BR" b="1" kern="1200">
              <a:solidFill>
                <a:sysClr val="windowText" lastClr="000000"/>
              </a:solidFill>
            </a:rPr>
            <a:t>Regulatório</a:t>
          </a:r>
        </a:p>
      </cdr:txBody>
    </cdr:sp>
  </cdr:relSizeAnchor>
  <cdr:relSizeAnchor xmlns:cdr="http://schemas.openxmlformats.org/drawingml/2006/chartDrawing">
    <cdr:from>
      <cdr:x>0.69771</cdr:x>
      <cdr:y>0.18688</cdr:y>
    </cdr:from>
    <cdr:to>
      <cdr:x>0.77636</cdr:x>
      <cdr:y>0.22015</cdr:y>
    </cdr:to>
    <cdr:sp macro="" textlink="">
      <cdr:nvSpPr>
        <cdr:cNvPr id="96" name="Retângulo 95">
          <a:extLst xmlns:a="http://schemas.openxmlformats.org/drawingml/2006/main">
            <a:ext uri="{FF2B5EF4-FFF2-40B4-BE49-F238E27FC236}">
              <a16:creationId xmlns:a16="http://schemas.microsoft.com/office/drawing/2014/main" id="{C81EDB81-4F1F-A73C-1224-86C616A85D0F}"/>
            </a:ext>
          </a:extLst>
        </cdr:cNvPr>
        <cdr:cNvSpPr/>
      </cdr:nvSpPr>
      <cdr:spPr>
        <a:xfrm xmlns:a="http://schemas.openxmlformats.org/drawingml/2006/main">
          <a:off x="8342579" y="1248412"/>
          <a:ext cx="940422" cy="2222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b="1" kern="1200">
              <a:solidFill>
                <a:sysClr val="windowText" lastClr="000000"/>
              </a:solidFill>
            </a:rPr>
            <a:t>Reputação</a:t>
          </a:r>
        </a:p>
      </cdr:txBody>
    </cdr:sp>
  </cdr:relSizeAnchor>
  <cdr:relSizeAnchor xmlns:cdr="http://schemas.openxmlformats.org/drawingml/2006/chartDrawing">
    <cdr:from>
      <cdr:x>0.52662</cdr:x>
      <cdr:y>0.24643</cdr:y>
    </cdr:from>
    <cdr:to>
      <cdr:x>0.5547</cdr:x>
      <cdr:y>0.26996</cdr:y>
    </cdr:to>
    <cdr:cxnSp macro="">
      <cdr:nvCxnSpPr>
        <cdr:cNvPr id="97" name="Conector reto 96">
          <a:extLst xmlns:a="http://schemas.openxmlformats.org/drawingml/2006/main">
            <a:ext uri="{FF2B5EF4-FFF2-40B4-BE49-F238E27FC236}">
              <a16:creationId xmlns:a16="http://schemas.microsoft.com/office/drawing/2014/main" id="{6001CCD2-A24C-8AA6-CB58-E98F141A8E55}"/>
            </a:ext>
          </a:extLst>
        </cdr:cNvPr>
        <cdr:cNvCxnSpPr>
          <a:endCxn xmlns:a="http://schemas.openxmlformats.org/drawingml/2006/main" id="18" idx="5"/>
        </cdr:cNvCxnSpPr>
      </cdr:nvCxnSpPr>
      <cdr:spPr>
        <a:xfrm xmlns:a="http://schemas.openxmlformats.org/drawingml/2006/main" flipH="1" flipV="1">
          <a:off x="6296874" y="1646176"/>
          <a:ext cx="335701" cy="15722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0.68798</cdr:x>
      <cdr:y>0.22006</cdr:y>
    </cdr:from>
    <cdr:to>
      <cdr:x>0.70446</cdr:x>
      <cdr:y>0.23781</cdr:y>
    </cdr:to>
    <cdr:cxnSp macro="">
      <cdr:nvCxnSpPr>
        <cdr:cNvPr id="99" name="Conector reto 98">
          <a:extLst xmlns:a="http://schemas.openxmlformats.org/drawingml/2006/main">
            <a:ext uri="{FF2B5EF4-FFF2-40B4-BE49-F238E27FC236}">
              <a16:creationId xmlns:a16="http://schemas.microsoft.com/office/drawing/2014/main" id="{ADDCEEE9-26E7-8C8D-587D-153A0E5F22CA}"/>
            </a:ext>
          </a:extLst>
        </cdr:cNvPr>
        <cdr:cNvCxnSpPr/>
      </cdr:nvCxnSpPr>
      <cdr:spPr>
        <a:xfrm xmlns:a="http://schemas.openxmlformats.org/drawingml/2006/main" flipH="1">
          <a:off x="8226237" y="1470025"/>
          <a:ext cx="197038" cy="11857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0.68694</cdr:x>
      <cdr:y>0.23289</cdr:y>
    </cdr:from>
    <cdr:to>
      <cdr:x>0.7658</cdr:x>
      <cdr:y>0.24287</cdr:y>
    </cdr:to>
    <cdr:cxnSp macro="">
      <cdr:nvCxnSpPr>
        <cdr:cNvPr id="7" name="Conector reto 6">
          <a:extLst xmlns:a="http://schemas.openxmlformats.org/drawingml/2006/main">
            <a:ext uri="{FF2B5EF4-FFF2-40B4-BE49-F238E27FC236}">
              <a16:creationId xmlns:a16="http://schemas.microsoft.com/office/drawing/2014/main" id="{BCC81294-443A-1447-DE19-ECD911A0A78A}"/>
            </a:ext>
          </a:extLst>
        </cdr:cNvPr>
        <cdr:cNvCxnSpPr/>
      </cdr:nvCxnSpPr>
      <cdr:spPr>
        <a:xfrm xmlns:a="http://schemas.openxmlformats.org/drawingml/2006/main" flipH="1">
          <a:off x="8213730" y="1555750"/>
          <a:ext cx="942970" cy="6664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0.50212</cdr:x>
      <cdr:y>0.2443</cdr:y>
    </cdr:from>
    <cdr:to>
      <cdr:x>0.51882</cdr:x>
      <cdr:y>0.24643</cdr:y>
    </cdr:to>
    <cdr:cxnSp macro="">
      <cdr:nvCxnSpPr>
        <cdr:cNvPr id="23" name="Conector reto 22">
          <a:extLst xmlns:a="http://schemas.openxmlformats.org/drawingml/2006/main">
            <a:ext uri="{FF2B5EF4-FFF2-40B4-BE49-F238E27FC236}">
              <a16:creationId xmlns:a16="http://schemas.microsoft.com/office/drawing/2014/main" id="{E232E408-5F19-473A-2521-26F09BFBF487}"/>
            </a:ext>
          </a:extLst>
        </cdr:cNvPr>
        <cdr:cNvCxnSpPr>
          <a:endCxn xmlns:a="http://schemas.openxmlformats.org/drawingml/2006/main" id="18" idx="3"/>
        </cdr:cNvCxnSpPr>
      </cdr:nvCxnSpPr>
      <cdr:spPr>
        <a:xfrm xmlns:a="http://schemas.openxmlformats.org/drawingml/2006/main">
          <a:off x="6003925" y="1631950"/>
          <a:ext cx="199691" cy="1422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0.3964</cdr:x>
      <cdr:y>0.35979</cdr:y>
    </cdr:from>
    <cdr:to>
      <cdr:x>0.40653</cdr:x>
      <cdr:y>0.38765</cdr:y>
    </cdr:to>
    <cdr:cxnSp macro="">
      <cdr:nvCxnSpPr>
        <cdr:cNvPr id="30" name="Conector reto 29">
          <a:extLst xmlns:a="http://schemas.openxmlformats.org/drawingml/2006/main">
            <a:ext uri="{FF2B5EF4-FFF2-40B4-BE49-F238E27FC236}">
              <a16:creationId xmlns:a16="http://schemas.microsoft.com/office/drawing/2014/main" id="{469E7C31-497C-E034-5C73-630668003A29}"/>
            </a:ext>
          </a:extLst>
        </cdr:cNvPr>
        <cdr:cNvCxnSpPr>
          <a:stCxn xmlns:a="http://schemas.openxmlformats.org/drawingml/2006/main" id="17" idx="7"/>
        </cdr:cNvCxnSpPr>
      </cdr:nvCxnSpPr>
      <cdr:spPr>
        <a:xfrm xmlns:a="http://schemas.openxmlformats.org/drawingml/2006/main" flipV="1">
          <a:off x="4739757" y="2403475"/>
          <a:ext cx="121168" cy="1860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0.3436</cdr:x>
      <cdr:y>0.24715</cdr:y>
    </cdr:from>
    <cdr:to>
      <cdr:x>0.35463</cdr:x>
      <cdr:y>0.27019</cdr:y>
    </cdr:to>
    <cdr:sp macro="" textlink="">
      <cdr:nvSpPr>
        <cdr:cNvPr id="37" name="Fluxograma: Conector 36">
          <a:extLst xmlns:a="http://schemas.openxmlformats.org/drawingml/2006/main">
            <a:ext uri="{FF2B5EF4-FFF2-40B4-BE49-F238E27FC236}">
              <a16:creationId xmlns:a16="http://schemas.microsoft.com/office/drawing/2014/main" id="{CC061675-DD4F-03C1-C650-431768D05898}"/>
            </a:ext>
          </a:extLst>
        </cdr:cNvPr>
        <cdr:cNvSpPr/>
      </cdr:nvSpPr>
      <cdr:spPr>
        <a:xfrm xmlns:a="http://schemas.openxmlformats.org/drawingml/2006/main">
          <a:off x="4108450" y="1651000"/>
          <a:ext cx="131886" cy="153912"/>
        </a:xfrm>
        <a:prstGeom xmlns:a="http://schemas.openxmlformats.org/drawingml/2006/main" prst="flowChartConnector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0.765</cdr:x>
      <cdr:y>0.2115</cdr:y>
    </cdr:from>
    <cdr:to>
      <cdr:x>0.86458</cdr:x>
      <cdr:y>0.25</cdr:y>
    </cdr:to>
    <cdr:sp macro="" textlink="">
      <cdr:nvSpPr>
        <cdr:cNvPr id="21" name="Retângulo 20">
          <a:extLst xmlns:a="http://schemas.openxmlformats.org/drawingml/2006/main">
            <a:ext uri="{FF2B5EF4-FFF2-40B4-BE49-F238E27FC236}">
              <a16:creationId xmlns:a16="http://schemas.microsoft.com/office/drawing/2014/main" id="{6A67B444-8E50-40A7-330B-C10C2529A2B0}"/>
            </a:ext>
          </a:extLst>
        </cdr:cNvPr>
        <cdr:cNvSpPr/>
      </cdr:nvSpPr>
      <cdr:spPr>
        <a:xfrm xmlns:a="http://schemas.openxmlformats.org/drawingml/2006/main">
          <a:off x="9147174" y="1412874"/>
          <a:ext cx="1190625" cy="2571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b="1" kern="1200">
              <a:solidFill>
                <a:sysClr val="windowText" lastClr="000000"/>
              </a:solidFill>
            </a:rPr>
            <a:t>Fraude</a:t>
          </a:r>
          <a:r>
            <a:rPr lang="pt-BR" b="1" kern="1200" baseline="0">
              <a:solidFill>
                <a:sysClr val="windowText" lastClr="000000"/>
              </a:solidFill>
            </a:rPr>
            <a:t> e Roubo</a:t>
          </a:r>
          <a:endParaRPr lang="pt-BR" b="1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0.71641</cdr:x>
      <cdr:y>0.25428</cdr:y>
    </cdr:from>
    <cdr:to>
      <cdr:x>0.82236</cdr:x>
      <cdr:y>0.28992</cdr:y>
    </cdr:to>
    <cdr:sp macro="" textlink="">
      <cdr:nvSpPr>
        <cdr:cNvPr id="22" name="Retângulo 21">
          <a:extLst xmlns:a="http://schemas.openxmlformats.org/drawingml/2006/main">
            <a:ext uri="{FF2B5EF4-FFF2-40B4-BE49-F238E27FC236}">
              <a16:creationId xmlns:a16="http://schemas.microsoft.com/office/drawing/2014/main" id="{6A67B444-8E50-40A7-330B-C10C2529A2B0}"/>
            </a:ext>
          </a:extLst>
        </cdr:cNvPr>
        <cdr:cNvSpPr/>
      </cdr:nvSpPr>
      <cdr:spPr>
        <a:xfrm xmlns:a="http://schemas.openxmlformats.org/drawingml/2006/main">
          <a:off x="8566149" y="1698624"/>
          <a:ext cx="1266825" cy="238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b="1" kern="1200">
              <a:solidFill>
                <a:sysClr val="windowText" lastClr="000000"/>
              </a:solidFill>
            </a:rPr>
            <a:t>Controles</a:t>
          </a:r>
          <a:r>
            <a:rPr lang="pt-BR" b="1" kern="1200" baseline="0">
              <a:solidFill>
                <a:sysClr val="windowText" lastClr="000000"/>
              </a:solidFill>
            </a:rPr>
            <a:t> internos</a:t>
          </a:r>
          <a:endParaRPr lang="pt-BR" b="1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0.20579</cdr:x>
      <cdr:y>0.39544</cdr:y>
    </cdr:from>
    <cdr:to>
      <cdr:x>0.22889</cdr:x>
      <cdr:y>0.39686</cdr:y>
    </cdr:to>
    <cdr:cxnSp macro="">
      <cdr:nvCxnSpPr>
        <cdr:cNvPr id="26" name="Conector reto 25">
          <a:extLst xmlns:a="http://schemas.openxmlformats.org/drawingml/2006/main">
            <a:ext uri="{FF2B5EF4-FFF2-40B4-BE49-F238E27FC236}">
              <a16:creationId xmlns:a16="http://schemas.microsoft.com/office/drawing/2014/main" id="{B2204A1D-66D9-7A46-0FAC-C4F6EB656979}"/>
            </a:ext>
          </a:extLst>
        </cdr:cNvPr>
        <cdr:cNvCxnSpPr/>
      </cdr:nvCxnSpPr>
      <cdr:spPr>
        <a:xfrm xmlns:a="http://schemas.openxmlformats.org/drawingml/2006/main" flipH="1">
          <a:off x="2460625" y="2641600"/>
          <a:ext cx="276225" cy="95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pliance\Mapa%20riesgos\Informe%20de%20situaci&#243;n%20DECAL%20JUNIO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Portada"/>
      <sheetName val="02 Indice"/>
      <sheetName val="03 Modelo"/>
      <sheetName val="04 Política prevención"/>
      <sheetName val="05 Código Ético"/>
      <sheetName val="06 Normas"/>
      <sheetName val="07 Estructura"/>
      <sheetName val="08 Comité Compliance"/>
      <sheetName val="09 Comité Ético"/>
      <sheetName val="10 Canal Ético"/>
      <sheetName val="11 Sanciones"/>
      <sheetName val="12 Formación"/>
      <sheetName val="13 Mapa de riesgos"/>
      <sheetName val="14 Departamentos"/>
      <sheetName val="15 Mapas de controles"/>
      <sheetName val="16 Prioridad"/>
      <sheetName val="17 Corrupción"/>
      <sheetName val="18 Delitos tecnológicos"/>
      <sheetName val="19 Propiedad intelectual"/>
      <sheetName val="20 Hacienda"/>
      <sheetName val="21 Mercado"/>
      <sheetName val="22 Blanqueo"/>
      <sheetName val="23 Trabajadores"/>
      <sheetName val="24 Medio ambiente"/>
      <sheetName val="25 Urbanismo"/>
      <sheetName val="26 Falsificación"/>
      <sheetName val="27 Intimidad"/>
      <sheetName val="28 Estafa"/>
      <sheetName val="29 Insolvencias"/>
      <sheetName val="30 Filiales"/>
      <sheetName val="31 Proveedores"/>
      <sheetName val="32 Clientes"/>
      <sheetName val="33 Repositorio"/>
      <sheetName val="34 Auditorías"/>
      <sheetName val="35 Riesgo de denuncia"/>
      <sheetName val="36 Indicadores"/>
      <sheetName val="37 Madurez"/>
      <sheetName val="38 Recomendaciones"/>
      <sheetName val="39 Calendario"/>
      <sheetName val="40 Directivos"/>
      <sheetName val="Hoja1"/>
    </sheetNames>
    <sheetDataSet>
      <sheetData sheetId="0">
        <row r="3">
          <cell r="E3" t="str">
            <v>Informe de situación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1">
          <cell r="B51" t="str">
            <v>Corrupción</v>
          </cell>
          <cell r="C51"/>
          <cell r="D51"/>
          <cell r="E51"/>
          <cell r="F51">
            <v>60</v>
          </cell>
          <cell r="G51">
            <v>80</v>
          </cell>
        </row>
        <row r="52">
          <cell r="B52" t="str">
            <v>Delitos tecnológicos</v>
          </cell>
          <cell r="C52"/>
          <cell r="D52"/>
          <cell r="E52"/>
          <cell r="F52">
            <v>40</v>
          </cell>
          <cell r="G52">
            <v>60</v>
          </cell>
        </row>
        <row r="53">
          <cell r="B53" t="str">
            <v>Propiedad intelectual e industrial</v>
          </cell>
          <cell r="C53"/>
          <cell r="D53"/>
          <cell r="E53"/>
          <cell r="F53">
            <v>60</v>
          </cell>
          <cell r="G53">
            <v>20</v>
          </cell>
        </row>
        <row r="54">
          <cell r="B54" t="str">
            <v>Hacienda Pública y SS</v>
          </cell>
          <cell r="C54"/>
          <cell r="D54"/>
          <cell r="E54"/>
          <cell r="F54">
            <v>80</v>
          </cell>
          <cell r="G54">
            <v>60</v>
          </cell>
        </row>
        <row r="55">
          <cell r="B55" t="str">
            <v>Mercado y consumidores</v>
          </cell>
          <cell r="C55"/>
          <cell r="D55"/>
          <cell r="E55"/>
          <cell r="F55">
            <v>80</v>
          </cell>
          <cell r="G55">
            <v>80</v>
          </cell>
        </row>
        <row r="56">
          <cell r="B56" t="str">
            <v>Blanqueo de capitales</v>
          </cell>
          <cell r="C56"/>
          <cell r="D56"/>
          <cell r="E56"/>
          <cell r="F56">
            <v>20</v>
          </cell>
          <cell r="G56">
            <v>60</v>
          </cell>
        </row>
        <row r="57">
          <cell r="B57" t="str">
            <v>Derechos de los trabajadores</v>
          </cell>
          <cell r="C57"/>
          <cell r="D57"/>
          <cell r="E57"/>
          <cell r="F57">
            <v>100</v>
          </cell>
          <cell r="G57">
            <v>80</v>
          </cell>
        </row>
        <row r="58">
          <cell r="B58" t="str">
            <v>Medio ambiente y seguridad colectiva</v>
          </cell>
          <cell r="C58"/>
          <cell r="D58"/>
          <cell r="E58"/>
          <cell r="F58">
            <v>80</v>
          </cell>
          <cell r="G58">
            <v>100</v>
          </cell>
        </row>
        <row r="59">
          <cell r="B59" t="str">
            <v>Delitos urbanísticos</v>
          </cell>
          <cell r="C59"/>
          <cell r="D59"/>
          <cell r="E59"/>
          <cell r="F59">
            <v>60</v>
          </cell>
          <cell r="G59">
            <v>40</v>
          </cell>
        </row>
        <row r="60">
          <cell r="B60" t="str">
            <v>Falsificación de medios de pago</v>
          </cell>
          <cell r="C60"/>
          <cell r="D60"/>
          <cell r="E60"/>
          <cell r="F60">
            <v>20</v>
          </cell>
          <cell r="G60">
            <v>40</v>
          </cell>
        </row>
        <row r="61">
          <cell r="B61" t="str">
            <v>Delitos contra la intimidad</v>
          </cell>
          <cell r="C61"/>
          <cell r="D61"/>
          <cell r="E61"/>
          <cell r="F61">
            <v>60</v>
          </cell>
          <cell r="G61">
            <v>80</v>
          </cell>
        </row>
        <row r="62">
          <cell r="B62" t="str">
            <v>Estafa</v>
          </cell>
          <cell r="C62"/>
          <cell r="D62"/>
          <cell r="E62"/>
          <cell r="F62">
            <v>60</v>
          </cell>
          <cell r="G62">
            <v>60</v>
          </cell>
        </row>
        <row r="63">
          <cell r="B63" t="str">
            <v>Insolvencias punibles</v>
          </cell>
          <cell r="C63"/>
          <cell r="D63"/>
          <cell r="E63"/>
          <cell r="F63">
            <v>20</v>
          </cell>
          <cell r="G63">
            <v>100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72"/>
  <sheetViews>
    <sheetView tabSelected="1" topLeftCell="A2" zoomScale="80" zoomScaleNormal="80" workbookViewId="0">
      <selection activeCell="H23" sqref="H23"/>
    </sheetView>
  </sheetViews>
  <sheetFormatPr defaultColWidth="12.42578125" defaultRowHeight="15"/>
  <cols>
    <col min="1" max="1" width="7.28515625" style="3" customWidth="1"/>
    <col min="2" max="2" width="10.7109375" style="1" customWidth="1"/>
    <col min="3" max="3" width="11.28515625" style="1" customWidth="1"/>
    <col min="4" max="4" width="18.140625" style="1" customWidth="1"/>
    <col min="5" max="5" width="6.28515625" style="1" customWidth="1"/>
    <col min="6" max="9" width="19.28515625" style="1" customWidth="1"/>
    <col min="10" max="10" width="19.28515625" style="2" customWidth="1"/>
    <col min="11" max="11" width="23.5703125" style="2" customWidth="1"/>
    <col min="12" max="13" width="19" style="2" customWidth="1"/>
    <col min="14" max="14" width="15.85546875" style="2" customWidth="1"/>
    <col min="15" max="24" width="9.7109375" style="2" customWidth="1"/>
    <col min="25" max="25" width="9.28515625" style="2" customWidth="1"/>
    <col min="26" max="26" width="19" style="2" customWidth="1"/>
    <col min="27" max="27" width="18.140625" style="2" customWidth="1"/>
    <col min="28" max="28" width="40" style="2" customWidth="1"/>
    <col min="29" max="29" width="53.28515625" style="2" customWidth="1"/>
    <col min="30" max="30" width="52.140625" style="2" customWidth="1"/>
    <col min="31" max="32" width="41.7109375" style="2" customWidth="1"/>
    <col min="33" max="33" width="52.42578125" style="2" customWidth="1"/>
    <col min="34" max="34" width="41.140625" style="2" customWidth="1"/>
    <col min="35" max="16384" width="12.42578125" style="3"/>
  </cols>
  <sheetData>
    <row r="1" spans="2:26" hidden="1">
      <c r="B1" s="5"/>
      <c r="C1" s="5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2:26" ht="20.100000000000001" customHeight="1">
      <c r="B2" s="85" t="s">
        <v>0</v>
      </c>
      <c r="C2" s="85"/>
      <c r="D2" s="85"/>
      <c r="E2" s="85"/>
      <c r="F2" s="85"/>
      <c r="G2" s="85"/>
      <c r="H2" s="85"/>
      <c r="I2" s="85"/>
      <c r="J2" s="85"/>
      <c r="K2" s="6"/>
      <c r="L2" s="6"/>
      <c r="M2" s="6"/>
      <c r="N2" s="6"/>
      <c r="O2" s="6"/>
      <c r="P2" s="7"/>
      <c r="Q2" s="6"/>
      <c r="R2" s="6"/>
      <c r="S2" s="6"/>
      <c r="T2" s="8"/>
      <c r="U2" s="8"/>
    </row>
    <row r="3" spans="2:26" ht="15.95" hidden="1" customHeight="1">
      <c r="D3" s="9"/>
      <c r="E3" s="10"/>
      <c r="F3" s="10"/>
      <c r="G3" s="10"/>
      <c r="H3" s="11"/>
      <c r="I3" s="11"/>
      <c r="J3" s="11"/>
      <c r="K3" s="11"/>
      <c r="L3" s="11"/>
      <c r="M3" s="11"/>
      <c r="N3" s="11"/>
      <c r="O3" s="12"/>
      <c r="P3" s="7"/>
      <c r="Q3" s="12"/>
      <c r="R3" s="12"/>
      <c r="S3" s="12"/>
      <c r="T3" s="8"/>
      <c r="U3" s="8"/>
    </row>
    <row r="4" spans="2:26" ht="15.95" customHeight="1">
      <c r="D4" s="6"/>
      <c r="E4" s="13"/>
      <c r="F4" s="86" t="s">
        <v>1</v>
      </c>
      <c r="G4" s="86"/>
      <c r="H4" s="86"/>
      <c r="I4" s="86"/>
      <c r="J4" s="86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2:26" ht="15.95" customHeight="1">
      <c r="B5" s="87" t="s">
        <v>2</v>
      </c>
      <c r="C5" s="87"/>
      <c r="D5" s="87"/>
      <c r="E5" s="88"/>
      <c r="F5" s="14" t="s">
        <v>3</v>
      </c>
      <c r="G5" s="14" t="s">
        <v>4</v>
      </c>
      <c r="H5" s="14" t="s">
        <v>5</v>
      </c>
      <c r="I5" s="14" t="s">
        <v>6</v>
      </c>
      <c r="J5" s="14" t="s">
        <v>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2:26" ht="15.95" customHeight="1">
      <c r="B6" s="89" t="s">
        <v>8</v>
      </c>
      <c r="C6" s="90"/>
      <c r="D6" s="90"/>
      <c r="E6" s="91"/>
      <c r="F6" s="15" t="s">
        <v>9</v>
      </c>
      <c r="G6" s="16" t="s">
        <v>10</v>
      </c>
      <c r="H6" s="16" t="s">
        <v>11</v>
      </c>
      <c r="I6" s="17" t="s">
        <v>12</v>
      </c>
      <c r="J6" s="17" t="s">
        <v>13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2:26" ht="15.95" customHeight="1">
      <c r="B7" s="89" t="s">
        <v>14</v>
      </c>
      <c r="C7" s="90"/>
      <c r="D7" s="90"/>
      <c r="E7" s="91"/>
      <c r="F7" s="15" t="s">
        <v>15</v>
      </c>
      <c r="G7" s="18" t="s">
        <v>16</v>
      </c>
      <c r="H7" s="16" t="s">
        <v>17</v>
      </c>
      <c r="I7" s="16" t="s">
        <v>18</v>
      </c>
      <c r="J7" s="17" t="s">
        <v>12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6" ht="15.95" customHeight="1">
      <c r="B8" s="89" t="s">
        <v>19</v>
      </c>
      <c r="C8" s="90"/>
      <c r="D8" s="90"/>
      <c r="E8" s="91"/>
      <c r="F8" s="19" t="s">
        <v>20</v>
      </c>
      <c r="G8" s="18" t="s">
        <v>9</v>
      </c>
      <c r="H8" s="18" t="s">
        <v>21</v>
      </c>
      <c r="I8" s="16" t="s">
        <v>17</v>
      </c>
      <c r="J8" s="16" t="s">
        <v>11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2:26" ht="15.95" customHeight="1">
      <c r="B9" s="89" t="s">
        <v>22</v>
      </c>
      <c r="C9" s="90"/>
      <c r="D9" s="90"/>
      <c r="E9" s="91"/>
      <c r="F9" s="19" t="s">
        <v>23</v>
      </c>
      <c r="G9" s="20" t="s">
        <v>24</v>
      </c>
      <c r="H9" s="18" t="s">
        <v>16</v>
      </c>
      <c r="I9" s="18" t="s">
        <v>25</v>
      </c>
      <c r="J9" s="16" t="s">
        <v>10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2:26" ht="15.95" customHeight="1">
      <c r="B10" s="89" t="s">
        <v>26</v>
      </c>
      <c r="C10" s="90"/>
      <c r="D10" s="90"/>
      <c r="E10" s="91"/>
      <c r="F10" s="19" t="s">
        <v>27</v>
      </c>
      <c r="G10" s="19" t="s">
        <v>23</v>
      </c>
      <c r="H10" s="20" t="s">
        <v>20</v>
      </c>
      <c r="I10" s="20" t="s">
        <v>24</v>
      </c>
      <c r="J10" s="18" t="s">
        <v>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2:26" ht="15.95" customHeight="1">
      <c r="D11" s="6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2:26" ht="15.95" customHeight="1">
      <c r="D12" s="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2:26" ht="15.95" customHeight="1">
      <c r="D13" s="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2:26" ht="15.95" customHeight="1">
      <c r="B14" s="92" t="s">
        <v>28</v>
      </c>
      <c r="C14" s="93"/>
      <c r="D14" s="93"/>
      <c r="E14" s="94"/>
      <c r="F14" s="95" t="s">
        <v>29</v>
      </c>
      <c r="G14" s="96"/>
      <c r="H14" s="21" t="s">
        <v>30</v>
      </c>
      <c r="I14" s="95" t="s">
        <v>31</v>
      </c>
      <c r="J14" s="96"/>
      <c r="K14" s="22" t="s">
        <v>32</v>
      </c>
      <c r="L14" s="97" t="s">
        <v>33</v>
      </c>
      <c r="M14" s="97"/>
      <c r="N14" s="97"/>
      <c r="O14" s="97"/>
      <c r="P14" s="97"/>
      <c r="Q14" s="97"/>
      <c r="R14" s="97"/>
      <c r="S14" s="23"/>
      <c r="T14" s="8"/>
      <c r="U14" s="8"/>
    </row>
    <row r="15" spans="2:26" ht="15.95" customHeight="1">
      <c r="B15" s="73" t="s">
        <v>34</v>
      </c>
      <c r="C15" s="74"/>
      <c r="D15" s="74"/>
      <c r="E15" s="75"/>
      <c r="F15" s="76" t="s">
        <v>14</v>
      </c>
      <c r="G15" s="77"/>
      <c r="H15" s="24"/>
      <c r="I15" s="78" t="s">
        <v>7</v>
      </c>
      <c r="J15" s="78"/>
      <c r="K15" s="6"/>
      <c r="L15" s="101">
        <f>MID(F15,1,1)*MID(I15,1,1)</f>
        <v>20</v>
      </c>
      <c r="M15" s="102"/>
      <c r="N15" s="103"/>
      <c r="O15" s="25">
        <f>L15</f>
        <v>20</v>
      </c>
      <c r="P15" s="26" t="str">
        <f>IF(L15&gt;=20,"Muy alto",IF(L15&gt;=10,"Alto",IF(L15&gt;=5,"Medio","Bajo")))</f>
        <v>Muy alto</v>
      </c>
      <c r="Q15" s="71" t="str">
        <f>REPT("|",L15)</f>
        <v>||||||||||||||||||||</v>
      </c>
      <c r="R15" s="72"/>
      <c r="S15" s="27"/>
      <c r="T15" s="8"/>
      <c r="U15" s="8"/>
    </row>
    <row r="16" spans="2:26" ht="15.6">
      <c r="B16" s="98" t="s">
        <v>35</v>
      </c>
      <c r="C16" s="99"/>
      <c r="D16" s="99"/>
      <c r="E16" s="100"/>
      <c r="F16" s="76" t="s">
        <v>19</v>
      </c>
      <c r="G16" s="77"/>
      <c r="H16" s="24"/>
      <c r="I16" s="78" t="s">
        <v>7</v>
      </c>
      <c r="J16" s="78"/>
      <c r="K16" s="6"/>
      <c r="L16" s="104">
        <f>MID(F16,1,1)*MID(I16,1,1)</f>
        <v>15</v>
      </c>
      <c r="M16" s="105"/>
      <c r="N16" s="106"/>
      <c r="O16" s="28">
        <f>L16</f>
        <v>15</v>
      </c>
      <c r="P16" s="29" t="str">
        <f>IF(L16&gt;=20,"Muy alto",IF(L16&gt;=10,"Alto",IF(L16&gt;=5,"Medio","Bajo")))</f>
        <v>Alto</v>
      </c>
      <c r="Q16" s="71" t="str">
        <f>REPT("|",L16)</f>
        <v>|||||||||||||||</v>
      </c>
      <c r="R16" s="72"/>
      <c r="S16" s="6"/>
      <c r="T16" s="8"/>
      <c r="U16" s="8"/>
    </row>
    <row r="17" spans="2:21" ht="15.95" customHeight="1">
      <c r="B17" s="73" t="s">
        <v>36</v>
      </c>
      <c r="C17" s="74"/>
      <c r="D17" s="74"/>
      <c r="E17" s="75"/>
      <c r="F17" s="76" t="s">
        <v>19</v>
      </c>
      <c r="G17" s="77"/>
      <c r="H17" s="24"/>
      <c r="I17" s="78" t="s">
        <v>5</v>
      </c>
      <c r="J17" s="78"/>
      <c r="K17" s="6"/>
      <c r="L17" s="104">
        <f t="shared" ref="L17:L28" si="0">MID(F17,1,1)*MID(I17,1,1)</f>
        <v>9</v>
      </c>
      <c r="M17" s="105"/>
      <c r="N17" s="106"/>
      <c r="O17" s="28">
        <f t="shared" ref="O17:O28" si="1">L17</f>
        <v>9</v>
      </c>
      <c r="P17" s="29" t="str">
        <f t="shared" ref="P17:P28" si="2">IF(L17&gt;=20,"Muy alto",IF(L17&gt;=10,"Alto",IF(L17&gt;=5,"Medio","Bajo")))</f>
        <v>Medio</v>
      </c>
      <c r="Q17" s="71" t="str">
        <f t="shared" ref="Q17:Q28" si="3">REPT("|",L17)</f>
        <v>|||||||||</v>
      </c>
      <c r="R17" s="72"/>
      <c r="S17" s="6"/>
      <c r="T17" s="8"/>
      <c r="U17" s="8"/>
    </row>
    <row r="18" spans="2:21" ht="15.95" customHeight="1">
      <c r="B18" s="73" t="s">
        <v>37</v>
      </c>
      <c r="C18" s="74"/>
      <c r="D18" s="74"/>
      <c r="E18" s="75"/>
      <c r="F18" s="76" t="s">
        <v>22</v>
      </c>
      <c r="G18" s="77"/>
      <c r="H18" s="24"/>
      <c r="I18" s="78" t="s">
        <v>6</v>
      </c>
      <c r="J18" s="78"/>
      <c r="K18" s="6"/>
      <c r="L18" s="104">
        <f t="shared" si="0"/>
        <v>8</v>
      </c>
      <c r="M18" s="105"/>
      <c r="N18" s="106"/>
      <c r="O18" s="28">
        <f t="shared" si="1"/>
        <v>8</v>
      </c>
      <c r="P18" s="29" t="str">
        <f t="shared" si="2"/>
        <v>Medio</v>
      </c>
      <c r="Q18" s="71" t="str">
        <f t="shared" si="3"/>
        <v>||||||||</v>
      </c>
      <c r="R18" s="72"/>
      <c r="S18" s="6"/>
      <c r="T18" s="8"/>
      <c r="U18" s="8"/>
    </row>
    <row r="19" spans="2:21" ht="15.95" customHeight="1">
      <c r="B19" s="73" t="s">
        <v>38</v>
      </c>
      <c r="C19" s="74"/>
      <c r="D19" s="74"/>
      <c r="E19" s="75"/>
      <c r="F19" s="76" t="s">
        <v>19</v>
      </c>
      <c r="G19" s="77"/>
      <c r="H19" s="24"/>
      <c r="I19" s="78" t="s">
        <v>5</v>
      </c>
      <c r="J19" s="78"/>
      <c r="K19" s="6"/>
      <c r="L19" s="104">
        <f>MID(F19,1,1)*MID(I19,1,1)</f>
        <v>9</v>
      </c>
      <c r="M19" s="105"/>
      <c r="N19" s="106"/>
      <c r="O19" s="28">
        <f t="shared" si="1"/>
        <v>9</v>
      </c>
      <c r="P19" s="29" t="str">
        <f t="shared" si="2"/>
        <v>Medio</v>
      </c>
      <c r="Q19" s="71" t="str">
        <f t="shared" si="3"/>
        <v>|||||||||</v>
      </c>
      <c r="R19" s="72"/>
      <c r="S19" s="6"/>
      <c r="T19" s="8"/>
      <c r="U19" s="8"/>
    </row>
    <row r="20" spans="2:21" ht="15.95" customHeight="1">
      <c r="B20" s="73" t="s">
        <v>39</v>
      </c>
      <c r="C20" s="74"/>
      <c r="D20" s="74"/>
      <c r="E20" s="75"/>
      <c r="F20" s="76" t="s">
        <v>26</v>
      </c>
      <c r="G20" s="77"/>
      <c r="H20" s="24"/>
      <c r="I20" s="78" t="s">
        <v>6</v>
      </c>
      <c r="J20" s="78"/>
      <c r="K20" s="6"/>
      <c r="L20" s="104">
        <f t="shared" si="0"/>
        <v>4</v>
      </c>
      <c r="M20" s="105"/>
      <c r="N20" s="106"/>
      <c r="O20" s="28">
        <f t="shared" si="1"/>
        <v>4</v>
      </c>
      <c r="P20" s="29" t="str">
        <f>IF(L20&gt;=20,"Muito alto",IF(L20&gt;=10,"Alto",IF(L20&gt;=5,"Medio","Baixo")))</f>
        <v>Baixo</v>
      </c>
      <c r="Q20" s="71" t="str">
        <f t="shared" si="3"/>
        <v>||||</v>
      </c>
      <c r="R20" s="72"/>
      <c r="S20" s="6"/>
      <c r="T20" s="8"/>
      <c r="U20" s="8"/>
    </row>
    <row r="21" spans="2:21" ht="15.95" customHeight="1">
      <c r="B21" s="73" t="s">
        <v>40</v>
      </c>
      <c r="C21" s="74"/>
      <c r="D21" s="74"/>
      <c r="E21" s="75"/>
      <c r="F21" s="76" t="s">
        <v>19</v>
      </c>
      <c r="G21" s="77"/>
      <c r="H21" s="24"/>
      <c r="I21" s="78" t="s">
        <v>5</v>
      </c>
      <c r="J21" s="78"/>
      <c r="K21" s="6"/>
      <c r="L21" s="104">
        <f t="shared" si="0"/>
        <v>9</v>
      </c>
      <c r="M21" s="105"/>
      <c r="N21" s="106"/>
      <c r="O21" s="28">
        <f t="shared" si="1"/>
        <v>9</v>
      </c>
      <c r="P21" s="29" t="str">
        <f t="shared" si="2"/>
        <v>Medio</v>
      </c>
      <c r="Q21" s="71" t="str">
        <f t="shared" si="3"/>
        <v>|||||||||</v>
      </c>
      <c r="R21" s="72"/>
      <c r="S21" s="6"/>
      <c r="T21" s="8"/>
      <c r="U21" s="8"/>
    </row>
    <row r="22" spans="2:21" ht="29.25" customHeight="1">
      <c r="B22" s="82" t="s">
        <v>41</v>
      </c>
      <c r="C22" s="83"/>
      <c r="D22" s="83"/>
      <c r="E22" s="84"/>
      <c r="F22" s="76" t="s">
        <v>19</v>
      </c>
      <c r="G22" s="77"/>
      <c r="H22" s="24"/>
      <c r="I22" s="78" t="s">
        <v>7</v>
      </c>
      <c r="J22" s="78"/>
      <c r="K22" s="6"/>
      <c r="L22" s="104">
        <f t="shared" si="0"/>
        <v>15</v>
      </c>
      <c r="M22" s="105"/>
      <c r="N22" s="106"/>
      <c r="O22" s="28">
        <f t="shared" si="1"/>
        <v>15</v>
      </c>
      <c r="P22" s="29" t="str">
        <f t="shared" si="2"/>
        <v>Alto</v>
      </c>
      <c r="Q22" s="71" t="str">
        <f t="shared" si="3"/>
        <v>|||||||||||||||</v>
      </c>
      <c r="R22" s="72"/>
      <c r="S22" s="6"/>
      <c r="T22" s="8"/>
      <c r="U22" s="8"/>
    </row>
    <row r="23" spans="2:21" ht="15.95" customHeight="1">
      <c r="B23" s="73" t="s">
        <v>42</v>
      </c>
      <c r="C23" s="74"/>
      <c r="D23" s="74"/>
      <c r="E23" s="75"/>
      <c r="F23" s="76" t="s">
        <v>19</v>
      </c>
      <c r="G23" s="77"/>
      <c r="H23" s="24"/>
      <c r="I23" s="78" t="s">
        <v>6</v>
      </c>
      <c r="J23" s="78"/>
      <c r="K23" s="6"/>
      <c r="L23" s="104">
        <f t="shared" si="0"/>
        <v>12</v>
      </c>
      <c r="M23" s="105"/>
      <c r="N23" s="106"/>
      <c r="O23" s="28">
        <f t="shared" si="1"/>
        <v>12</v>
      </c>
      <c r="P23" s="29" t="str">
        <f t="shared" si="2"/>
        <v>Alto</v>
      </c>
      <c r="Q23" s="71" t="str">
        <f t="shared" si="3"/>
        <v>||||||||||||</v>
      </c>
      <c r="R23" s="72"/>
      <c r="S23" s="6"/>
      <c r="T23" s="8"/>
      <c r="U23" s="8"/>
    </row>
    <row r="24" spans="2:21" ht="15.95" customHeight="1">
      <c r="B24" s="73" t="s">
        <v>43</v>
      </c>
      <c r="C24" s="74"/>
      <c r="D24" s="74"/>
      <c r="E24" s="75"/>
      <c r="F24" s="76" t="s">
        <v>22</v>
      </c>
      <c r="G24" s="77"/>
      <c r="H24" s="24"/>
      <c r="I24" s="78" t="s">
        <v>7</v>
      </c>
      <c r="J24" s="78"/>
      <c r="K24" s="6"/>
      <c r="L24" s="104">
        <f t="shared" si="0"/>
        <v>10</v>
      </c>
      <c r="M24" s="105"/>
      <c r="N24" s="106"/>
      <c r="O24" s="28">
        <f t="shared" si="1"/>
        <v>10</v>
      </c>
      <c r="P24" s="29" t="str">
        <f>IF(L24&gt;=20,"Muy alto",IF(L24&gt;=10,"Alto",IF(L24&gt;=5,"Medio","Baixo")))</f>
        <v>Alto</v>
      </c>
      <c r="Q24" s="71" t="str">
        <f t="shared" si="3"/>
        <v>||||||||||</v>
      </c>
      <c r="R24" s="72"/>
      <c r="S24" s="6"/>
      <c r="T24" s="8"/>
      <c r="U24" s="8"/>
    </row>
    <row r="25" spans="2:21" ht="15.95" customHeight="1">
      <c r="B25" s="73" t="s">
        <v>44</v>
      </c>
      <c r="C25" s="74"/>
      <c r="D25" s="74"/>
      <c r="E25" s="75"/>
      <c r="F25" s="76" t="s">
        <v>19</v>
      </c>
      <c r="G25" s="77"/>
      <c r="H25" s="24"/>
      <c r="I25" s="78" t="s">
        <v>5</v>
      </c>
      <c r="J25" s="78"/>
      <c r="K25" s="6"/>
      <c r="L25" s="104">
        <f t="shared" si="0"/>
        <v>9</v>
      </c>
      <c r="M25" s="105"/>
      <c r="N25" s="106"/>
      <c r="O25" s="28">
        <f t="shared" si="1"/>
        <v>9</v>
      </c>
      <c r="P25" s="29" t="str">
        <f t="shared" si="2"/>
        <v>Medio</v>
      </c>
      <c r="Q25" s="71" t="str">
        <f t="shared" si="3"/>
        <v>|||||||||</v>
      </c>
      <c r="R25" s="72"/>
      <c r="S25" s="6"/>
      <c r="T25" s="8"/>
      <c r="U25" s="8"/>
    </row>
    <row r="26" spans="2:21" ht="15.95" customHeight="1">
      <c r="B26" s="73" t="s">
        <v>45</v>
      </c>
      <c r="C26" s="74"/>
      <c r="D26" s="74"/>
      <c r="E26" s="75"/>
      <c r="F26" s="76" t="s">
        <v>14</v>
      </c>
      <c r="G26" s="77"/>
      <c r="H26" s="24"/>
      <c r="I26" s="78" t="s">
        <v>7</v>
      </c>
      <c r="J26" s="78"/>
      <c r="K26" s="6"/>
      <c r="L26" s="104">
        <f>MID(F26,1,1)*MID(I26,1,1)</f>
        <v>20</v>
      </c>
      <c r="M26" s="105"/>
      <c r="N26" s="106"/>
      <c r="O26" s="28">
        <f>L26</f>
        <v>20</v>
      </c>
      <c r="P26" s="29" t="str">
        <f>IF(L26&gt;=20,"Muy alto",IF(L26&gt;=10,"Alto",IF(L26&gt;=5,"Medio","Bajo")))</f>
        <v>Muy alto</v>
      </c>
      <c r="Q26" s="71" t="str">
        <f>REPT("|",L26)</f>
        <v>||||||||||||||||||||</v>
      </c>
      <c r="R26" s="72"/>
      <c r="S26" s="6"/>
      <c r="T26" s="8"/>
      <c r="U26" s="8"/>
    </row>
    <row r="27" spans="2:21" ht="15.95" customHeight="1">
      <c r="B27" s="73" t="s">
        <v>46</v>
      </c>
      <c r="C27" s="74"/>
      <c r="D27" s="74"/>
      <c r="E27" s="75"/>
      <c r="F27" s="76" t="s">
        <v>19</v>
      </c>
      <c r="G27" s="77"/>
      <c r="H27" s="24"/>
      <c r="I27" s="76" t="s">
        <v>6</v>
      </c>
      <c r="J27" s="77"/>
      <c r="K27" s="6"/>
      <c r="L27" s="79">
        <f>MID(F27,1,1)*MID(I27,1,1)</f>
        <v>12</v>
      </c>
      <c r="M27" s="80"/>
      <c r="N27" s="81"/>
      <c r="O27" s="28">
        <f>L27</f>
        <v>12</v>
      </c>
      <c r="P27" s="29" t="str">
        <f>IF(L26&gt;=20,"Muy alto",IF(L27&gt;=10,"Alto",IF(L27&gt;=5,"Medio","Bajo")))</f>
        <v>Muy alto</v>
      </c>
      <c r="Q27" s="71" t="str">
        <f>REPT("|",L27)</f>
        <v>||||||||||||</v>
      </c>
      <c r="R27" s="72"/>
      <c r="S27" s="6"/>
      <c r="T27" s="8"/>
      <c r="U27" s="8"/>
    </row>
    <row r="28" spans="2:21" ht="15.95" customHeight="1">
      <c r="B28" s="73" t="s">
        <v>47</v>
      </c>
      <c r="C28" s="74"/>
      <c r="D28" s="74"/>
      <c r="E28" s="75"/>
      <c r="F28" s="76" t="s">
        <v>19</v>
      </c>
      <c r="G28" s="77"/>
      <c r="H28" s="24"/>
      <c r="I28" s="78" t="s">
        <v>7</v>
      </c>
      <c r="J28" s="78"/>
      <c r="K28" s="6"/>
      <c r="L28" s="107">
        <f t="shared" si="0"/>
        <v>15</v>
      </c>
      <c r="M28" s="108"/>
      <c r="N28" s="109"/>
      <c r="O28" s="30">
        <f t="shared" si="1"/>
        <v>15</v>
      </c>
      <c r="P28" s="31" t="str">
        <f t="shared" si="2"/>
        <v>Alto</v>
      </c>
      <c r="Q28" s="71" t="str">
        <f t="shared" si="3"/>
        <v>|||||||||||||||</v>
      </c>
      <c r="R28" s="72"/>
      <c r="S28" s="6"/>
      <c r="T28" s="8"/>
      <c r="U28" s="8"/>
    </row>
    <row r="29" spans="2:21" ht="15.95" customHeight="1">
      <c r="B29" s="73" t="s">
        <v>48</v>
      </c>
      <c r="C29" s="74"/>
      <c r="D29" s="74"/>
      <c r="E29" s="75"/>
      <c r="F29" s="76" t="s">
        <v>19</v>
      </c>
      <c r="G29" s="77"/>
      <c r="H29" s="24"/>
      <c r="I29" s="78" t="s">
        <v>6</v>
      </c>
      <c r="J29" s="78"/>
      <c r="K29" s="6"/>
      <c r="L29" s="107">
        <f t="shared" ref="L29" si="4">MID(F29,1,1)*MID(I29,1,1)</f>
        <v>12</v>
      </c>
      <c r="M29" s="108"/>
      <c r="N29" s="109"/>
      <c r="O29" s="30">
        <f t="shared" ref="O29" si="5">L29</f>
        <v>12</v>
      </c>
      <c r="P29" s="31" t="str">
        <f t="shared" ref="P29" si="6">IF(L29&gt;=20,"Muy alto",IF(L29&gt;=10,"Alto",IF(L29&gt;=5,"Medio","Bajo")))</f>
        <v>Alto</v>
      </c>
      <c r="Q29" s="71" t="str">
        <f t="shared" ref="Q29" si="7">REPT("|",L29)</f>
        <v>||||||||||||</v>
      </c>
      <c r="R29" s="72"/>
      <c r="S29" s="6"/>
      <c r="T29" s="8"/>
      <c r="U29" s="8"/>
    </row>
    <row r="30" spans="2:21" ht="15.95" customHeight="1">
      <c r="B30" s="73" t="s">
        <v>49</v>
      </c>
      <c r="C30" s="74"/>
      <c r="D30" s="74"/>
      <c r="E30" s="75"/>
      <c r="F30" s="76" t="s">
        <v>14</v>
      </c>
      <c r="G30" s="77"/>
      <c r="H30" s="24"/>
      <c r="I30" s="78" t="s">
        <v>7</v>
      </c>
      <c r="J30" s="78"/>
      <c r="K30" s="6"/>
      <c r="L30" s="107">
        <f t="shared" ref="L30" si="8">MID(F30,1,1)*MID(I30,1,1)</f>
        <v>20</v>
      </c>
      <c r="M30" s="108"/>
      <c r="N30" s="109"/>
      <c r="O30" s="30">
        <f t="shared" ref="O30" si="9">L30</f>
        <v>20</v>
      </c>
      <c r="P30" s="31" t="str">
        <f t="shared" ref="P30" si="10">IF(L30&gt;=20,"Muy alto",IF(L30&gt;=10,"Alto",IF(L30&gt;=5,"Medio","Bajo")))</f>
        <v>Muy alto</v>
      </c>
      <c r="Q30" s="71" t="str">
        <f t="shared" ref="Q30" si="11">REPT("|",L30)</f>
        <v>||||||||||||||||||||</v>
      </c>
      <c r="R30" s="72"/>
      <c r="S30" s="6"/>
      <c r="T30" s="8"/>
      <c r="U30" s="8"/>
    </row>
    <row r="31" spans="2:21" ht="15" customHeight="1">
      <c r="D31" s="8"/>
      <c r="E31" s="8"/>
      <c r="F31" s="8"/>
      <c r="G31" s="8"/>
      <c r="H31" s="8"/>
      <c r="I31" s="32"/>
      <c r="J31" s="32"/>
      <c r="K31" s="6"/>
      <c r="L31" s="32"/>
      <c r="M31" s="32"/>
      <c r="N31" s="32"/>
      <c r="O31" s="32"/>
      <c r="P31" s="8"/>
      <c r="Q31" s="6"/>
      <c r="R31" s="6"/>
      <c r="S31" s="6"/>
      <c r="T31" s="8"/>
      <c r="U31" s="8"/>
    </row>
    <row r="32" spans="2:21" ht="15" customHeight="1">
      <c r="D32" s="8"/>
      <c r="E32" s="8"/>
      <c r="F32" s="8"/>
      <c r="G32" s="8"/>
      <c r="H32" s="8"/>
      <c r="I32" s="32"/>
      <c r="J32" s="32"/>
      <c r="K32" s="6"/>
      <c r="L32" s="32"/>
      <c r="M32" s="32"/>
      <c r="N32" s="32"/>
      <c r="O32" s="32"/>
      <c r="P32" s="8"/>
      <c r="Q32" s="6"/>
      <c r="R32" s="6"/>
      <c r="S32" s="6"/>
      <c r="T32" s="8"/>
      <c r="U32" s="8"/>
    </row>
    <row r="33" spans="1:26" ht="15" customHeight="1">
      <c r="D33" s="8"/>
      <c r="E33" s="8"/>
      <c r="F33" s="8"/>
      <c r="G33" s="8"/>
      <c r="H33" s="8"/>
      <c r="I33" s="32"/>
      <c r="J33" s="32"/>
      <c r="K33" s="6"/>
      <c r="L33" s="32"/>
      <c r="M33" s="32"/>
      <c r="N33" s="32"/>
      <c r="O33" s="32"/>
      <c r="P33" s="8"/>
      <c r="Q33" s="6"/>
      <c r="R33" s="6"/>
      <c r="S33" s="6"/>
      <c r="T33" s="8"/>
      <c r="U33" s="8"/>
    </row>
    <row r="34" spans="1:26" ht="15" customHeight="1">
      <c r="D34" s="8"/>
      <c r="E34" s="8"/>
      <c r="F34" s="8"/>
      <c r="G34" s="8"/>
      <c r="H34" s="8"/>
      <c r="I34" s="32"/>
      <c r="J34" s="32"/>
      <c r="K34" s="6"/>
      <c r="L34" s="32"/>
      <c r="M34" s="32"/>
      <c r="N34" s="32"/>
      <c r="O34" s="32"/>
      <c r="P34" s="8"/>
      <c r="Q34" s="6"/>
      <c r="R34" s="6"/>
      <c r="S34" s="6"/>
      <c r="T34" s="8"/>
      <c r="U34" s="8"/>
    </row>
    <row r="35" spans="1:26" ht="15.95" customHeight="1">
      <c r="D35" s="8"/>
      <c r="E35" s="8"/>
      <c r="F35" s="8"/>
      <c r="G35" s="8" t="s">
        <v>50</v>
      </c>
      <c r="H35" s="8"/>
      <c r="I35" s="32"/>
      <c r="J35" s="32"/>
      <c r="K35" s="32"/>
      <c r="L35" s="32"/>
      <c r="M35" s="32"/>
      <c r="N35" s="32"/>
      <c r="O35" s="32"/>
      <c r="P35" s="8"/>
      <c r="Q35" s="6"/>
      <c r="R35" s="6"/>
      <c r="S35" s="6"/>
      <c r="T35" s="8"/>
      <c r="U35" s="8"/>
    </row>
    <row r="36" spans="1:26" ht="15.95" customHeight="1">
      <c r="A36" s="8"/>
      <c r="H36" s="8"/>
      <c r="I36" s="32"/>
      <c r="J36" s="32"/>
      <c r="K36" s="32"/>
      <c r="L36" s="32"/>
      <c r="M36" s="32"/>
      <c r="N36" s="32"/>
      <c r="O36" s="32"/>
      <c r="P36" s="8"/>
      <c r="Q36" s="6"/>
      <c r="R36" s="6"/>
      <c r="S36" s="6"/>
      <c r="T36" s="8"/>
      <c r="U36" s="8"/>
    </row>
    <row r="37" spans="1:26" ht="15.95" customHeight="1">
      <c r="A37" s="8"/>
      <c r="B37" s="62" t="s">
        <v>51</v>
      </c>
      <c r="C37" s="62"/>
      <c r="D37" s="62"/>
      <c r="E37" s="62"/>
      <c r="F37" s="62"/>
      <c r="G37" s="62"/>
      <c r="H37" s="8"/>
      <c r="I37" s="32"/>
      <c r="J37" s="32"/>
      <c r="K37" s="32"/>
      <c r="L37" s="32"/>
      <c r="M37" s="32"/>
      <c r="N37" s="32"/>
      <c r="O37" s="32"/>
      <c r="P37" s="8"/>
      <c r="Q37" s="6"/>
      <c r="R37" s="6"/>
      <c r="S37" s="6"/>
      <c r="T37" s="8"/>
      <c r="U37" s="8"/>
    </row>
    <row r="38" spans="1:26" ht="15.6">
      <c r="B38" s="8"/>
      <c r="C38" s="8"/>
      <c r="D38" s="8"/>
      <c r="E38" s="8"/>
      <c r="F38" s="8"/>
      <c r="G38" s="8"/>
      <c r="H38" s="8"/>
      <c r="I38" s="32"/>
      <c r="J38" s="32"/>
      <c r="K38" s="32"/>
      <c r="L38" s="32"/>
      <c r="M38" s="32"/>
      <c r="N38" s="32"/>
      <c r="O38" s="32"/>
      <c r="P38" s="8"/>
      <c r="Q38" s="6"/>
      <c r="R38" s="6"/>
      <c r="S38" s="6"/>
      <c r="T38" s="8"/>
      <c r="U38" s="8"/>
    </row>
    <row r="39" spans="1:26" ht="15.6">
      <c r="B39" s="33" t="s">
        <v>52</v>
      </c>
      <c r="C39" s="34"/>
      <c r="D39" s="34"/>
      <c r="E39" s="35"/>
      <c r="F39" s="64" t="s">
        <v>53</v>
      </c>
      <c r="G39" s="65"/>
      <c r="H39" s="8"/>
      <c r="I39" s="32"/>
      <c r="J39" s="32"/>
      <c r="K39" s="32"/>
      <c r="L39" s="32"/>
      <c r="M39" s="32"/>
      <c r="N39" s="32"/>
      <c r="O39" s="32"/>
      <c r="P39" s="8"/>
      <c r="Q39" s="6"/>
      <c r="R39" s="6"/>
      <c r="S39" s="6"/>
      <c r="T39" s="8"/>
      <c r="U39" s="8"/>
    </row>
    <row r="40" spans="1:26" ht="15.6">
      <c r="B40" s="66" t="s">
        <v>54</v>
      </c>
      <c r="C40" s="67"/>
      <c r="D40" s="67"/>
      <c r="E40" s="68"/>
      <c r="F40" s="70" t="s">
        <v>55</v>
      </c>
      <c r="G40" s="69"/>
      <c r="H40" s="8"/>
      <c r="I40" s="32"/>
      <c r="J40" s="32"/>
      <c r="K40" s="32"/>
      <c r="L40" s="32"/>
      <c r="M40" s="32"/>
      <c r="N40" s="32"/>
      <c r="O40" s="32"/>
      <c r="P40" s="8"/>
      <c r="Q40" s="6"/>
      <c r="R40" s="6"/>
      <c r="S40" s="6"/>
      <c r="T40" s="8"/>
      <c r="U40" s="8"/>
    </row>
    <row r="41" spans="1:26" ht="15.6">
      <c r="B41" s="66" t="s">
        <v>56</v>
      </c>
      <c r="C41" s="67"/>
      <c r="D41" s="67"/>
      <c r="E41" s="68"/>
      <c r="F41" s="70" t="s">
        <v>57</v>
      </c>
      <c r="G41" s="69"/>
      <c r="H41" s="8"/>
      <c r="I41" s="32"/>
      <c r="J41" s="32"/>
      <c r="K41" s="32"/>
      <c r="L41" s="32"/>
      <c r="M41" s="32"/>
      <c r="N41" s="32"/>
      <c r="O41" s="32"/>
      <c r="P41" s="8"/>
      <c r="Q41" s="6"/>
      <c r="R41" s="6"/>
      <c r="S41" s="6"/>
      <c r="T41" s="8"/>
      <c r="U41" s="8"/>
    </row>
    <row r="42" spans="1:26" ht="15" customHeight="1">
      <c r="B42" s="66" t="s">
        <v>58</v>
      </c>
      <c r="C42" s="67"/>
      <c r="D42" s="67"/>
      <c r="E42" s="68"/>
      <c r="F42" s="70" t="s">
        <v>59</v>
      </c>
      <c r="G42" s="69"/>
      <c r="H42" s="8"/>
      <c r="I42" s="32"/>
      <c r="J42" s="32"/>
      <c r="K42" s="32"/>
      <c r="L42" s="32"/>
      <c r="M42" s="32"/>
      <c r="N42" s="32"/>
      <c r="O42" s="32"/>
      <c r="P42" s="8"/>
      <c r="Q42" s="6"/>
      <c r="R42" s="6"/>
      <c r="S42" s="6"/>
      <c r="T42" s="8"/>
      <c r="U42" s="8"/>
      <c r="V42" s="36"/>
      <c r="W42" s="36"/>
      <c r="X42" s="36"/>
      <c r="Y42" s="36"/>
      <c r="Z42" s="36"/>
    </row>
    <row r="43" spans="1:26" ht="15" customHeight="1">
      <c r="B43" s="66" t="s">
        <v>60</v>
      </c>
      <c r="C43" s="67"/>
      <c r="D43" s="67"/>
      <c r="E43" s="68"/>
      <c r="F43" s="70" t="s">
        <v>61</v>
      </c>
      <c r="G43" s="69"/>
      <c r="H43" s="8"/>
      <c r="I43" s="32"/>
      <c r="J43" s="32"/>
      <c r="K43" s="32"/>
      <c r="L43" s="32"/>
      <c r="M43" s="32"/>
      <c r="N43" s="32"/>
      <c r="O43" s="32"/>
      <c r="P43" s="8"/>
      <c r="Q43" s="6"/>
      <c r="R43" s="6"/>
      <c r="S43" s="6"/>
      <c r="T43" s="8"/>
      <c r="U43" s="8"/>
      <c r="V43" s="36"/>
      <c r="W43" s="36"/>
      <c r="X43" s="36"/>
      <c r="Y43" s="36"/>
      <c r="Z43" s="36"/>
    </row>
    <row r="44" spans="1:26" s="2" customFormat="1" ht="15" customHeight="1">
      <c r="B44" s="66" t="s">
        <v>62</v>
      </c>
      <c r="C44" s="67"/>
      <c r="D44" s="67"/>
      <c r="E44" s="68"/>
      <c r="F44" s="70" t="s">
        <v>63</v>
      </c>
      <c r="G44" s="69"/>
      <c r="H44" s="8"/>
      <c r="I44" s="32"/>
      <c r="J44" s="32"/>
      <c r="K44" s="32"/>
      <c r="L44" s="32"/>
      <c r="M44" s="32"/>
      <c r="N44" s="32"/>
      <c r="O44" s="32"/>
      <c r="P44" s="8"/>
      <c r="Q44" s="6"/>
      <c r="R44" s="6"/>
      <c r="S44" s="6"/>
      <c r="T44" s="8"/>
      <c r="U44" s="8"/>
      <c r="V44" s="36"/>
      <c r="W44" s="36"/>
      <c r="X44" s="36"/>
      <c r="Y44" s="36"/>
      <c r="Z44" s="36"/>
    </row>
    <row r="45" spans="1:26" s="2" customFormat="1" ht="15" customHeight="1">
      <c r="B45" s="8"/>
      <c r="C45" s="8"/>
      <c r="D45" s="8"/>
      <c r="E45" s="8"/>
      <c r="F45" s="8"/>
      <c r="G45" s="8"/>
      <c r="H45" s="8"/>
      <c r="I45" s="32"/>
      <c r="J45" s="32"/>
      <c r="K45" s="32"/>
      <c r="L45" s="32"/>
      <c r="M45" s="32"/>
      <c r="N45" s="32"/>
      <c r="O45" s="32"/>
      <c r="P45" s="8"/>
      <c r="Q45" s="6"/>
      <c r="R45" s="6"/>
      <c r="S45" s="6"/>
      <c r="T45" s="8"/>
      <c r="U45" s="8"/>
      <c r="V45" s="36"/>
      <c r="W45" s="36"/>
      <c r="X45" s="36"/>
      <c r="Y45" s="36"/>
      <c r="Z45" s="36"/>
    </row>
    <row r="46" spans="1:26" s="2" customFormat="1" ht="15" customHeight="1">
      <c r="B46" s="8"/>
      <c r="C46" s="8"/>
      <c r="D46" s="8"/>
      <c r="E46" s="8"/>
      <c r="F46" s="8"/>
      <c r="G46" s="8"/>
      <c r="H46" s="8"/>
      <c r="I46" s="32"/>
      <c r="J46" s="32"/>
      <c r="K46" s="32"/>
      <c r="L46" s="32"/>
      <c r="M46" s="32"/>
      <c r="N46" s="32"/>
      <c r="O46" s="32"/>
      <c r="P46" s="8"/>
      <c r="Q46" s="6"/>
      <c r="R46" s="6"/>
      <c r="S46" s="6"/>
      <c r="T46" s="8"/>
      <c r="U46" s="8"/>
      <c r="V46" s="36"/>
      <c r="W46" s="36"/>
      <c r="X46" s="36"/>
      <c r="Y46" s="36"/>
      <c r="Z46" s="36"/>
    </row>
    <row r="47" spans="1:26" s="2" customFormat="1" ht="15" customHeight="1">
      <c r="B47" s="8"/>
      <c r="C47" s="8"/>
      <c r="D47" s="8"/>
      <c r="E47" s="8"/>
      <c r="F47" s="8"/>
      <c r="G47" s="8"/>
      <c r="H47" s="8"/>
      <c r="I47" s="32"/>
      <c r="J47" s="32"/>
      <c r="K47" s="32"/>
      <c r="L47" s="32"/>
      <c r="M47" s="32"/>
      <c r="N47" s="32"/>
      <c r="O47" s="32"/>
      <c r="P47" s="8"/>
      <c r="Q47" s="6"/>
      <c r="R47" s="6"/>
      <c r="S47" s="6"/>
      <c r="T47" s="8"/>
      <c r="U47" s="8"/>
      <c r="V47" s="36"/>
      <c r="W47" s="36"/>
      <c r="X47" s="36"/>
      <c r="Y47" s="36"/>
      <c r="Z47" s="36"/>
    </row>
    <row r="48" spans="1:26" s="2" customFormat="1" ht="15" customHeight="1">
      <c r="B48" s="62" t="s">
        <v>64</v>
      </c>
      <c r="C48" s="62"/>
      <c r="D48" s="62"/>
      <c r="E48" s="62"/>
      <c r="F48" s="62"/>
      <c r="G48" s="62"/>
      <c r="H48" s="32"/>
      <c r="I48" s="32"/>
      <c r="J48" s="32"/>
      <c r="K48" s="32"/>
      <c r="L48" s="32"/>
      <c r="M48" s="32"/>
      <c r="N48" s="32"/>
      <c r="O48" s="32"/>
      <c r="P48" s="8"/>
      <c r="Q48" s="6"/>
      <c r="R48" s="6"/>
      <c r="S48" s="6"/>
      <c r="T48" s="8"/>
      <c r="U48" s="8"/>
      <c r="V48" s="36"/>
      <c r="W48" s="36"/>
      <c r="X48" s="36"/>
      <c r="Y48" s="36"/>
      <c r="Z48" s="36"/>
    </row>
    <row r="49" spans="2:26" s="2" customFormat="1" ht="15" customHeight="1">
      <c r="B49" s="37"/>
      <c r="C49" s="37"/>
      <c r="D49" s="37"/>
      <c r="E49" s="37"/>
      <c r="F49" s="37"/>
      <c r="G49" s="37"/>
      <c r="H49" s="32"/>
      <c r="I49" s="32"/>
      <c r="J49" s="32"/>
      <c r="K49" s="32"/>
      <c r="L49" s="32"/>
      <c r="M49" s="32"/>
      <c r="N49" s="32"/>
      <c r="O49" s="32"/>
      <c r="P49" s="8"/>
      <c r="Q49" s="6"/>
      <c r="R49" s="6"/>
      <c r="S49" s="6"/>
      <c r="T49" s="8"/>
      <c r="U49" s="8"/>
      <c r="V49" s="36"/>
      <c r="W49" s="36"/>
      <c r="X49" s="36"/>
      <c r="Y49" s="36"/>
      <c r="Z49" s="36"/>
    </row>
    <row r="50" spans="2:26" s="2" customFormat="1" ht="15" customHeight="1">
      <c r="B50" s="63" t="str">
        <f t="shared" ref="B50:B62" si="12">B14</f>
        <v>Grupo de desvios</v>
      </c>
      <c r="C50" s="63"/>
      <c r="D50" s="63"/>
      <c r="E50" s="63"/>
      <c r="F50" s="38" t="str">
        <f>F14</f>
        <v>Probabilidade</v>
      </c>
      <c r="G50" s="38" t="str">
        <f>I14</f>
        <v>Impacto</v>
      </c>
      <c r="H50" s="32"/>
      <c r="I50" s="32"/>
      <c r="J50" s="32"/>
      <c r="K50" s="32"/>
      <c r="L50" s="32"/>
      <c r="M50" s="32"/>
      <c r="N50" s="32"/>
      <c r="O50" s="32"/>
      <c r="P50" s="8"/>
      <c r="Q50" s="6"/>
      <c r="R50" s="6"/>
      <c r="S50" s="6"/>
      <c r="T50" s="8"/>
      <c r="U50" s="8"/>
      <c r="V50" s="36"/>
      <c r="W50" s="36"/>
      <c r="X50" s="36"/>
      <c r="Y50" s="36"/>
      <c r="Z50" s="36"/>
    </row>
    <row r="51" spans="2:26" s="2" customFormat="1" ht="15" customHeight="1">
      <c r="B51" s="59" t="str">
        <f t="shared" si="12"/>
        <v>Controles internos</v>
      </c>
      <c r="C51" s="60"/>
      <c r="D51" s="60"/>
      <c r="E51" s="61"/>
      <c r="F51" s="39">
        <f>MID(F15,1,1)*20</f>
        <v>80</v>
      </c>
      <c r="G51" s="39">
        <f t="shared" ref="G51:G63" si="13">MID(I15,1,1)*20</f>
        <v>100</v>
      </c>
      <c r="H51" s="32"/>
      <c r="I51" s="32"/>
      <c r="J51" s="32"/>
      <c r="K51" s="32"/>
      <c r="L51" s="32"/>
      <c r="M51" s="32"/>
      <c r="N51" s="32"/>
      <c r="O51" s="32"/>
      <c r="P51" s="8"/>
      <c r="Q51" s="6"/>
      <c r="R51" s="6"/>
      <c r="S51" s="6"/>
      <c r="T51" s="8"/>
      <c r="U51" s="8"/>
      <c r="V51" s="36"/>
      <c r="W51" s="36"/>
      <c r="X51" s="36"/>
      <c r="Y51" s="36"/>
      <c r="Z51" s="36"/>
    </row>
    <row r="52" spans="2:26" s="2" customFormat="1" ht="15" customHeight="1">
      <c r="B52" s="59" t="str">
        <f t="shared" si="12"/>
        <v>Canal de denúncia</v>
      </c>
      <c r="C52" s="60"/>
      <c r="D52" s="60"/>
      <c r="E52" s="61"/>
      <c r="F52" s="39">
        <f t="shared" ref="F52:F63" si="14">MID(F16,1,1)*20</f>
        <v>60</v>
      </c>
      <c r="G52" s="39">
        <f t="shared" si="13"/>
        <v>100</v>
      </c>
      <c r="H52" s="32"/>
      <c r="I52" s="32"/>
      <c r="J52" s="32"/>
      <c r="K52" s="32"/>
      <c r="L52" s="32"/>
      <c r="M52" s="32"/>
      <c r="N52" s="32"/>
      <c r="O52" s="32"/>
      <c r="P52" s="8"/>
      <c r="Q52" s="6"/>
      <c r="R52" s="6"/>
      <c r="S52" s="6"/>
      <c r="T52" s="8"/>
      <c r="U52" s="8"/>
      <c r="V52" s="36"/>
      <c r="W52" s="36"/>
      <c r="X52" s="36"/>
      <c r="Y52" s="36"/>
      <c r="Z52" s="36"/>
    </row>
    <row r="53" spans="2:26" s="2" customFormat="1" ht="15" customHeight="1">
      <c r="B53" s="59" t="str">
        <f t="shared" si="12"/>
        <v>Propriedade intelectual e industrial</v>
      </c>
      <c r="C53" s="60"/>
      <c r="D53" s="60"/>
      <c r="E53" s="61"/>
      <c r="F53" s="39">
        <f t="shared" si="14"/>
        <v>60</v>
      </c>
      <c r="G53" s="39">
        <f t="shared" si="13"/>
        <v>60</v>
      </c>
      <c r="H53" s="32"/>
      <c r="I53" s="32"/>
      <c r="J53" s="32"/>
      <c r="K53" s="32"/>
      <c r="L53" s="32"/>
      <c r="M53" s="32"/>
      <c r="N53" s="32"/>
      <c r="O53" s="32"/>
      <c r="P53" s="8"/>
      <c r="Q53" s="6"/>
      <c r="R53" s="6"/>
      <c r="S53" s="6"/>
      <c r="T53" s="8"/>
      <c r="U53" s="8"/>
      <c r="V53" s="36"/>
      <c r="W53" s="36"/>
      <c r="X53" s="36"/>
      <c r="Y53" s="36"/>
      <c r="Z53" s="36"/>
    </row>
    <row r="54" spans="2:26" s="2" customFormat="1" ht="15" customHeight="1">
      <c r="B54" s="59" t="str">
        <f t="shared" si="12"/>
        <v>Agentes públicos</v>
      </c>
      <c r="C54" s="60"/>
      <c r="D54" s="60"/>
      <c r="E54" s="61"/>
      <c r="F54" s="39">
        <f t="shared" si="14"/>
        <v>40</v>
      </c>
      <c r="G54" s="39">
        <f t="shared" si="13"/>
        <v>80</v>
      </c>
      <c r="H54" s="32"/>
      <c r="I54" s="32"/>
      <c r="J54" s="32"/>
      <c r="K54" s="32"/>
      <c r="L54" s="32"/>
      <c r="M54" s="32"/>
      <c r="N54" s="32"/>
      <c r="O54" s="32"/>
      <c r="P54" s="8"/>
      <c r="Q54" s="6"/>
      <c r="R54" s="6"/>
      <c r="S54" s="6"/>
      <c r="T54" s="8"/>
      <c r="U54" s="8"/>
      <c r="V54" s="36"/>
      <c r="W54" s="36"/>
      <c r="X54" s="36"/>
      <c r="Y54" s="36"/>
      <c r="Z54" s="36"/>
    </row>
    <row r="55" spans="2:26" s="2" customFormat="1" ht="15" customHeight="1">
      <c r="B55" s="59" t="str">
        <f t="shared" si="12"/>
        <v>Clientes e fornecedores</v>
      </c>
      <c r="C55" s="60"/>
      <c r="D55" s="60"/>
      <c r="E55" s="61"/>
      <c r="F55" s="39">
        <f t="shared" si="14"/>
        <v>60</v>
      </c>
      <c r="G55" s="39">
        <f t="shared" si="13"/>
        <v>60</v>
      </c>
      <c r="H55" s="32"/>
      <c r="I55" s="32"/>
      <c r="J55" s="32"/>
      <c r="K55" s="32"/>
      <c r="L55" s="32"/>
      <c r="M55" s="32"/>
      <c r="N55" s="32"/>
      <c r="O55" s="32"/>
      <c r="P55" s="8"/>
      <c r="Q55" s="6"/>
      <c r="R55" s="6"/>
      <c r="S55" s="6"/>
      <c r="T55" s="8"/>
      <c r="U55" s="8"/>
      <c r="V55" s="36"/>
      <c r="W55" s="36"/>
      <c r="X55" s="36"/>
      <c r="Y55" s="36"/>
      <c r="Z55" s="36"/>
    </row>
    <row r="56" spans="2:26" s="2" customFormat="1" ht="15" customHeight="1">
      <c r="B56" s="59" t="str">
        <f t="shared" si="12"/>
        <v>Lavagem de dinheiro</v>
      </c>
      <c r="C56" s="60"/>
      <c r="D56" s="60"/>
      <c r="E56" s="61"/>
      <c r="F56" s="39">
        <f t="shared" si="14"/>
        <v>20</v>
      </c>
      <c r="G56" s="39">
        <f t="shared" si="13"/>
        <v>80</v>
      </c>
      <c r="H56" s="32"/>
      <c r="I56" s="32"/>
      <c r="J56" s="32"/>
      <c r="K56" s="32"/>
      <c r="L56" s="32"/>
      <c r="M56" s="32"/>
      <c r="N56" s="32"/>
      <c r="O56" s="32"/>
      <c r="P56" s="8"/>
      <c r="Q56" s="6"/>
      <c r="R56" s="6"/>
      <c r="S56" s="6"/>
      <c r="T56" s="8"/>
      <c r="U56" s="8"/>
      <c r="V56" s="36"/>
      <c r="W56" s="36"/>
      <c r="X56" s="36"/>
      <c r="Y56" s="36"/>
      <c r="Z56" s="36"/>
    </row>
    <row r="57" spans="2:26" s="2" customFormat="1" ht="15" customHeight="1">
      <c r="B57" s="59" t="str">
        <f t="shared" si="12"/>
        <v>Direitos dos trabalhadores</v>
      </c>
      <c r="C57" s="60"/>
      <c r="D57" s="60"/>
      <c r="E57" s="61"/>
      <c r="F57" s="39">
        <f t="shared" si="14"/>
        <v>60</v>
      </c>
      <c r="G57" s="39">
        <f t="shared" si="13"/>
        <v>60</v>
      </c>
      <c r="H57" s="32"/>
      <c r="I57" s="32"/>
      <c r="J57" s="32"/>
      <c r="K57" s="32"/>
      <c r="L57" s="32"/>
      <c r="M57" s="32"/>
      <c r="N57" s="32"/>
      <c r="O57" s="32"/>
      <c r="P57" s="8"/>
      <c r="Q57" s="6"/>
      <c r="R57" s="6"/>
      <c r="S57" s="6"/>
      <c r="T57" s="8"/>
      <c r="U57" s="8"/>
      <c r="V57" s="36"/>
      <c r="W57" s="36"/>
      <c r="X57" s="36"/>
      <c r="Y57" s="36"/>
      <c r="Z57" s="36"/>
    </row>
    <row r="58" spans="2:26" s="2" customFormat="1" ht="15" customHeight="1">
      <c r="B58" s="59" t="str">
        <f t="shared" si="12"/>
        <v>Meio ambiente, Segurança do trabalho e Responsabilidade social</v>
      </c>
      <c r="C58" s="60"/>
      <c r="D58" s="60"/>
      <c r="E58" s="61"/>
      <c r="F58" s="39">
        <f>MID(F22,1,1)*20</f>
        <v>60</v>
      </c>
      <c r="G58" s="39">
        <f>MID(I22,1,1)*20</f>
        <v>100</v>
      </c>
      <c r="H58" s="32"/>
      <c r="I58" s="32"/>
      <c r="J58" s="32"/>
      <c r="K58" s="32"/>
      <c r="L58" s="32"/>
      <c r="M58" s="32"/>
      <c r="N58" s="32"/>
      <c r="O58" s="32"/>
      <c r="P58" s="8"/>
      <c r="Q58" s="6"/>
      <c r="R58" s="6"/>
      <c r="S58" s="6"/>
      <c r="T58" s="8"/>
      <c r="U58" s="8"/>
      <c r="V58" s="36"/>
      <c r="W58" s="36"/>
      <c r="X58" s="36"/>
      <c r="Y58" s="36"/>
      <c r="Z58" s="36"/>
    </row>
    <row r="59" spans="2:26" s="2" customFormat="1" ht="15" customHeight="1">
      <c r="B59" s="59" t="str">
        <f t="shared" si="12"/>
        <v>Desvios tecnológicos</v>
      </c>
      <c r="C59" s="60"/>
      <c r="D59" s="60"/>
      <c r="E59" s="61"/>
      <c r="F59" s="39">
        <f t="shared" si="14"/>
        <v>60</v>
      </c>
      <c r="G59" s="39">
        <f t="shared" si="13"/>
        <v>80</v>
      </c>
      <c r="H59" s="32"/>
      <c r="I59" s="32"/>
      <c r="J59" s="32"/>
      <c r="K59" s="32"/>
      <c r="L59" s="32"/>
      <c r="M59" s="32"/>
      <c r="N59" s="32"/>
      <c r="O59" s="32"/>
      <c r="P59" s="8"/>
      <c r="Q59" s="6"/>
      <c r="R59" s="6"/>
      <c r="S59" s="6"/>
      <c r="T59" s="8"/>
      <c r="U59" s="8"/>
      <c r="V59" s="36"/>
      <c r="W59" s="36"/>
      <c r="X59" s="36"/>
      <c r="Y59" s="36"/>
      <c r="Z59" s="36"/>
    </row>
    <row r="60" spans="2:26" s="2" customFormat="1" ht="15" customHeight="1">
      <c r="B60" s="59" t="str">
        <f t="shared" si="12"/>
        <v>Pagamento indevido (propinas)</v>
      </c>
      <c r="C60" s="60"/>
      <c r="D60" s="60"/>
      <c r="E60" s="61"/>
      <c r="F60" s="39">
        <f t="shared" si="14"/>
        <v>40</v>
      </c>
      <c r="G60" s="39">
        <f t="shared" si="13"/>
        <v>100</v>
      </c>
      <c r="H60" s="32"/>
      <c r="I60" s="32"/>
      <c r="J60" s="32"/>
      <c r="K60" s="32"/>
      <c r="L60" s="32"/>
      <c r="M60" s="32"/>
      <c r="N60" s="32"/>
      <c r="O60" s="32"/>
      <c r="P60" s="8"/>
      <c r="Q60" s="6"/>
      <c r="R60" s="6"/>
      <c r="S60" s="6"/>
      <c r="T60" s="8"/>
      <c r="U60" s="8"/>
      <c r="V60" s="36"/>
      <c r="W60" s="36"/>
      <c r="X60" s="36"/>
      <c r="Y60" s="36"/>
      <c r="Z60" s="36"/>
    </row>
    <row r="61" spans="2:26" s="2" customFormat="1" ht="15" customHeight="1">
      <c r="B61" s="59" t="str">
        <f t="shared" si="12"/>
        <v>Assédio moral e sexual</v>
      </c>
      <c r="C61" s="60"/>
      <c r="D61" s="60"/>
      <c r="E61" s="61"/>
      <c r="F61" s="39">
        <f t="shared" si="14"/>
        <v>60</v>
      </c>
      <c r="G61" s="39">
        <f t="shared" si="13"/>
        <v>60</v>
      </c>
      <c r="H61" s="32"/>
      <c r="I61" s="32"/>
      <c r="J61" s="32"/>
      <c r="K61" s="32"/>
      <c r="L61" s="32"/>
      <c r="M61" s="32"/>
      <c r="N61" s="32"/>
      <c r="O61" s="32"/>
      <c r="P61" s="8"/>
      <c r="Q61" s="6"/>
      <c r="R61" s="6"/>
      <c r="S61" s="6"/>
      <c r="T61" s="8"/>
      <c r="U61" s="8"/>
      <c r="V61" s="36"/>
      <c r="W61" s="36"/>
      <c r="X61" s="36"/>
      <c r="Y61" s="36"/>
      <c r="Z61" s="36"/>
    </row>
    <row r="62" spans="2:26" s="2" customFormat="1" ht="15" customHeight="1">
      <c r="B62" s="59" t="str">
        <f t="shared" si="12"/>
        <v>Fraude e Roubo</v>
      </c>
      <c r="C62" s="60"/>
      <c r="D62" s="60"/>
      <c r="E62" s="61"/>
      <c r="F62" s="39">
        <f t="shared" si="14"/>
        <v>80</v>
      </c>
      <c r="G62" s="39">
        <f t="shared" si="13"/>
        <v>100</v>
      </c>
      <c r="H62" s="32"/>
      <c r="I62" s="32"/>
      <c r="J62" s="32"/>
      <c r="K62" s="32"/>
      <c r="L62" s="32"/>
      <c r="M62" s="32"/>
      <c r="N62" s="32"/>
      <c r="O62" s="32"/>
      <c r="P62" s="8"/>
      <c r="Q62" s="6"/>
      <c r="R62" s="6"/>
      <c r="S62" s="6"/>
      <c r="T62" s="8"/>
      <c r="U62" s="8"/>
      <c r="V62" s="36"/>
      <c r="W62" s="36"/>
      <c r="X62" s="36"/>
      <c r="Y62" s="36"/>
      <c r="Z62" s="36"/>
    </row>
    <row r="63" spans="2:26" s="2" customFormat="1" ht="15" customHeight="1">
      <c r="B63" s="59" t="s">
        <v>46</v>
      </c>
      <c r="C63" s="60"/>
      <c r="D63" s="60"/>
      <c r="E63" s="61"/>
      <c r="F63" s="39">
        <f t="shared" si="14"/>
        <v>60</v>
      </c>
      <c r="G63" s="39">
        <f t="shared" si="13"/>
        <v>80</v>
      </c>
      <c r="H63" s="32"/>
      <c r="I63" s="32"/>
      <c r="J63" s="32"/>
      <c r="K63" s="32"/>
      <c r="L63" s="32"/>
      <c r="M63" s="32"/>
      <c r="N63" s="32"/>
      <c r="O63" s="32"/>
      <c r="P63" s="8"/>
      <c r="Q63" s="6"/>
      <c r="R63" s="6"/>
      <c r="S63" s="6"/>
      <c r="T63" s="8"/>
      <c r="U63" s="8"/>
      <c r="V63" s="36"/>
      <c r="W63" s="36"/>
      <c r="X63" s="36"/>
      <c r="Y63" s="36"/>
      <c r="Z63" s="36"/>
    </row>
    <row r="64" spans="2:26" s="2" customFormat="1" ht="15" customHeight="1">
      <c r="B64" s="59" t="str">
        <f>B28</f>
        <v>Corrupção</v>
      </c>
      <c r="C64" s="60"/>
      <c r="D64" s="60"/>
      <c r="E64" s="61"/>
      <c r="F64" s="39">
        <f>MID(F28,1,1)*20</f>
        <v>60</v>
      </c>
      <c r="G64" s="39">
        <f t="shared" ref="G64" si="15">MID(I28,1,1)*20</f>
        <v>100</v>
      </c>
      <c r="H64" s="32"/>
      <c r="I64" s="32"/>
      <c r="J64" s="32"/>
      <c r="K64" s="32"/>
      <c r="L64" s="32"/>
      <c r="M64" s="32"/>
      <c r="N64" s="32"/>
      <c r="O64" s="32"/>
      <c r="P64" s="8"/>
      <c r="Q64" s="6"/>
      <c r="R64" s="6"/>
      <c r="S64" s="6"/>
      <c r="T64" s="8"/>
      <c r="U64" s="8"/>
      <c r="V64" s="36"/>
      <c r="W64" s="36"/>
      <c r="X64" s="36"/>
      <c r="Y64" s="36"/>
      <c r="Z64" s="36"/>
    </row>
    <row r="65" spans="2:26" s="2" customFormat="1" ht="15" customHeight="1">
      <c r="B65" s="59" t="str">
        <f>B29</f>
        <v>Regulatório</v>
      </c>
      <c r="C65" s="60"/>
      <c r="D65" s="60"/>
      <c r="E65" s="61"/>
      <c r="F65" s="39">
        <f>MID(F29,1,1)*20</f>
        <v>60</v>
      </c>
      <c r="G65" s="39">
        <f t="shared" ref="G65" si="16">MID(I29,1,1)*20</f>
        <v>80</v>
      </c>
      <c r="H65" s="32"/>
      <c r="I65" s="32"/>
      <c r="J65" s="32"/>
      <c r="K65" s="32"/>
      <c r="L65" s="32"/>
      <c r="M65" s="32"/>
      <c r="N65" s="32"/>
      <c r="O65" s="32"/>
      <c r="P65" s="8"/>
      <c r="Q65" s="6"/>
      <c r="R65" s="6"/>
      <c r="S65" s="6"/>
      <c r="T65" s="8"/>
      <c r="U65" s="8"/>
      <c r="V65" s="36"/>
      <c r="W65" s="36"/>
      <c r="X65" s="36"/>
      <c r="Y65" s="36"/>
      <c r="Z65" s="36"/>
    </row>
    <row r="66" spans="2:26" s="2" customFormat="1" ht="15" customHeight="1">
      <c r="B66" s="59" t="str">
        <f>B30</f>
        <v>Reputação</v>
      </c>
      <c r="C66" s="60"/>
      <c r="D66" s="60"/>
      <c r="E66" s="61"/>
      <c r="F66" s="39">
        <f>MID(F30,1,1)*20</f>
        <v>80</v>
      </c>
      <c r="G66" s="39">
        <f t="shared" ref="G66" si="17">MID(I30,1,1)*20</f>
        <v>100</v>
      </c>
      <c r="H66" s="32"/>
      <c r="I66" s="32"/>
      <c r="J66" s="32"/>
      <c r="K66" s="32"/>
      <c r="L66" s="32"/>
      <c r="M66" s="32"/>
      <c r="N66" s="32"/>
      <c r="O66" s="32"/>
      <c r="P66" s="8"/>
      <c r="Q66" s="6"/>
      <c r="R66" s="6"/>
      <c r="S66" s="6"/>
      <c r="T66" s="8"/>
      <c r="U66" s="8"/>
      <c r="V66" s="36"/>
      <c r="W66" s="36"/>
      <c r="X66" s="36"/>
      <c r="Y66" s="36"/>
      <c r="Z66" s="36"/>
    </row>
    <row r="67" spans="2:26" s="2" customFormat="1" ht="15" customHeight="1">
      <c r="B67" s="8"/>
      <c r="C67" s="8"/>
      <c r="D67" s="6"/>
      <c r="E67" s="6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8"/>
      <c r="Q67" s="6"/>
      <c r="R67" s="6"/>
      <c r="S67" s="6"/>
      <c r="T67" s="8"/>
      <c r="U67" s="8"/>
      <c r="V67" s="36"/>
      <c r="W67" s="36"/>
      <c r="X67" s="36"/>
      <c r="Y67" s="36"/>
      <c r="Z67" s="36"/>
    </row>
    <row r="68" spans="2:26" s="2" customFormat="1" ht="15" customHeight="1">
      <c r="B68" s="8"/>
      <c r="C68" s="8"/>
      <c r="D68" s="6"/>
      <c r="E68" s="6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8"/>
      <c r="Q68" s="6"/>
      <c r="R68" s="6"/>
      <c r="S68" s="6"/>
      <c r="T68" s="8"/>
      <c r="U68" s="8"/>
      <c r="V68" s="36"/>
      <c r="W68" s="36"/>
      <c r="X68" s="36"/>
      <c r="Y68" s="36"/>
      <c r="Z68" s="36"/>
    </row>
    <row r="69" spans="2:26" s="2" customFormat="1" ht="15" customHeight="1">
      <c r="B69" s="53" t="s">
        <v>65</v>
      </c>
      <c r="C69" s="54"/>
      <c r="D69" s="54"/>
      <c r="E69" s="55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8"/>
      <c r="Q69" s="6"/>
      <c r="R69" s="6"/>
      <c r="S69" s="6"/>
      <c r="T69" s="8"/>
      <c r="U69" s="8"/>
      <c r="V69" s="36"/>
      <c r="W69" s="36"/>
      <c r="X69" s="36"/>
      <c r="Y69" s="36"/>
      <c r="Z69" s="36"/>
    </row>
    <row r="70" spans="2:26" s="2" customFormat="1" ht="15" customHeight="1">
      <c r="B70" s="56"/>
      <c r="C70" s="57"/>
      <c r="D70" s="57"/>
      <c r="E70" s="58"/>
      <c r="F70" s="32"/>
      <c r="G70" s="32"/>
      <c r="H70" s="32"/>
      <c r="I70" s="40"/>
      <c r="J70" s="32"/>
      <c r="K70" s="32"/>
      <c r="L70" s="6"/>
      <c r="M70" s="6"/>
      <c r="N70" s="6"/>
      <c r="O70" s="6"/>
      <c r="P70" s="8"/>
      <c r="Q70" s="6"/>
      <c r="R70" s="6"/>
      <c r="S70" s="6"/>
      <c r="T70" s="8"/>
      <c r="U70" s="8"/>
      <c r="V70" s="36"/>
      <c r="W70" s="36"/>
      <c r="X70" s="36"/>
      <c r="Y70" s="36"/>
      <c r="Z70" s="36"/>
    </row>
    <row r="71" spans="2:26" s="2" customFormat="1" ht="15.6">
      <c r="B71" s="8"/>
      <c r="C71" s="8"/>
      <c r="D71" s="6"/>
      <c r="E71" s="6"/>
      <c r="F71" s="12"/>
      <c r="G71" s="32"/>
      <c r="H71" s="41"/>
      <c r="I71" s="41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2:26">
      <c r="B72" s="41"/>
      <c r="C72" s="41"/>
      <c r="D72" s="41"/>
      <c r="E72" s="41"/>
      <c r="F72" s="41"/>
      <c r="G72" s="41"/>
    </row>
  </sheetData>
  <mergeCells count="123">
    <mergeCell ref="B18:E18"/>
    <mergeCell ref="F18:G18"/>
    <mergeCell ref="I18:J18"/>
    <mergeCell ref="L18:N18"/>
    <mergeCell ref="Q18:R18"/>
    <mergeCell ref="L14:R14"/>
    <mergeCell ref="L15:N15"/>
    <mergeCell ref="Q15:R15"/>
    <mergeCell ref="B16:E16"/>
    <mergeCell ref="F16:G16"/>
    <mergeCell ref="I16:J16"/>
    <mergeCell ref="L16:N16"/>
    <mergeCell ref="Q16:R16"/>
    <mergeCell ref="B17:E17"/>
    <mergeCell ref="F17:G17"/>
    <mergeCell ref="I17:J17"/>
    <mergeCell ref="L17:N17"/>
    <mergeCell ref="Q17:R17"/>
    <mergeCell ref="B2:J2"/>
    <mergeCell ref="F4:J4"/>
    <mergeCell ref="B5:E5"/>
    <mergeCell ref="B6:E6"/>
    <mergeCell ref="B7:E7"/>
    <mergeCell ref="B8:E8"/>
    <mergeCell ref="B9:E9"/>
    <mergeCell ref="B10:E10"/>
    <mergeCell ref="B15:E15"/>
    <mergeCell ref="F15:G15"/>
    <mergeCell ref="I15:J15"/>
    <mergeCell ref="B14:E14"/>
    <mergeCell ref="F14:G14"/>
    <mergeCell ref="I14:J14"/>
    <mergeCell ref="B19:E19"/>
    <mergeCell ref="F19:G19"/>
    <mergeCell ref="I19:J19"/>
    <mergeCell ref="L19:N19"/>
    <mergeCell ref="Q19:R19"/>
    <mergeCell ref="B20:E20"/>
    <mergeCell ref="F20:G20"/>
    <mergeCell ref="I20:J20"/>
    <mergeCell ref="L20:N20"/>
    <mergeCell ref="Q20:R20"/>
    <mergeCell ref="B21:E21"/>
    <mergeCell ref="F21:G21"/>
    <mergeCell ref="I21:J21"/>
    <mergeCell ref="L21:N21"/>
    <mergeCell ref="Q21:R21"/>
    <mergeCell ref="B22:E22"/>
    <mergeCell ref="F22:G22"/>
    <mergeCell ref="I22:J22"/>
    <mergeCell ref="L22:N22"/>
    <mergeCell ref="Q22:R22"/>
    <mergeCell ref="B23:E23"/>
    <mergeCell ref="F23:G23"/>
    <mergeCell ref="I23:J23"/>
    <mergeCell ref="L23:N23"/>
    <mergeCell ref="Q23:R23"/>
    <mergeCell ref="B24:E24"/>
    <mergeCell ref="F24:G24"/>
    <mergeCell ref="I24:J24"/>
    <mergeCell ref="L24:N24"/>
    <mergeCell ref="Q24:R24"/>
    <mergeCell ref="B28:E28"/>
    <mergeCell ref="F28:G28"/>
    <mergeCell ref="I28:J28"/>
    <mergeCell ref="L28:N28"/>
    <mergeCell ref="Q28:R28"/>
    <mergeCell ref="B37:G37"/>
    <mergeCell ref="B25:E25"/>
    <mergeCell ref="F25:G25"/>
    <mergeCell ref="I25:J25"/>
    <mergeCell ref="L25:N25"/>
    <mergeCell ref="Q25:R25"/>
    <mergeCell ref="B26:E26"/>
    <mergeCell ref="F26:G26"/>
    <mergeCell ref="I26:J26"/>
    <mergeCell ref="L26:N26"/>
    <mergeCell ref="Q26:R26"/>
    <mergeCell ref="B27:E27"/>
    <mergeCell ref="F27:G27"/>
    <mergeCell ref="I27:J27"/>
    <mergeCell ref="L27:N27"/>
    <mergeCell ref="Q27:R27"/>
    <mergeCell ref="B29:E29"/>
    <mergeCell ref="F29:G29"/>
    <mergeCell ref="I29:J29"/>
    <mergeCell ref="L29:N29"/>
    <mergeCell ref="Q29:R29"/>
    <mergeCell ref="B30:E30"/>
    <mergeCell ref="F30:G30"/>
    <mergeCell ref="I30:J30"/>
    <mergeCell ref="B43:E43"/>
    <mergeCell ref="F43:G43"/>
    <mergeCell ref="B44:E44"/>
    <mergeCell ref="F44:G44"/>
    <mergeCell ref="L30:N30"/>
    <mergeCell ref="Q30:R30"/>
    <mergeCell ref="B48:G48"/>
    <mergeCell ref="B50:E50"/>
    <mergeCell ref="F39:G39"/>
    <mergeCell ref="B40:E40"/>
    <mergeCell ref="F40:G40"/>
    <mergeCell ref="B41:E41"/>
    <mergeCell ref="F41:G41"/>
    <mergeCell ref="B42:E42"/>
    <mergeCell ref="F42:G42"/>
    <mergeCell ref="B69:E70"/>
    <mergeCell ref="B64:E64"/>
    <mergeCell ref="B57:E57"/>
    <mergeCell ref="B58:E58"/>
    <mergeCell ref="B59:E59"/>
    <mergeCell ref="B60:E60"/>
    <mergeCell ref="B61:E61"/>
    <mergeCell ref="B62:E62"/>
    <mergeCell ref="B51:E51"/>
    <mergeCell ref="B52:E52"/>
    <mergeCell ref="B53:E53"/>
    <mergeCell ref="B54:E54"/>
    <mergeCell ref="B55:E55"/>
    <mergeCell ref="B56:E56"/>
    <mergeCell ref="B63:E63"/>
    <mergeCell ref="B66:E66"/>
    <mergeCell ref="B65:E65"/>
  </mergeCells>
  <conditionalFormatting sqref="B14">
    <cfRule type="expression" dxfId="35" priority="86" stopIfTrue="1">
      <formula>$B50="medio"</formula>
    </cfRule>
    <cfRule type="expression" dxfId="34" priority="85" stopIfTrue="1">
      <formula>$B50="bajo"</formula>
    </cfRule>
    <cfRule type="expression" dxfId="33" priority="87" stopIfTrue="1">
      <formula>$B50="alto"</formula>
    </cfRule>
  </conditionalFormatting>
  <conditionalFormatting sqref="B50 F50:G50">
    <cfRule type="expression" dxfId="32" priority="83" stopIfTrue="1">
      <formula>#REF!="medio"</formula>
    </cfRule>
    <cfRule type="expression" dxfId="31" priority="84" stopIfTrue="1">
      <formula>#REF!="alto"</formula>
    </cfRule>
    <cfRule type="expression" dxfId="30" priority="82" stopIfTrue="1">
      <formula>#REF!="bajo"</formula>
    </cfRule>
  </conditionalFormatting>
  <conditionalFormatting sqref="E4 K64:K70">
    <cfRule type="expression" dxfId="29" priority="41" stopIfTrue="1">
      <formula>#REF!="bajo"</formula>
    </cfRule>
    <cfRule type="expression" dxfId="28" priority="42" stopIfTrue="1">
      <formula>#REF!="medio"</formula>
    </cfRule>
    <cfRule type="expression" dxfId="27" priority="43" stopIfTrue="1">
      <formula>#REF!="alto"</formula>
    </cfRule>
  </conditionalFormatting>
  <conditionalFormatting sqref="F67:F70">
    <cfRule type="expression" dxfId="26" priority="99" stopIfTrue="1">
      <formula>$G67="alto"</formula>
    </cfRule>
    <cfRule type="expression" dxfId="25" priority="98" stopIfTrue="1">
      <formula>$G67="medio"</formula>
    </cfRule>
    <cfRule type="expression" dxfId="24" priority="97" stopIfTrue="1">
      <formula>$G67="bajo"</formula>
    </cfRule>
  </conditionalFormatting>
  <conditionalFormatting sqref="F15:G26 F27 F28:G30">
    <cfRule type="colorScale" priority="29">
      <colorScale>
        <cfvo type="min"/>
        <cfvo type="percentile" val="50"/>
        <cfvo type="max"/>
        <color rgb="FF1FB714"/>
        <color rgb="FFFFEB84"/>
        <color rgb="FFFF0000"/>
      </colorScale>
    </cfRule>
  </conditionalFormatting>
  <conditionalFormatting sqref="H64:O66">
    <cfRule type="expression" dxfId="23" priority="108" stopIfTrue="1">
      <formula>$G67="alto"</formula>
    </cfRule>
    <cfRule type="expression" dxfId="22" priority="107" stopIfTrue="1">
      <formula>$G67="medio"</formula>
    </cfRule>
    <cfRule type="expression" dxfId="21" priority="106" stopIfTrue="1">
      <formula>$G67="bajo"</formula>
    </cfRule>
  </conditionalFormatting>
  <conditionalFormatting sqref="I31:I35 H48:I49 J35:O35 B37 I45:O47 B48:B49 G67:G71">
    <cfRule type="expression" dxfId="20" priority="44" stopIfTrue="1">
      <formula>$G31="bajo"</formula>
    </cfRule>
  </conditionalFormatting>
  <conditionalFormatting sqref="I31:I35 J35:O35 B37 I45:O47 B48:B49 H48:I49 G67:G71">
    <cfRule type="expression" dxfId="19" priority="45" stopIfTrue="1">
      <formula>$G31="medio"</formula>
    </cfRule>
    <cfRule type="expression" dxfId="18" priority="46" stopIfTrue="1">
      <formula>$G31="alto"</formula>
    </cfRule>
  </conditionalFormatting>
  <conditionalFormatting sqref="I31:J34 L31:O34 H48:O62">
    <cfRule type="expression" dxfId="17" priority="40" stopIfTrue="1">
      <formula>$G31="alto"</formula>
    </cfRule>
    <cfRule type="expression" dxfId="16" priority="39" stopIfTrue="1">
      <formula>$G31="medio"</formula>
    </cfRule>
    <cfRule type="expression" dxfId="15" priority="38" stopIfTrue="1">
      <formula>$G31="bajo"</formula>
    </cfRule>
  </conditionalFormatting>
  <conditionalFormatting sqref="I36:O43 H63:O63 H67:O69 H70:I70">
    <cfRule type="expression" dxfId="14" priority="88" stopIfTrue="1">
      <formula>$G37="bajo"</formula>
    </cfRule>
    <cfRule type="expression" dxfId="13" priority="90" stopIfTrue="1">
      <formula>$G37="alto"</formula>
    </cfRule>
    <cfRule type="expression" dxfId="12" priority="89" stopIfTrue="1">
      <formula>$G37="medio"</formula>
    </cfRule>
  </conditionalFormatting>
  <conditionalFormatting sqref="I44:O44">
    <cfRule type="expression" dxfId="11" priority="91" stopIfTrue="1">
      <formula>#REF!="bajo"</formula>
    </cfRule>
    <cfRule type="expression" dxfId="10" priority="92" stopIfTrue="1">
      <formula>#REF!="medio"</formula>
    </cfRule>
    <cfRule type="expression" dxfId="9" priority="93" stopIfTrue="1">
      <formula>#REF!="alto"</formula>
    </cfRule>
  </conditionalFormatting>
  <conditionalFormatting sqref="K35:K63">
    <cfRule type="expression" dxfId="8" priority="52" stopIfTrue="1">
      <formula>#REF!="alto"</formula>
    </cfRule>
    <cfRule type="expression" dxfId="7" priority="51" stopIfTrue="1">
      <formula>#REF!="medio"</formula>
    </cfRule>
    <cfRule type="expression" dxfId="6" priority="50" stopIfTrue="1">
      <formula>#REF!="bajo"</formula>
    </cfRule>
  </conditionalFormatting>
  <conditionalFormatting sqref="L15:L30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{6F2E49CE-DD3B-4756-AB00-8522439D28F9}</x14:id>
        </ext>
      </extLst>
    </cfRule>
    <cfRule type="expression" dxfId="5" priority="37" stopIfTrue="1">
      <formula>$H15="alto"</formula>
    </cfRule>
    <cfRule type="expression" dxfId="4" priority="36" stopIfTrue="1">
      <formula>$H15="medio"</formula>
    </cfRule>
    <cfRule type="expression" dxfId="3" priority="35" stopIfTrue="1">
      <formula>$H15="bajo"</formula>
    </cfRule>
  </conditionalFormatting>
  <conditionalFormatting sqref="L15:N26 L27 L28:N3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{1E86FEAD-F4B4-4C0F-A90D-136E8A473964}</x14:id>
        </ext>
      </extLst>
    </cfRule>
    <cfRule type="iconSet" priority="33">
      <iconSet reverse="1">
        <cfvo type="percent" val="0"/>
        <cfvo type="percent" val="33"/>
        <cfvo type="percent" val="67"/>
      </iconSet>
    </cfRule>
  </conditionalFormatting>
  <conditionalFormatting sqref="O15:O30">
    <cfRule type="iconSet" priority="81">
      <iconSet iconSet="4TrafficLights">
        <cfvo type="percent" val="0"/>
        <cfvo type="percent" val="25"/>
        <cfvo type="percent" val="50"/>
        <cfvo type="percent" val="75"/>
      </iconSet>
    </cfRule>
    <cfRule type="iconSet" priority="34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P15:P30">
    <cfRule type="colorScale" priority="30">
      <colorScale>
        <cfvo type="min"/>
        <cfvo type="percentile" val="50"/>
        <cfvo type="max"/>
        <color rgb="FFFF0000"/>
        <color rgb="FFFFC000"/>
        <color rgb="FF1FB714"/>
      </colorScale>
    </cfRule>
    <cfRule type="colorScale" priority="31">
      <colorScale>
        <cfvo type="min"/>
        <cfvo type="percentile" val="50"/>
        <cfvo type="max"/>
        <color rgb="FFFF0000"/>
        <color rgb="FFFFC000"/>
        <color rgb="FF63BE7B"/>
      </colorScale>
    </cfRule>
    <cfRule type="expression" dxfId="2" priority="55" stopIfTrue="1">
      <formula>#REF!="alto"</formula>
    </cfRule>
    <cfRule type="expression" dxfId="1" priority="53" stopIfTrue="1">
      <formula>#REF!="bajo"</formula>
    </cfRule>
    <cfRule type="expression" dxfId="0" priority="54" stopIfTrue="1">
      <formula>#REF!="medio"</formula>
    </cfRule>
  </conditionalFormatting>
  <dataValidations count="3">
    <dataValidation type="list" allowBlank="1" showInputMessage="1" showErrorMessage="1" prompt="Selecciona en la lista desplegable la probabilidad de que se cometan los actos que confiruran el tipo penal" sqref="F15:F30 G15:G26 G28:G30" xr:uid="{00000000-0002-0000-0000-000000000000}">
      <formula1>$B$6:$B$10</formula1>
    </dataValidation>
    <dataValidation type="list" allowBlank="1" showInputMessage="1" showErrorMessage="1" prompt="Selecciona en la lista desplegable el impacto que se produciría en el caso de cometerse este delito en el seno de la empresa" sqref="I15:I30 J15:J26 J28:J30" xr:uid="{00000000-0002-0000-0000-000001000000}">
      <formula1>$F$5:$J$5</formula1>
    </dataValidation>
    <dataValidation type="list" allowBlank="1" showInputMessage="1" showErrorMessage="1" sqref="H70" xr:uid="{00000000-0002-0000-0000-000002000000}">
      <formula1>#REF!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7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2E49CE-DD3B-4756-AB00-8522439D28F9}">
            <x14:dataBar minLength="0" maxLength="100" negativeBarColorSameAsPositive="1" axisPosition="none">
              <x14:cfvo type="min"/>
              <x14:cfvo type="max"/>
            </x14:dataBar>
          </x14:cfRule>
          <xm:sqref>L15:L30</xm:sqref>
        </x14:conditionalFormatting>
        <x14:conditionalFormatting xmlns:xm="http://schemas.microsoft.com/office/excel/2006/main">
          <x14:cfRule type="dataBar" id="{1E86FEAD-F4B4-4C0F-A90D-136E8A473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L15:N26 L27 L28:N30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2DB1-051A-4673-B62D-7917E442F218}">
  <dimension ref="A1:C28"/>
  <sheetViews>
    <sheetView workbookViewId="0">
      <selection activeCell="C20" sqref="C20"/>
    </sheetView>
  </sheetViews>
  <sheetFormatPr defaultRowHeight="14.45"/>
  <cols>
    <col min="1" max="1" width="48.140625" bestFit="1" customWidth="1"/>
    <col min="2" max="2" width="16" customWidth="1"/>
    <col min="3" max="3" width="17.7109375" customWidth="1"/>
  </cols>
  <sheetData>
    <row r="1" spans="1:3" ht="28.15" thickBot="1">
      <c r="A1" s="42" t="s">
        <v>66</v>
      </c>
      <c r="B1" s="43" t="s">
        <v>67</v>
      </c>
      <c r="C1" s="43" t="s">
        <v>68</v>
      </c>
    </row>
    <row r="2" spans="1:3" ht="15" thickBot="1">
      <c r="A2" s="44" t="s">
        <v>69</v>
      </c>
      <c r="B2" s="45" t="s">
        <v>70</v>
      </c>
      <c r="C2" s="46" t="s">
        <v>71</v>
      </c>
    </row>
    <row r="3" spans="1:3" ht="15" thickBot="1">
      <c r="A3" s="44" t="s">
        <v>72</v>
      </c>
      <c r="B3" s="46" t="s">
        <v>71</v>
      </c>
      <c r="C3" s="46" t="s">
        <v>71</v>
      </c>
    </row>
    <row r="4" spans="1:3" ht="15" thickBot="1">
      <c r="A4" s="44" t="s">
        <v>73</v>
      </c>
      <c r="B4" s="46" t="s">
        <v>71</v>
      </c>
      <c r="C4" s="46" t="s">
        <v>71</v>
      </c>
    </row>
    <row r="5" spans="1:3" ht="30" customHeight="1" thickBot="1">
      <c r="A5" s="44" t="s">
        <v>74</v>
      </c>
      <c r="B5" s="46" t="s">
        <v>71</v>
      </c>
      <c r="C5" s="47" t="s">
        <v>75</v>
      </c>
    </row>
    <row r="6" spans="1:3" ht="15" thickBot="1">
      <c r="A6" s="44" t="s">
        <v>76</v>
      </c>
      <c r="B6" s="45" t="s">
        <v>70</v>
      </c>
      <c r="C6" s="46" t="s">
        <v>71</v>
      </c>
    </row>
    <row r="7" spans="1:3" ht="23.45" thickBot="1">
      <c r="A7" s="44" t="s">
        <v>77</v>
      </c>
      <c r="B7" s="48" t="s">
        <v>75</v>
      </c>
      <c r="C7" s="47" t="s">
        <v>78</v>
      </c>
    </row>
    <row r="8" spans="1:3" ht="15" thickBot="1">
      <c r="A8" s="44" t="s">
        <v>79</v>
      </c>
      <c r="B8" s="46" t="s">
        <v>71</v>
      </c>
      <c r="C8" s="46" t="s">
        <v>71</v>
      </c>
    </row>
    <row r="9" spans="1:3" ht="29.45" customHeight="1" thickBot="1">
      <c r="A9" s="44" t="s">
        <v>80</v>
      </c>
      <c r="B9" s="46" t="s">
        <v>71</v>
      </c>
      <c r="C9" s="47" t="s">
        <v>75</v>
      </c>
    </row>
    <row r="10" spans="1:3" ht="25.9" customHeight="1" thickBot="1">
      <c r="A10" s="44" t="s">
        <v>81</v>
      </c>
      <c r="B10" s="46" t="s">
        <v>71</v>
      </c>
      <c r="C10" s="47" t="s">
        <v>75</v>
      </c>
    </row>
    <row r="11" spans="1:3" ht="28.15" customHeight="1" thickBot="1">
      <c r="A11" s="44" t="s">
        <v>82</v>
      </c>
      <c r="B11" s="46" t="s">
        <v>71</v>
      </c>
      <c r="C11" s="47" t="s">
        <v>75</v>
      </c>
    </row>
    <row r="12" spans="1:3" ht="15" thickBot="1">
      <c r="A12" s="44" t="s">
        <v>83</v>
      </c>
      <c r="B12" s="46" t="s">
        <v>71</v>
      </c>
      <c r="C12" s="46" t="s">
        <v>71</v>
      </c>
    </row>
    <row r="13" spans="1:3" ht="27.6" customHeight="1" thickBot="1">
      <c r="A13" s="44" t="s">
        <v>84</v>
      </c>
      <c r="B13" s="46" t="s">
        <v>71</v>
      </c>
      <c r="C13" s="46" t="s">
        <v>71</v>
      </c>
    </row>
    <row r="14" spans="1:3" ht="15" thickBot="1">
      <c r="A14" s="44" t="s">
        <v>85</v>
      </c>
      <c r="B14" s="46" t="s">
        <v>71</v>
      </c>
      <c r="C14" s="46" t="s">
        <v>71</v>
      </c>
    </row>
    <row r="15" spans="1:3" ht="15" thickBot="1">
      <c r="A15" s="44" t="s">
        <v>34</v>
      </c>
      <c r="B15" s="45" t="s">
        <v>70</v>
      </c>
      <c r="C15" s="46" t="s">
        <v>71</v>
      </c>
    </row>
    <row r="16" spans="1:3" ht="27.6" customHeight="1" thickBot="1">
      <c r="A16" s="44" t="s">
        <v>86</v>
      </c>
      <c r="B16" s="46" t="s">
        <v>71</v>
      </c>
      <c r="C16" s="47" t="s">
        <v>75</v>
      </c>
    </row>
    <row r="17" spans="1:3" ht="15" thickBot="1">
      <c r="A17" s="44" t="s">
        <v>87</v>
      </c>
      <c r="B17" s="46" t="s">
        <v>71</v>
      </c>
      <c r="C17" s="46" t="s">
        <v>71</v>
      </c>
    </row>
    <row r="19" spans="1:3" ht="15" thickBot="1"/>
    <row r="20" spans="1:3">
      <c r="A20" s="49"/>
    </row>
    <row r="21" spans="1:3">
      <c r="A21" s="50" t="s">
        <v>88</v>
      </c>
    </row>
    <row r="22" spans="1:3">
      <c r="A22" s="51"/>
    </row>
    <row r="23" spans="1:3">
      <c r="A23" s="51" t="s">
        <v>78</v>
      </c>
    </row>
    <row r="24" spans="1:3">
      <c r="A24" s="51" t="s">
        <v>75</v>
      </c>
    </row>
    <row r="25" spans="1:3">
      <c r="A25" s="51" t="s">
        <v>71</v>
      </c>
    </row>
    <row r="26" spans="1:3">
      <c r="A26" s="51" t="s">
        <v>70</v>
      </c>
    </row>
    <row r="27" spans="1:3">
      <c r="A27" s="51" t="s">
        <v>89</v>
      </c>
    </row>
    <row r="28" spans="1:3" ht="15" thickBot="1">
      <c r="A28" s="5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EE62E81978D2459C1DD99772C6C20E" ma:contentTypeVersion="18" ma:contentTypeDescription="Crie um novo documento." ma:contentTypeScope="" ma:versionID="1f6132e1a1b350be13236a4806e8cec1">
  <xsd:schema xmlns:xsd="http://www.w3.org/2001/XMLSchema" xmlns:xs="http://www.w3.org/2001/XMLSchema" xmlns:p="http://schemas.microsoft.com/office/2006/metadata/properties" xmlns:ns2="a96936c6-72bc-454b-a8f3-e2b78f49556d" xmlns:ns3="7af41f7b-9f1c-43c1-82c5-36eec04dea99" targetNamespace="http://schemas.microsoft.com/office/2006/metadata/properties" ma:root="true" ma:fieldsID="0eb4ece36dae56a7fd3a6169f4b76578" ns2:_="" ns3:_="">
    <xsd:import namespace="a96936c6-72bc-454b-a8f3-e2b78f49556d"/>
    <xsd:import namespace="7af41f7b-9f1c-43c1-82c5-36eec04dea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936c6-72bc-454b-a8f3-e2b78f4955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6fc624d-d6ae-4312-9065-b9d8f7789797}" ma:internalName="TaxCatchAll" ma:showField="CatchAllData" ma:web="a96936c6-72bc-454b-a8f3-e2b78f4955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41f7b-9f1c-43c1-82c5-36eec04dea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83317ef-c6ea-42c1-a8bf-4d275f2859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f41f7b-9f1c-43c1-82c5-36eec04dea99">
      <Terms xmlns="http://schemas.microsoft.com/office/infopath/2007/PartnerControls"/>
    </lcf76f155ced4ddcb4097134ff3c332f>
    <TaxCatchAll xmlns="a96936c6-72bc-454b-a8f3-e2b78f4955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A1B5DB-9990-43F6-A110-82009A2CBC55}"/>
</file>

<file path=customXml/itemProps2.xml><?xml version="1.0" encoding="utf-8"?>
<ds:datastoreItem xmlns:ds="http://schemas.openxmlformats.org/officeDocument/2006/customXml" ds:itemID="{390CD116-5947-432D-B08E-D3B10EA3D9FE}"/>
</file>

<file path=customXml/itemProps3.xml><?xml version="1.0" encoding="utf-8"?>
<ds:datastoreItem xmlns:ds="http://schemas.openxmlformats.org/officeDocument/2006/customXml" ds:itemID="{073A4F74-294A-401B-B9A9-8456E5BB2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Marijuan</dc:creator>
  <cp:keywords/>
  <dc:description/>
  <cp:lastModifiedBy>Nathalia Rezende</cp:lastModifiedBy>
  <cp:revision/>
  <dcterms:created xsi:type="dcterms:W3CDTF">2017-02-08T07:49:41Z</dcterms:created>
  <dcterms:modified xsi:type="dcterms:W3CDTF">2026-07-22T17:11:33Z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0x01010073EE62E81978D2459C1DD99772C6C20E</vt:lpwstr>
  </property>
  <property fmtid="{D5CDD505-2E9C-101B-9397-08002B2CF9AE}" pid="3" name="MediaServiceImageTags">
    <vt:lpwstr/>
  </property>
</Properties>
</file>